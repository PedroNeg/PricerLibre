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gri\Desktop\Python\"/>
    </mc:Choice>
  </mc:AlternateContent>
  <xr:revisionPtr revIDLastSave="0" documentId="13_ncr:1_{240F54FE-13EE-4D5D-AC21-EC1FF37CA071}" xr6:coauthVersionLast="47" xr6:coauthVersionMax="47" xr10:uidLastSave="{00000000-0000-0000-0000-000000000000}"/>
  <bookViews>
    <workbookView xWindow="-120" yWindow="-120" windowWidth="20730" windowHeight="11040" activeTab="2" xr2:uid="{AE0305C7-B599-4370-B651-3370B048C198}"/>
  </bookViews>
  <sheets>
    <sheet name="Datos" sheetId="3" r:id="rId1"/>
    <sheet name="Publicaciones" sheetId="5" r:id="rId2"/>
    <sheet name="Ingresos Brutos" sheetId="2" r:id="rId3"/>
    <sheet name="Combos" sheetId="7" r:id="rId4"/>
    <sheet name="Premium" sheetId="6" r:id="rId5"/>
  </sheets>
  <functionGroups builtInGroupCount="19"/>
  <definedNames>
    <definedName name="_xlnm._FilterDatabase" localSheetId="3" hidden="1">Combos!$B$1:$P$88</definedName>
    <definedName name="_xlnm._FilterDatabase" localSheetId="0" hidden="1">Datos!$A$1:$W$1801</definedName>
    <definedName name="_xlnm._FilterDatabase" localSheetId="4" hidden="1">Premium!$A$1:$E$2187</definedName>
    <definedName name="_xlnm._FilterDatabase" localSheetId="1" hidden="1">Publicaciones!$A$1:$B$3828</definedName>
    <definedName name="ExternalData_1" localSheetId="0" hidden="1">Datos!#REF!</definedName>
    <definedName name="ExternalData_2" localSheetId="0" hidden="1">Datos!#REF!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7" l="1"/>
  <c r="E52" i="7"/>
  <c r="E55" i="7"/>
  <c r="E33" i="7"/>
  <c r="E53" i="7"/>
  <c r="E37" i="7"/>
  <c r="E70" i="7"/>
  <c r="J5" i="2"/>
  <c r="E34" i="7"/>
  <c r="E42" i="7"/>
  <c r="E49" i="7"/>
  <c r="E61" i="7"/>
  <c r="E69" i="7"/>
  <c r="E68" i="7"/>
  <c r="E51" i="7"/>
  <c r="E48" i="7"/>
  <c r="F2" i="2"/>
  <c r="E60" i="7"/>
  <c r="E44" i="7"/>
  <c r="H88" i="7"/>
  <c r="J88" i="7" s="1"/>
  <c r="G88" i="7"/>
  <c r="F88" i="7"/>
  <c r="E88" i="7"/>
  <c r="H87" i="7"/>
  <c r="I87" i="7" s="1"/>
  <c r="G87" i="7"/>
  <c r="F87" i="7"/>
  <c r="E87" i="7"/>
  <c r="H86" i="7"/>
  <c r="J86" i="7" s="1"/>
  <c r="G86" i="7"/>
  <c r="F86" i="7"/>
  <c r="E86" i="7"/>
  <c r="H85" i="7"/>
  <c r="J85" i="7" s="1"/>
  <c r="G85" i="7"/>
  <c r="F85" i="7"/>
  <c r="E85" i="7"/>
  <c r="H84" i="7"/>
  <c r="J84" i="7" s="1"/>
  <c r="G84" i="7"/>
  <c r="F84" i="7"/>
  <c r="E84" i="7"/>
  <c r="H83" i="7"/>
  <c r="I83" i="7" s="1"/>
  <c r="G83" i="7"/>
  <c r="F83" i="7"/>
  <c r="E83" i="7"/>
  <c r="H82" i="7"/>
  <c r="J82" i="7" s="1"/>
  <c r="G82" i="7"/>
  <c r="F82" i="7"/>
  <c r="E82" i="7"/>
  <c r="H81" i="7"/>
  <c r="J81" i="7" s="1"/>
  <c r="G81" i="7"/>
  <c r="F81" i="7"/>
  <c r="E81" i="7"/>
  <c r="H80" i="7"/>
  <c r="J80" i="7" s="1"/>
  <c r="G80" i="7"/>
  <c r="F80" i="7"/>
  <c r="E80" i="7"/>
  <c r="H79" i="7"/>
  <c r="I79" i="7" s="1"/>
  <c r="G79" i="7"/>
  <c r="F79" i="7"/>
  <c r="E79" i="7"/>
  <c r="H78" i="7"/>
  <c r="J78" i="7" s="1"/>
  <c r="G78" i="7"/>
  <c r="F78" i="7"/>
  <c r="E78" i="7"/>
  <c r="H77" i="7"/>
  <c r="I77" i="7" s="1"/>
  <c r="G77" i="7"/>
  <c r="F77" i="7"/>
  <c r="E77" i="7"/>
  <c r="H76" i="7"/>
  <c r="I76" i="7" s="1"/>
  <c r="G76" i="7"/>
  <c r="F76" i="7"/>
  <c r="E76" i="7"/>
  <c r="H75" i="7"/>
  <c r="J75" i="7" s="1"/>
  <c r="G75" i="7"/>
  <c r="F75" i="7"/>
  <c r="E75" i="7"/>
  <c r="H74" i="7"/>
  <c r="J74" i="7" s="1"/>
  <c r="G74" i="7"/>
  <c r="F74" i="7"/>
  <c r="E74" i="7"/>
  <c r="H73" i="7"/>
  <c r="I73" i="7" s="1"/>
  <c r="G73" i="7"/>
  <c r="F73" i="7"/>
  <c r="E73" i="7"/>
  <c r="H72" i="7"/>
  <c r="I72" i="7" s="1"/>
  <c r="G72" i="7"/>
  <c r="F72" i="7"/>
  <c r="E72" i="7"/>
  <c r="H71" i="7"/>
  <c r="J71" i="7" s="1"/>
  <c r="G71" i="7"/>
  <c r="F71" i="7"/>
  <c r="E71" i="7"/>
  <c r="H70" i="7"/>
  <c r="J70" i="7" s="1"/>
  <c r="F70" i="7"/>
  <c r="H69" i="7"/>
  <c r="I69" i="7" s="1"/>
  <c r="F69" i="7"/>
  <c r="H68" i="7"/>
  <c r="J68" i="7" s="1"/>
  <c r="F68" i="7"/>
  <c r="F67" i="7"/>
  <c r="H66" i="7"/>
  <c r="I66" i="7" s="1"/>
  <c r="F66" i="7"/>
  <c r="H65" i="7"/>
  <c r="I65" i="7" s="1"/>
  <c r="F65" i="7"/>
  <c r="F64" i="7"/>
  <c r="E64" i="7"/>
  <c r="H63" i="7"/>
  <c r="I63" i="7" s="1"/>
  <c r="F63" i="7"/>
  <c r="H62" i="7"/>
  <c r="I62" i="7" s="1"/>
  <c r="F62" i="7"/>
  <c r="F61" i="7"/>
  <c r="H60" i="7"/>
  <c r="J60" i="7" s="1"/>
  <c r="F60" i="7"/>
  <c r="H59" i="7"/>
  <c r="I59" i="7" s="1"/>
  <c r="F59" i="7"/>
  <c r="E59" i="7"/>
  <c r="F58" i="7"/>
  <c r="E58" i="7"/>
  <c r="H57" i="7"/>
  <c r="I57" i="7" s="1"/>
  <c r="F57" i="7"/>
  <c r="H56" i="7"/>
  <c r="J56" i="7" s="1"/>
  <c r="F56" i="7"/>
  <c r="F55" i="7"/>
  <c r="H54" i="7"/>
  <c r="J54" i="7" s="1"/>
  <c r="F54" i="7"/>
  <c r="H53" i="7"/>
  <c r="I53" i="7" s="1"/>
  <c r="F53" i="7"/>
  <c r="F52" i="7"/>
  <c r="H51" i="7"/>
  <c r="J51" i="7" s="1"/>
  <c r="F51" i="7"/>
  <c r="H50" i="7"/>
  <c r="J50" i="7" s="1"/>
  <c r="F50" i="7"/>
  <c r="F49" i="7"/>
  <c r="H48" i="7"/>
  <c r="J48" i="7" s="1"/>
  <c r="F48" i="7"/>
  <c r="H47" i="7"/>
  <c r="I47" i="7" s="1"/>
  <c r="F47" i="7"/>
  <c r="H46" i="7"/>
  <c r="J46" i="7" s="1"/>
  <c r="F46" i="7"/>
  <c r="E46" i="7"/>
  <c r="F45" i="7"/>
  <c r="E45" i="7"/>
  <c r="H44" i="7"/>
  <c r="J44" i="7" s="1"/>
  <c r="F44" i="7"/>
  <c r="H43" i="7"/>
  <c r="I43" i="7" s="1"/>
  <c r="F43" i="7"/>
  <c r="F42" i="7"/>
  <c r="H41" i="7"/>
  <c r="J41" i="7" s="1"/>
  <c r="F41" i="7"/>
  <c r="H40" i="7"/>
  <c r="J40" i="7" s="1"/>
  <c r="F40" i="7"/>
  <c r="E40" i="7"/>
  <c r="H39" i="7"/>
  <c r="I39" i="7" s="1"/>
  <c r="F39" i="7"/>
  <c r="E39" i="7"/>
  <c r="F38" i="7"/>
  <c r="E38" i="7"/>
  <c r="H37" i="7"/>
  <c r="I37" i="7" s="1"/>
  <c r="F37" i="7"/>
  <c r="H36" i="7"/>
  <c r="J36" i="7" s="1"/>
  <c r="F36" i="7"/>
  <c r="E36" i="7"/>
  <c r="F35" i="7"/>
  <c r="E35" i="7"/>
  <c r="H34" i="7"/>
  <c r="I34" i="7" s="1"/>
  <c r="F34" i="7"/>
  <c r="F33" i="7"/>
  <c r="H32" i="7"/>
  <c r="J32" i="7" s="1"/>
  <c r="F32" i="7"/>
  <c r="H31" i="7"/>
  <c r="J31" i="7" s="1"/>
  <c r="F31" i="7"/>
  <c r="E31" i="7"/>
  <c r="F30" i="7"/>
  <c r="E30" i="7"/>
  <c r="H29" i="7"/>
  <c r="I29" i="7" s="1"/>
  <c r="F29" i="7"/>
  <c r="E43" i="7" l="1"/>
  <c r="E50" i="7"/>
  <c r="E65" i="7"/>
  <c r="E62" i="7"/>
  <c r="E67" i="7"/>
  <c r="E41" i="7"/>
  <c r="E29" i="7"/>
  <c r="E32" i="7"/>
  <c r="E56" i="7"/>
  <c r="J87" i="7"/>
  <c r="E54" i="7"/>
  <c r="E57" i="7"/>
  <c r="E63" i="7"/>
  <c r="E66" i="7"/>
  <c r="J72" i="7"/>
  <c r="I82" i="7"/>
  <c r="J76" i="7"/>
  <c r="J83" i="7"/>
  <c r="J77" i="7"/>
  <c r="J73" i="7"/>
  <c r="J79" i="7"/>
  <c r="I86" i="7"/>
  <c r="J69" i="7"/>
  <c r="I81" i="7"/>
  <c r="I85" i="7"/>
  <c r="I80" i="7"/>
  <c r="I84" i="7"/>
  <c r="I88" i="7"/>
  <c r="I71" i="7"/>
  <c r="I75" i="7"/>
  <c r="I70" i="7"/>
  <c r="I74" i="7"/>
  <c r="I78" i="7"/>
  <c r="I56" i="7"/>
  <c r="J62" i="7"/>
  <c r="J66" i="7"/>
  <c r="J53" i="7"/>
  <c r="J65" i="7"/>
  <c r="J57" i="7"/>
  <c r="J59" i="7"/>
  <c r="J63" i="7"/>
  <c r="I60" i="7"/>
  <c r="I68" i="7"/>
  <c r="I51" i="7"/>
  <c r="I50" i="7"/>
  <c r="I54" i="7"/>
  <c r="J43" i="7"/>
  <c r="J37" i="7"/>
  <c r="J47" i="7"/>
  <c r="J39" i="7"/>
  <c r="I46" i="7"/>
  <c r="I41" i="7"/>
  <c r="I40" i="7"/>
  <c r="I44" i="7"/>
  <c r="I48" i="7"/>
  <c r="J29" i="7"/>
  <c r="I32" i="7"/>
  <c r="I36" i="7"/>
  <c r="J34" i="7"/>
  <c r="I31" i="7"/>
  <c r="F28" i="7" l="1"/>
  <c r="E28" i="7"/>
  <c r="H27" i="7"/>
  <c r="I27" i="7" s="1"/>
  <c r="F27" i="7"/>
  <c r="E27" i="7"/>
  <c r="F26" i="7"/>
  <c r="E26" i="7"/>
  <c r="H25" i="7"/>
  <c r="I25" i="7" s="1"/>
  <c r="F25" i="7"/>
  <c r="E25" i="7"/>
  <c r="F24" i="7"/>
  <c r="E24" i="7"/>
  <c r="H23" i="7"/>
  <c r="I23" i="7" s="1"/>
  <c r="F23" i="7"/>
  <c r="E23" i="7"/>
  <c r="F22" i="7"/>
  <c r="E22" i="7"/>
  <c r="H21" i="7"/>
  <c r="J21" i="7" s="1"/>
  <c r="F21" i="7"/>
  <c r="E21" i="7"/>
  <c r="F20" i="7"/>
  <c r="E20" i="7"/>
  <c r="H19" i="7"/>
  <c r="I19" i="7" s="1"/>
  <c r="F19" i="7"/>
  <c r="E19" i="7"/>
  <c r="J27" i="7" l="1"/>
  <c r="J23" i="7"/>
  <c r="J19" i="7"/>
  <c r="I21" i="7"/>
  <c r="J25" i="7"/>
  <c r="H18" i="7"/>
  <c r="J18" i="7" s="1"/>
  <c r="F18" i="7"/>
  <c r="E18" i="7"/>
  <c r="F17" i="7"/>
  <c r="E17" i="7"/>
  <c r="H16" i="7"/>
  <c r="F16" i="7"/>
  <c r="E16" i="7"/>
  <c r="A10" i="7"/>
  <c r="A11" i="7" s="1"/>
  <c r="A12" i="7"/>
  <c r="A13" i="7" s="1"/>
  <c r="A14" i="7" s="1"/>
  <c r="I18" i="7" l="1"/>
  <c r="H9" i="7" l="1"/>
  <c r="H7" i="7"/>
  <c r="I7" i="7" s="1"/>
  <c r="H5" i="7"/>
  <c r="H3" i="7"/>
  <c r="F15" i="7"/>
  <c r="E15" i="7"/>
  <c r="H14" i="7"/>
  <c r="J14" i="7" s="1"/>
  <c r="F14" i="7"/>
  <c r="E14" i="7"/>
  <c r="H13" i="7"/>
  <c r="J13" i="7" s="1"/>
  <c r="F13" i="7"/>
  <c r="E13" i="7"/>
  <c r="F12" i="7"/>
  <c r="E12" i="7"/>
  <c r="H11" i="7"/>
  <c r="I11" i="7" s="1"/>
  <c r="F11" i="7"/>
  <c r="E11" i="7"/>
  <c r="F10" i="7"/>
  <c r="E10" i="7"/>
  <c r="C3" i="2"/>
  <c r="D3" i="2" s="1"/>
  <c r="E2" i="2"/>
  <c r="D2" i="2"/>
  <c r="C2" i="2"/>
  <c r="B2" i="2"/>
  <c r="F3" i="7"/>
  <c r="F4" i="7"/>
  <c r="F5" i="7"/>
  <c r="F6" i="7"/>
  <c r="F7" i="7"/>
  <c r="F8" i="7"/>
  <c r="F9" i="7"/>
  <c r="F2" i="7"/>
  <c r="E3" i="7"/>
  <c r="E4" i="7"/>
  <c r="E5" i="7"/>
  <c r="E6" i="7"/>
  <c r="E7" i="7"/>
  <c r="E8" i="7"/>
  <c r="E9" i="7"/>
  <c r="E2" i="7"/>
  <c r="L37" i="2"/>
  <c r="K37" i="2"/>
  <c r="F37" i="2"/>
  <c r="E37" i="2"/>
  <c r="A15" i="7" l="1"/>
  <c r="A16" i="7" s="1"/>
  <c r="J11" i="7"/>
  <c r="I14" i="7"/>
  <c r="I13" i="7"/>
  <c r="F17" i="2"/>
  <c r="F21" i="2"/>
  <c r="F27" i="2"/>
  <c r="F33" i="2"/>
  <c r="L19" i="2"/>
  <c r="L25" i="2"/>
  <c r="L31" i="2"/>
  <c r="L35" i="2"/>
  <c r="E14" i="2"/>
  <c r="E16" i="2"/>
  <c r="E18" i="2"/>
  <c r="E20" i="2"/>
  <c r="E22" i="2"/>
  <c r="E24" i="2"/>
  <c r="E26" i="2"/>
  <c r="E28" i="2"/>
  <c r="E30" i="2"/>
  <c r="E32" i="2"/>
  <c r="E34" i="2"/>
  <c r="E36" i="2"/>
  <c r="K14" i="2"/>
  <c r="K16" i="2"/>
  <c r="K18" i="2"/>
  <c r="K20" i="2"/>
  <c r="K22" i="2"/>
  <c r="K24" i="2"/>
  <c r="K26" i="2"/>
  <c r="K28" i="2"/>
  <c r="K30" i="2"/>
  <c r="K32" i="2"/>
  <c r="K34" i="2"/>
  <c r="K36" i="2"/>
  <c r="F15" i="2"/>
  <c r="F23" i="2"/>
  <c r="F29" i="2"/>
  <c r="F35" i="2"/>
  <c r="L17" i="2"/>
  <c r="L23" i="2"/>
  <c r="L29" i="2"/>
  <c r="F14" i="2"/>
  <c r="F16" i="2"/>
  <c r="F18" i="2"/>
  <c r="F20" i="2"/>
  <c r="F22" i="2"/>
  <c r="F24" i="2"/>
  <c r="F26" i="2"/>
  <c r="F28" i="2"/>
  <c r="F30" i="2"/>
  <c r="F32" i="2"/>
  <c r="F34" i="2"/>
  <c r="F36" i="2"/>
  <c r="L14" i="2"/>
  <c r="L16" i="2"/>
  <c r="L18" i="2"/>
  <c r="L20" i="2"/>
  <c r="L22" i="2"/>
  <c r="L24" i="2"/>
  <c r="L26" i="2"/>
  <c r="L28" i="2"/>
  <c r="L30" i="2"/>
  <c r="L32" i="2"/>
  <c r="L34" i="2"/>
  <c r="L36" i="2"/>
  <c r="F19" i="2"/>
  <c r="F25" i="2"/>
  <c r="F31" i="2"/>
  <c r="L15" i="2"/>
  <c r="L21" i="2"/>
  <c r="L27" i="2"/>
  <c r="L33" i="2"/>
  <c r="E15" i="2"/>
  <c r="E17" i="2"/>
  <c r="E19" i="2"/>
  <c r="E21" i="2"/>
  <c r="E23" i="2"/>
  <c r="E25" i="2"/>
  <c r="E27" i="2"/>
  <c r="E29" i="2"/>
  <c r="E31" i="2"/>
  <c r="E33" i="2"/>
  <c r="E35" i="2"/>
  <c r="K15" i="2"/>
  <c r="K17" i="2"/>
  <c r="K19" i="2"/>
  <c r="K21" i="2"/>
  <c r="K23" i="2"/>
  <c r="K25" i="2"/>
  <c r="K27" i="2"/>
  <c r="K29" i="2"/>
  <c r="K31" i="2"/>
  <c r="K33" i="2"/>
  <c r="K35" i="2"/>
  <c r="J7" i="7"/>
  <c r="A17" i="7" l="1"/>
  <c r="I3" i="7"/>
  <c r="A18" i="7" l="1"/>
  <c r="I9" i="7"/>
  <c r="A19" i="7" l="1"/>
  <c r="Q36" i="2"/>
  <c r="P36" i="2"/>
  <c r="A20" i="7" l="1"/>
  <c r="P37" i="2"/>
  <c r="Q22" i="2"/>
  <c r="Q27" i="2"/>
  <c r="Q30" i="2"/>
  <c r="Q31" i="2"/>
  <c r="Q37" i="2"/>
  <c r="Q14" i="2"/>
  <c r="Q20" i="2"/>
  <c r="Q26" i="2"/>
  <c r="P19" i="2"/>
  <c r="P21" i="2"/>
  <c r="P35" i="2"/>
  <c r="P14" i="2"/>
  <c r="P15" i="2"/>
  <c r="Q17" i="2"/>
  <c r="Q19" i="2"/>
  <c r="P17" i="2"/>
  <c r="Q25" i="2"/>
  <c r="Q29" i="2"/>
  <c r="Q33" i="2"/>
  <c r="Q35" i="2"/>
  <c r="P22" i="2"/>
  <c r="P23" i="2"/>
  <c r="P25" i="2"/>
  <c r="P29" i="2"/>
  <c r="P33" i="2"/>
  <c r="P16" i="2"/>
  <c r="P24" i="2"/>
  <c r="P27" i="2"/>
  <c r="P28" i="2"/>
  <c r="P31" i="2"/>
  <c r="P32" i="2"/>
  <c r="Q16" i="2"/>
  <c r="P18" i="2"/>
  <c r="Q21" i="2"/>
  <c r="Q24" i="2"/>
  <c r="Q28" i="2"/>
  <c r="Q32" i="2"/>
  <c r="P34" i="2"/>
  <c r="Q15" i="2"/>
  <c r="Q18" i="2"/>
  <c r="P20" i="2"/>
  <c r="Q23" i="2"/>
  <c r="P26" i="2"/>
  <c r="P30" i="2"/>
  <c r="Q34" i="2"/>
  <c r="A21" i="7" l="1"/>
  <c r="Q13" i="2"/>
  <c r="D6" i="2" s="1"/>
  <c r="J3" i="7"/>
  <c r="J9" i="7"/>
  <c r="A2" i="7"/>
  <c r="D8" i="2" l="1"/>
  <c r="A2" i="2" s="1"/>
  <c r="A22" i="7"/>
  <c r="A3" i="7"/>
  <c r="A4" i="7"/>
  <c r="A5" i="7" s="1"/>
  <c r="A23" i="7" l="1"/>
  <c r="A6" i="7"/>
  <c r="A24" i="7" l="1"/>
  <c r="A7" i="7"/>
  <c r="A25" i="7" l="1"/>
  <c r="I5" i="7"/>
  <c r="A8" i="7"/>
  <c r="A26" i="7" l="1"/>
  <c r="A9" i="7"/>
  <c r="A27" i="7" l="1"/>
  <c r="J5" i="7"/>
  <c r="A28" i="7" l="1"/>
  <c r="A29" i="7" l="1"/>
  <c r="A30" i="7" l="1"/>
  <c r="A31" i="7" l="1"/>
  <c r="A32" i="7" l="1"/>
  <c r="A33" i="7" l="1"/>
  <c r="A34" i="7" l="1"/>
  <c r="A35" i="7" l="1"/>
  <c r="A36" i="7" l="1"/>
  <c r="A37" i="7" l="1"/>
  <c r="A38" i="7" l="1"/>
  <c r="A39" i="7" l="1"/>
  <c r="A40" i="7" l="1"/>
  <c r="A41" i="7" l="1"/>
  <c r="A42" i="7" l="1"/>
  <c r="A43" i="7" l="1"/>
  <c r="A44" i="7" l="1"/>
  <c r="A45" i="7" l="1"/>
  <c r="A46" i="7" l="1"/>
  <c r="A47" i="7" l="1"/>
  <c r="A48" i="7" l="1"/>
  <c r="A49" i="7" l="1"/>
  <c r="A50" i="7" l="1"/>
  <c r="A51" i="7" l="1"/>
  <c r="A52" i="7" l="1"/>
  <c r="A53" i="7" l="1"/>
  <c r="A54" i="7" l="1"/>
  <c r="A55" i="7" l="1"/>
  <c r="A56" i="7" l="1"/>
  <c r="A57" i="7" l="1"/>
  <c r="A58" i="7" l="1"/>
  <c r="A59" i="7" l="1"/>
  <c r="A60" i="7" l="1"/>
  <c r="A61" i="7" l="1"/>
  <c r="A62" i="7" l="1"/>
  <c r="A63" i="7" l="1"/>
  <c r="A64" i="7" l="1"/>
  <c r="A65" i="7" l="1"/>
  <c r="A66" i="7" l="1"/>
  <c r="A67" i="7" l="1"/>
  <c r="A68" i="7" l="1"/>
  <c r="A69" i="7" l="1"/>
  <c r="A70" i="7" l="1"/>
  <c r="A71" i="7" l="1"/>
  <c r="A72" i="7" l="1"/>
  <c r="A73" i="7" l="1"/>
  <c r="A74" i="7" l="1"/>
  <c r="A75" i="7" l="1"/>
  <c r="A76" i="7" l="1"/>
  <c r="A77" i="7" l="1"/>
  <c r="A78" i="7" l="1"/>
  <c r="A79" i="7" l="1"/>
  <c r="A80" i="7" s="1"/>
  <c r="A81" i="7" s="1"/>
  <c r="A82" i="7" s="1"/>
  <c r="A83" i="7" s="1"/>
  <c r="A84" i="7" s="1"/>
  <c r="A85" i="7" s="1"/>
  <c r="A86" i="7" s="1"/>
  <c r="A87" i="7" s="1"/>
  <c r="A88" i="7" s="1"/>
  <c r="I20" i="7"/>
  <c r="I52" i="7"/>
  <c r="I22" i="7"/>
  <c r="I45" i="7"/>
  <c r="I55" i="7"/>
  <c r="I42" i="7" l="1"/>
  <c r="I30" i="7"/>
  <c r="G30" i="7" s="1"/>
  <c r="I58" i="7"/>
  <c r="G58" i="7" s="1"/>
  <c r="I49" i="7"/>
  <c r="G49" i="7" s="1"/>
  <c r="I61" i="7"/>
  <c r="G61" i="7" s="1"/>
  <c r="I26" i="7"/>
  <c r="G26" i="7" s="1"/>
  <c r="I33" i="7"/>
  <c r="G34" i="7" s="1"/>
  <c r="I35" i="7"/>
  <c r="G35" i="7" s="1"/>
  <c r="I15" i="7"/>
  <c r="G16" i="7" s="1"/>
  <c r="G48" i="7"/>
  <c r="G47" i="7"/>
  <c r="G45" i="7"/>
  <c r="G46" i="7"/>
  <c r="G22" i="7"/>
  <c r="G23" i="7"/>
  <c r="G32" i="7"/>
  <c r="G31" i="7"/>
  <c r="G53" i="7"/>
  <c r="G54" i="7"/>
  <c r="G52" i="7"/>
  <c r="G21" i="7"/>
  <c r="G20" i="7"/>
  <c r="G42" i="7"/>
  <c r="G44" i="7"/>
  <c r="G43" i="7"/>
  <c r="G57" i="7"/>
  <c r="G56" i="7"/>
  <c r="G55" i="7"/>
  <c r="G62" i="7"/>
  <c r="I67" i="7"/>
  <c r="I16" i="7"/>
  <c r="J16" i="7"/>
  <c r="I6" i="7"/>
  <c r="I28" i="7"/>
  <c r="I17" i="7"/>
  <c r="I4" i="7"/>
  <c r="I64" i="7"/>
  <c r="I24" i="7"/>
  <c r="I8" i="7"/>
  <c r="I10" i="7"/>
  <c r="I2" i="7"/>
  <c r="I12" i="7"/>
  <c r="I38" i="7"/>
  <c r="G59" i="7" l="1"/>
  <c r="G63" i="7"/>
  <c r="G50" i="7"/>
  <c r="G51" i="7"/>
  <c r="G60" i="7"/>
  <c r="J58" i="7" s="1"/>
  <c r="G27" i="7"/>
  <c r="G33" i="7"/>
  <c r="J33" i="7" s="1"/>
  <c r="G37" i="7"/>
  <c r="G36" i="7"/>
  <c r="G15" i="7"/>
  <c r="J15" i="7" s="1"/>
  <c r="J42" i="7"/>
  <c r="J30" i="7"/>
  <c r="J20" i="7"/>
  <c r="J26" i="7"/>
  <c r="G3" i="7"/>
  <c r="G2" i="7"/>
  <c r="G66" i="7"/>
  <c r="G64" i="7"/>
  <c r="G65" i="7"/>
  <c r="G7" i="7"/>
  <c r="G6" i="7"/>
  <c r="J61" i="7"/>
  <c r="J22" i="7"/>
  <c r="G11" i="7"/>
  <c r="G10" i="7"/>
  <c r="G4" i="7"/>
  <c r="G5" i="7"/>
  <c r="J49" i="7"/>
  <c r="G38" i="7"/>
  <c r="G39" i="7"/>
  <c r="G41" i="7"/>
  <c r="G40" i="7"/>
  <c r="G9" i="7"/>
  <c r="G8" i="7"/>
  <c r="G17" i="7"/>
  <c r="G18" i="7"/>
  <c r="G19" i="7"/>
  <c r="J55" i="7"/>
  <c r="J52" i="7"/>
  <c r="J45" i="7"/>
  <c r="G12" i="7"/>
  <c r="G14" i="7"/>
  <c r="G13" i="7"/>
  <c r="G24" i="7"/>
  <c r="G25" i="7"/>
  <c r="G29" i="7"/>
  <c r="G28" i="7"/>
  <c r="G70" i="7"/>
  <c r="G67" i="7"/>
  <c r="G68" i="7"/>
  <c r="G69" i="7"/>
  <c r="J35" i="7" l="1"/>
  <c r="J28" i="7"/>
  <c r="J2" i="7"/>
  <c r="J67" i="7"/>
  <c r="J12" i="7"/>
  <c r="J6" i="7"/>
  <c r="J38" i="7"/>
  <c r="J10" i="7"/>
  <c r="J64" i="7"/>
  <c r="J24" i="7"/>
  <c r="J17" i="7"/>
  <c r="J8" i="7"/>
  <c r="J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3F26C9-7FB8-4B0A-9665-C861E7E707A9}" keepAlive="1" name="Query - pub?output=csv" description="Connection to the 'pub?output=csv' query in the workbook." type="5" refreshedVersion="8" background="1" saveData="1">
    <dbPr connection="Provider=Microsoft.Mashup.OleDb.1;Data Source=$Workbook$;Location=&quot;pub?output=csv&quot;;Extended Properties=&quot;&quot;" command="SELECT * FROM [pub?output=csv]"/>
  </connection>
</connections>
</file>

<file path=xl/sharedStrings.xml><?xml version="1.0" encoding="utf-8"?>
<sst xmlns="http://schemas.openxmlformats.org/spreadsheetml/2006/main" count="11606" uniqueCount="3762">
  <si>
    <t>Cantidad</t>
  </si>
  <si>
    <t>Costo</t>
  </si>
  <si>
    <t>IVA</t>
  </si>
  <si>
    <t>ANTE ULTIMA LIQUIDACION</t>
  </si>
  <si>
    <t>ULTIMA LIQUIDACION</t>
  </si>
  <si>
    <t>Jurisdicción</t>
  </si>
  <si>
    <t>Anticipo del Impuesto Determinado</t>
  </si>
  <si>
    <t xml:space="preserve"> A Favor Contribuyente </t>
  </si>
  <si>
    <t>Calc Anticipo</t>
  </si>
  <si>
    <t>Calc A favor</t>
  </si>
  <si>
    <t>Pago del Mes</t>
  </si>
  <si>
    <t>Total</t>
  </si>
  <si>
    <t xml:space="preserve"> 901 / CABA  </t>
  </si>
  <si>
    <t xml:space="preserve"> 902 / BUENOS AIRES  </t>
  </si>
  <si>
    <t>$0,00</t>
  </si>
  <si>
    <t xml:space="preserve"> 903 / CATAMARCA  </t>
  </si>
  <si>
    <t xml:space="preserve"> 904 / CORDOBA  </t>
  </si>
  <si>
    <t xml:space="preserve"> 905 / CORRIENTES  </t>
  </si>
  <si>
    <t xml:space="preserve"> 906 / CHACO  </t>
  </si>
  <si>
    <t xml:space="preserve"> 907 / CHUBUT  </t>
  </si>
  <si>
    <t xml:space="preserve"> 908 / ENTRE RIOS  </t>
  </si>
  <si>
    <t xml:space="preserve"> 909 / FORMOSA  </t>
  </si>
  <si>
    <t xml:space="preserve"> 910 / JUJUY  </t>
  </si>
  <si>
    <t xml:space="preserve"> 911 / LA PAMPA  </t>
  </si>
  <si>
    <t xml:space="preserve"> 912 / LA RIOJA  </t>
  </si>
  <si>
    <t xml:space="preserve"> 913 / MENDOZA  </t>
  </si>
  <si>
    <t xml:space="preserve"> 914 / MISIONES  </t>
  </si>
  <si>
    <t xml:space="preserve"> 915 / NEUQUEN  </t>
  </si>
  <si>
    <t xml:space="preserve"> 916 / RIO NEGRO  </t>
  </si>
  <si>
    <t xml:space="preserve"> 917 / SALTA  </t>
  </si>
  <si>
    <t xml:space="preserve"> 918 / SAN JUAN  </t>
  </si>
  <si>
    <t xml:space="preserve"> 919 / SAN LUIS  </t>
  </si>
  <si>
    <t xml:space="preserve"> 920 / SANTA CRUZ  </t>
  </si>
  <si>
    <t xml:space="preserve"> 921 / SANTA FE  </t>
  </si>
  <si>
    <t xml:space="preserve"> 922 / SANTIAGO DEL ESTERO  </t>
  </si>
  <si>
    <t xml:space="preserve"> 924 / TUCUMAN  </t>
  </si>
  <si>
    <t xml:space="preserve"> 923 / TIERRA DEL FUEGO  </t>
  </si>
  <si>
    <t>COMPLETAR MENSUALMENTE</t>
  </si>
  <si>
    <t>MERCADOLIBRE</t>
  </si>
  <si>
    <t>PAGINA WEB</t>
  </si>
  <si>
    <t>Ventas Totales Mes</t>
  </si>
  <si>
    <t>Envio Mínimo</t>
  </si>
  <si>
    <t>Costo Venta (Sin incluir IVA)</t>
  </si>
  <si>
    <t>Minimo Premium</t>
  </si>
  <si>
    <t>Pago IIBB</t>
  </si>
  <si>
    <t>Ganancia General</t>
  </si>
  <si>
    <t>Ganancia</t>
  </si>
  <si>
    <t>Prov No Inscriptas</t>
  </si>
  <si>
    <t>Porcentaje Pago IIBB</t>
  </si>
  <si>
    <t>Codigo</t>
  </si>
  <si>
    <t>Publicacion</t>
  </si>
  <si>
    <t>Minimo ML</t>
  </si>
  <si>
    <t>Minimo WEB</t>
  </si>
  <si>
    <t>Ganancia ML</t>
  </si>
  <si>
    <t>Ganancia WEB</t>
  </si>
  <si>
    <t>TMFM-138</t>
  </si>
  <si>
    <t>TMBETA58A</t>
  </si>
  <si>
    <t>TMSM57-LC</t>
  </si>
  <si>
    <t>TMSM7B</t>
  </si>
  <si>
    <t>TMCT-S200RD</t>
  </si>
  <si>
    <t>BREYERMG30</t>
  </si>
  <si>
    <t>TMC01</t>
  </si>
  <si>
    <t>TMCT-S200BK</t>
  </si>
  <si>
    <t>ZAGERT70</t>
  </si>
  <si>
    <t>MJMA88</t>
  </si>
  <si>
    <t>TMNINETY ORANGE</t>
  </si>
  <si>
    <t>TMSE215-CL</t>
  </si>
  <si>
    <t>TMFV-513-HS/HH</t>
  </si>
  <si>
    <t>TMDDJ-REV1</t>
  </si>
  <si>
    <t>Ganancia ML Premium</t>
  </si>
  <si>
    <t>BREYER126N-SB</t>
  </si>
  <si>
    <t>BREYER1280</t>
  </si>
  <si>
    <t>BREYER1910MM</t>
  </si>
  <si>
    <t>BREYER211G</t>
  </si>
  <si>
    <t>BREYER211N</t>
  </si>
  <si>
    <t>BREYER214G</t>
  </si>
  <si>
    <t>BREYER214N</t>
  </si>
  <si>
    <t>BREYER217G</t>
  </si>
  <si>
    <t>BREYER218A</t>
  </si>
  <si>
    <t>BREYER218N</t>
  </si>
  <si>
    <t>BREYER223C-M11 3+3</t>
  </si>
  <si>
    <t>BREYER223C-M11-6L</t>
  </si>
  <si>
    <t>BREYER227N-SB</t>
  </si>
  <si>
    <t>BREYER227N-SI</t>
  </si>
  <si>
    <t>BREYER242C 2+2</t>
  </si>
  <si>
    <t>BREYER242C-4L</t>
  </si>
  <si>
    <t>BREYER272G-M7G 3+3</t>
  </si>
  <si>
    <t>BREYER273N-M7G 3+3</t>
  </si>
  <si>
    <t>BREYER333B-D7B 3+3</t>
  </si>
  <si>
    <t>BREYER333B-D7B-6L</t>
  </si>
  <si>
    <t>BREYER333C-M11 3+3</t>
  </si>
  <si>
    <t>BREYER333C-M11-6L</t>
  </si>
  <si>
    <t>BREYER339N</t>
  </si>
  <si>
    <t>BREYER405AB-A2B</t>
  </si>
  <si>
    <t>BREYER405GK-A2B</t>
  </si>
  <si>
    <t>BREYER405GK-A2BR</t>
  </si>
  <si>
    <t>BREYER405GK-A2R</t>
  </si>
  <si>
    <t>BREYER405GK-A2W</t>
  </si>
  <si>
    <t>BREYER500AJ</t>
  </si>
  <si>
    <t>BREYER500AR</t>
  </si>
  <si>
    <t>BREYER500CR</t>
  </si>
  <si>
    <t>BREYER520B</t>
  </si>
  <si>
    <t>BREYER520J</t>
  </si>
  <si>
    <t>BREYER520R</t>
  </si>
  <si>
    <t>BREYER530</t>
  </si>
  <si>
    <t>BREYER540CR</t>
  </si>
  <si>
    <t>BREYER540J</t>
  </si>
  <si>
    <t>BREYERC-BK</t>
  </si>
  <si>
    <t>BREYERC-BLUE</t>
  </si>
  <si>
    <t>BREYERC-GOLD</t>
  </si>
  <si>
    <t>BREYERCVR2</t>
  </si>
  <si>
    <t>BREYERDELUXE TIME CORE</t>
  </si>
  <si>
    <t>BREYERGB-1</t>
  </si>
  <si>
    <t>BREYERGS-3</t>
  </si>
  <si>
    <t>BREYERH50L</t>
  </si>
  <si>
    <t>BREYERH50XL</t>
  </si>
  <si>
    <t>BREYERJH1040</t>
  </si>
  <si>
    <t>BREYERJH1048</t>
  </si>
  <si>
    <t>BREYERLCTR-801C</t>
  </si>
  <si>
    <t>BREYERLOOP CORE</t>
  </si>
  <si>
    <t>BREYERLOOP CORE DELUXE</t>
  </si>
  <si>
    <t>BREYERME32S-SB-BL</t>
  </si>
  <si>
    <t>BREYERMG300</t>
  </si>
  <si>
    <t>BREYERPMX-2U</t>
  </si>
  <si>
    <t>BREYERPT6</t>
  </si>
  <si>
    <t>BREYERWSM-330 BLACK</t>
  </si>
  <si>
    <t>CRISALDEROCA01-053</t>
  </si>
  <si>
    <t>CRISALDEROCA03-002</t>
  </si>
  <si>
    <t>CRISALDEROCA03-003</t>
  </si>
  <si>
    <t>CRISALDEROCA04-002</t>
  </si>
  <si>
    <t>CRISALDEROCA04-005</t>
  </si>
  <si>
    <t>CRISALDEROCA04-007</t>
  </si>
  <si>
    <t>CRISALDEROCA04-013</t>
  </si>
  <si>
    <t>CRISALDEROCA04-016</t>
  </si>
  <si>
    <t>CRISALDEROCA05-001</t>
  </si>
  <si>
    <t>CRISALDEROCABAN - 01</t>
  </si>
  <si>
    <t>CRISALDEROCACAP - 01</t>
  </si>
  <si>
    <t>CRISALDEROCACAP - 02</t>
  </si>
  <si>
    <t>CRISALDEROCACAP - 03</t>
  </si>
  <si>
    <t>CRISALDEROCAMIC - 01</t>
  </si>
  <si>
    <t>CRISALDEROCAMIC - 03</t>
  </si>
  <si>
    <t>CRISALDEROCASG - 01</t>
  </si>
  <si>
    <t>CRISALDEROCASG - 13</t>
  </si>
  <si>
    <t>CRISALDEROCASG - 16</t>
  </si>
  <si>
    <t>CRISALDEROCAST - 01</t>
  </si>
  <si>
    <t>CRISALDEROCASV - 05</t>
  </si>
  <si>
    <t>CRISALDEROCASV - 06</t>
  </si>
  <si>
    <t>CRISALDEROCASV - 11</t>
  </si>
  <si>
    <t>CRISALDEROCASV - 13</t>
  </si>
  <si>
    <t>CRISALDEROCASV - 16</t>
  </si>
  <si>
    <t>CRISALDEROCASV - 24</t>
  </si>
  <si>
    <t>CRISALDEROCASV - 26</t>
  </si>
  <si>
    <t>DISCOPROD0261585063</t>
  </si>
  <si>
    <t>DISCOPROD0261585064</t>
  </si>
  <si>
    <t>DISCOPROD0261585065</t>
  </si>
  <si>
    <t>DISCOPROD0261585066</t>
  </si>
  <si>
    <t>DISCOPROD0261585067</t>
  </si>
  <si>
    <t>DISCOPROD0541085043</t>
  </si>
  <si>
    <t>DISCOPROD0541085047</t>
  </si>
  <si>
    <t>DISCOPROF0541085046</t>
  </si>
  <si>
    <t>ESPECIAL18963-071-55</t>
  </si>
  <si>
    <t>EXOSOUNDAT2020</t>
  </si>
  <si>
    <t>EXOSOUNDATH-CLR100BTBK</t>
  </si>
  <si>
    <t>EXOSOUNDATH-CLR100BTWH</t>
  </si>
  <si>
    <t>EXOSOUNDATH-CLR100ISBK</t>
  </si>
  <si>
    <t>EXOSOUNDATH-CLR100ISPK</t>
  </si>
  <si>
    <t>EXOSOUNDATH-CLR100ISWH</t>
  </si>
  <si>
    <t>EXOSOUNDATH-M20X</t>
  </si>
  <si>
    <t>EXOSOUNDATH-M30X</t>
  </si>
  <si>
    <t>EXOSOUNDATH-M40X</t>
  </si>
  <si>
    <t>EXOSOUNDAT-LP60X-BK</t>
  </si>
  <si>
    <t>EXOSOUNDAT-LP60XBT-BK</t>
  </si>
  <si>
    <t>FAMA11102-13-B</t>
  </si>
  <si>
    <t>FAMA11201-01</t>
  </si>
  <si>
    <t>FAMA600MT</t>
  </si>
  <si>
    <t>FAMAA16421S</t>
  </si>
  <si>
    <t>FAMAAC100-OP</t>
  </si>
  <si>
    <t>FAMAAC120CE-OP</t>
  </si>
  <si>
    <t>FAMAAC150-NS</t>
  </si>
  <si>
    <t>FAMAAC200-NAT</t>
  </si>
  <si>
    <t>FAMAAC200-OP</t>
  </si>
  <si>
    <t>FAMAAC50-OP</t>
  </si>
  <si>
    <t>FAMAAC70-OP</t>
  </si>
  <si>
    <t>FAMAAD810-BKS</t>
  </si>
  <si>
    <t>FAMAAD810E-BKS</t>
  </si>
  <si>
    <t>FAMAAD810E-OP</t>
  </si>
  <si>
    <t>FAMAAD810-OP</t>
  </si>
  <si>
    <t>FAMAAD880CE-NS</t>
  </si>
  <si>
    <t>FAMAADMINI-OP</t>
  </si>
  <si>
    <t>FAMAAF510-OP</t>
  </si>
  <si>
    <t>FAMAAH300</t>
  </si>
  <si>
    <t>FAMAAH40</t>
  </si>
  <si>
    <t>FAMAAH80</t>
  </si>
  <si>
    <t>FAMAAH-FREESTYLE</t>
  </si>
  <si>
    <t>FAMAC94321</t>
  </si>
  <si>
    <t>FAMAC94324</t>
  </si>
  <si>
    <t>FAMAC94325</t>
  </si>
  <si>
    <t>FAMACGC70</t>
  </si>
  <si>
    <t>FAMACM307</t>
  </si>
  <si>
    <t>FAMAEARTH-70-BR</t>
  </si>
  <si>
    <t>FAMAEARTH-70-OP</t>
  </si>
  <si>
    <t>FAMAEARTH-MINI-OP</t>
  </si>
  <si>
    <t>FAMAFIRE</t>
  </si>
  <si>
    <t>FAMAG03</t>
  </si>
  <si>
    <t>FAMAG05</t>
  </si>
  <si>
    <t>FAMAKK-60</t>
  </si>
  <si>
    <t>FAMAKP-881</t>
  </si>
  <si>
    <t>FAMAL20H</t>
  </si>
  <si>
    <t>FAMALA30D</t>
  </si>
  <si>
    <t>FAMALC25R-M1</t>
  </si>
  <si>
    <t>FAMALC25R-P1</t>
  </si>
  <si>
    <t>FAMALC4050WR</t>
  </si>
  <si>
    <t>FAMALC6070LBL</t>
  </si>
  <si>
    <t>FAMALC6070NTS</t>
  </si>
  <si>
    <t>FAMALCMET12</t>
  </si>
  <si>
    <t>FAMALCMET15</t>
  </si>
  <si>
    <t>FAMALCMET8</t>
  </si>
  <si>
    <t>FAMALCXI12</t>
  </si>
  <si>
    <t>FAMALCXI15</t>
  </si>
  <si>
    <t>FAMALX10</t>
  </si>
  <si>
    <t>FAMALX10B</t>
  </si>
  <si>
    <t>FAMALX120RT</t>
  </si>
  <si>
    <t>FAMALX15</t>
  </si>
  <si>
    <t>FAMAM1896056</t>
  </si>
  <si>
    <t>FAMAM1896086</t>
  </si>
  <si>
    <t>FAMAM1896106</t>
  </si>
  <si>
    <t>FAMAM1896126</t>
  </si>
  <si>
    <t>FAMAM189693</t>
  </si>
  <si>
    <t>FAMAM27001</t>
  </si>
  <si>
    <t>FAMAM28001</t>
  </si>
  <si>
    <t>FAMAM533016</t>
  </si>
  <si>
    <t>FAMAM533106</t>
  </si>
  <si>
    <t>FAMAM542016</t>
  </si>
  <si>
    <t>FAMAM542056</t>
  </si>
  <si>
    <t>FAMAM542066</t>
  </si>
  <si>
    <t>FAMAM542086</t>
  </si>
  <si>
    <t>FAMAM542126</t>
  </si>
  <si>
    <t>FAMAM55016X</t>
  </si>
  <si>
    <t>FAMAM559XPS</t>
  </si>
  <si>
    <t>FAMAM564016</t>
  </si>
  <si>
    <t>FAMAM564036</t>
  </si>
  <si>
    <t>FAMAM564056</t>
  </si>
  <si>
    <t>FAMAM564086</t>
  </si>
  <si>
    <t>FAMAM564106</t>
  </si>
  <si>
    <t>FAMAM57201XS</t>
  </si>
  <si>
    <t>FAMAM57210XS</t>
  </si>
  <si>
    <t>FAMAM91105S</t>
  </si>
  <si>
    <t>FAMAM91107S</t>
  </si>
  <si>
    <t>FAMAMG-20</t>
  </si>
  <si>
    <t>FAMAMG-30</t>
  </si>
  <si>
    <t>FAMAMR600F-NS</t>
  </si>
  <si>
    <t>FAMAMS103</t>
  </si>
  <si>
    <t>FAMAOAS190</t>
  </si>
  <si>
    <t>FAMAOCEAN</t>
  </si>
  <si>
    <t>FAMAP02070</t>
  </si>
  <si>
    <t>FAMAP02220</t>
  </si>
  <si>
    <t>FAMAP02813</t>
  </si>
  <si>
    <t>FAMAP02814</t>
  </si>
  <si>
    <t>FAMAP02835</t>
  </si>
  <si>
    <t>FAMAPBONGO6.5</t>
  </si>
  <si>
    <t>FAMAPBONGO7.5</t>
  </si>
  <si>
    <t>FAMAPV-3/4</t>
  </si>
  <si>
    <t>FAMAPV-4/4</t>
  </si>
  <si>
    <t>FAMARBS7D-AH/MGB</t>
  </si>
  <si>
    <t>FAMARBS7-TR/MGB</t>
  </si>
  <si>
    <t>FAMARGP5-AB/BSG</t>
  </si>
  <si>
    <t>FAMARGP5-D/BSG</t>
  </si>
  <si>
    <t>FAMARGP5-F/BSG</t>
  </si>
  <si>
    <t>FAMARGS7-D/MGB</t>
  </si>
  <si>
    <t>FAMARP7G4</t>
  </si>
  <si>
    <t>FAMASFX-E-NS</t>
  </si>
  <si>
    <t>FAMASFX-ME-BKS</t>
  </si>
  <si>
    <t>FAMASM812S</t>
  </si>
  <si>
    <t>FAMASR2025</t>
  </si>
  <si>
    <t>FAMASR6025</t>
  </si>
  <si>
    <t>FAMAUK-T3</t>
  </si>
  <si>
    <t>HMG100050</t>
  </si>
  <si>
    <t>HMG100051</t>
  </si>
  <si>
    <t>HMG101</t>
  </si>
  <si>
    <t>HMG102</t>
  </si>
  <si>
    <t>HMG103</t>
  </si>
  <si>
    <t>HMG1032</t>
  </si>
  <si>
    <t>HMG105</t>
  </si>
  <si>
    <t>HMG107</t>
  </si>
  <si>
    <t>HMG10743</t>
  </si>
  <si>
    <t>HMG10760</t>
  </si>
  <si>
    <t>HMG10776</t>
  </si>
  <si>
    <t>HMG10850</t>
  </si>
  <si>
    <t>HMG110</t>
  </si>
  <si>
    <t>HMG110004</t>
  </si>
  <si>
    <t>HMG110005</t>
  </si>
  <si>
    <t>HMG110006</t>
  </si>
  <si>
    <t>HMG110024</t>
  </si>
  <si>
    <t>HMG110025</t>
  </si>
  <si>
    <t>HMG110026</t>
  </si>
  <si>
    <t>HMG110027</t>
  </si>
  <si>
    <t>HMG110049</t>
  </si>
  <si>
    <t>HMG110050</t>
  </si>
  <si>
    <t>HMG112</t>
  </si>
  <si>
    <t>HMG11205</t>
  </si>
  <si>
    <t>HMG11212</t>
  </si>
  <si>
    <t>HMG11218</t>
  </si>
  <si>
    <t>HMG11222</t>
  </si>
  <si>
    <t>HMG11225</t>
  </si>
  <si>
    <t>HMG11226</t>
  </si>
  <si>
    <t>HMG11234</t>
  </si>
  <si>
    <t>HMG11236</t>
  </si>
  <si>
    <t>HMG11237</t>
  </si>
  <si>
    <t>HMG115</t>
  </si>
  <si>
    <t>HMG1150</t>
  </si>
  <si>
    <t>HMG116</t>
  </si>
  <si>
    <t>HMG11608</t>
  </si>
  <si>
    <t>HMG11611</t>
  </si>
  <si>
    <t>HMG11619</t>
  </si>
  <si>
    <t>HMG11620</t>
  </si>
  <si>
    <t>HMG117</t>
  </si>
  <si>
    <t>HMG118</t>
  </si>
  <si>
    <t>HMG119</t>
  </si>
  <si>
    <t>HMG12001</t>
  </si>
  <si>
    <t>HMG12002</t>
  </si>
  <si>
    <t>HMG12003</t>
  </si>
  <si>
    <t>HMG12004</t>
  </si>
  <si>
    <t>HMG12010</t>
  </si>
  <si>
    <t>HMG12018</t>
  </si>
  <si>
    <t>HMG12024</t>
  </si>
  <si>
    <t>HMG12034</t>
  </si>
  <si>
    <t>HMG12035</t>
  </si>
  <si>
    <t>HMG12036</t>
  </si>
  <si>
    <t>HMG12051</t>
  </si>
  <si>
    <t>HMG12052</t>
  </si>
  <si>
    <t>HMG12053</t>
  </si>
  <si>
    <t>HMG12054</t>
  </si>
  <si>
    <t>HMG12055</t>
  </si>
  <si>
    <t>HMG12056</t>
  </si>
  <si>
    <t>HMG12057</t>
  </si>
  <si>
    <t>HMG12058</t>
  </si>
  <si>
    <t>HMG12060</t>
  </si>
  <si>
    <t>HMG12061</t>
  </si>
  <si>
    <t>HMG12062</t>
  </si>
  <si>
    <t>HMG12063</t>
  </si>
  <si>
    <t>HMG12070</t>
  </si>
  <si>
    <t>HMG12071</t>
  </si>
  <si>
    <t>HMG12072</t>
  </si>
  <si>
    <t>HMG12073</t>
  </si>
  <si>
    <t>HMG12074</t>
  </si>
  <si>
    <t>HMG12075</t>
  </si>
  <si>
    <t>HMG12076</t>
  </si>
  <si>
    <t>HMG12077</t>
  </si>
  <si>
    <t>HMG12078</t>
  </si>
  <si>
    <t>HMG12079</t>
  </si>
  <si>
    <t>HMG12080</t>
  </si>
  <si>
    <t>HMG12082</t>
  </si>
  <si>
    <t>HMG12083</t>
  </si>
  <si>
    <t>HMG12084</t>
  </si>
  <si>
    <t>HMG12085</t>
  </si>
  <si>
    <t>HMG12086</t>
  </si>
  <si>
    <t>HMG12087</t>
  </si>
  <si>
    <t>HMG12088</t>
  </si>
  <si>
    <t>HMG12089</t>
  </si>
  <si>
    <t>HMG12090</t>
  </si>
  <si>
    <t>HMG12095</t>
  </si>
  <si>
    <t>HMG12096</t>
  </si>
  <si>
    <t>HMG12151</t>
  </si>
  <si>
    <t>HMG122</t>
  </si>
  <si>
    <t>HMG12206</t>
  </si>
  <si>
    <t>HMG12212</t>
  </si>
  <si>
    <t>HMG123</t>
  </si>
  <si>
    <t>HMG12300</t>
  </si>
  <si>
    <t>HMG123000</t>
  </si>
  <si>
    <t>HMG12301</t>
  </si>
  <si>
    <t>HMG123050</t>
  </si>
  <si>
    <t>HMG123051</t>
  </si>
  <si>
    <t>HMG123052</t>
  </si>
  <si>
    <t>HMG123053</t>
  </si>
  <si>
    <t>HMG123054</t>
  </si>
  <si>
    <t>HMG123055</t>
  </si>
  <si>
    <t>HMG123056</t>
  </si>
  <si>
    <t>HMG124</t>
  </si>
  <si>
    <t>HMG126</t>
  </si>
  <si>
    <t>HMG12600A</t>
  </si>
  <si>
    <t>HMG12600B</t>
  </si>
  <si>
    <t>HMG12600C</t>
  </si>
  <si>
    <t>HMG12600D</t>
  </si>
  <si>
    <t>HMG12600E</t>
  </si>
  <si>
    <t>HMG12600F</t>
  </si>
  <si>
    <t>HMG12600G</t>
  </si>
  <si>
    <t>HMG12601A</t>
  </si>
  <si>
    <t>HMG12601B</t>
  </si>
  <si>
    <t>HMG12601C</t>
  </si>
  <si>
    <t>HMG12601D</t>
  </si>
  <si>
    <t>HMG12601E</t>
  </si>
  <si>
    <t>HMG12601F</t>
  </si>
  <si>
    <t>HMG12601G</t>
  </si>
  <si>
    <t>HMG12602A</t>
  </si>
  <si>
    <t>HMG12602B</t>
  </si>
  <si>
    <t>HMG12602C</t>
  </si>
  <si>
    <t>HMG12602D</t>
  </si>
  <si>
    <t>HMG12602E</t>
  </si>
  <si>
    <t>HMG12602F</t>
  </si>
  <si>
    <t>HMG12602G</t>
  </si>
  <si>
    <t>HMG12606</t>
  </si>
  <si>
    <t>HMG127</t>
  </si>
  <si>
    <t>HMG129</t>
  </si>
  <si>
    <t>HMG130</t>
  </si>
  <si>
    <t>HMG13000</t>
  </si>
  <si>
    <t>HMG13001</t>
  </si>
  <si>
    <t>HMG13003</t>
  </si>
  <si>
    <t>HMG13004</t>
  </si>
  <si>
    <t>HMG13006</t>
  </si>
  <si>
    <t>HMG13009</t>
  </si>
  <si>
    <t>HMG13010</t>
  </si>
  <si>
    <t>HMG13011</t>
  </si>
  <si>
    <t>HMG13012</t>
  </si>
  <si>
    <t>HMG13014</t>
  </si>
  <si>
    <t>HMG13015</t>
  </si>
  <si>
    <t>HMG13017</t>
  </si>
  <si>
    <t>HMG13018</t>
  </si>
  <si>
    <t>HMG13019</t>
  </si>
  <si>
    <t>HMG13022</t>
  </si>
  <si>
    <t>HMG13023</t>
  </si>
  <si>
    <t>HMG13024</t>
  </si>
  <si>
    <t>HMG13026</t>
  </si>
  <si>
    <t>HMG13029</t>
  </si>
  <si>
    <t>HMG13030</t>
  </si>
  <si>
    <t>HMG13031</t>
  </si>
  <si>
    <t>HMG13033</t>
  </si>
  <si>
    <t>HMG13035</t>
  </si>
  <si>
    <t>HMG13036</t>
  </si>
  <si>
    <t>HMG13038</t>
  </si>
  <si>
    <t>HMG13043</t>
  </si>
  <si>
    <t>HMG13045</t>
  </si>
  <si>
    <t>HMG13048</t>
  </si>
  <si>
    <t>HMG13050</t>
  </si>
  <si>
    <t>HMG13051</t>
  </si>
  <si>
    <t>HMG13052</t>
  </si>
  <si>
    <t>HMG13055</t>
  </si>
  <si>
    <t>HMG13057</t>
  </si>
  <si>
    <t>HMG13058</t>
  </si>
  <si>
    <t>HMG13061</t>
  </si>
  <si>
    <t>HMG13063</t>
  </si>
  <si>
    <t>HMG13066</t>
  </si>
  <si>
    <t>HMG13069</t>
  </si>
  <si>
    <t>HMG13070</t>
  </si>
  <si>
    <t>HMG13071</t>
  </si>
  <si>
    <t>HMG13072</t>
  </si>
  <si>
    <t>HMG13075</t>
  </si>
  <si>
    <t>HMG13076</t>
  </si>
  <si>
    <t>HMG13078</t>
  </si>
  <si>
    <t>HMG13081</t>
  </si>
  <si>
    <t>HMG13082</t>
  </si>
  <si>
    <t>HMG13083</t>
  </si>
  <si>
    <t>HMG13084</t>
  </si>
  <si>
    <t>HMG13085</t>
  </si>
  <si>
    <t>HMG13086</t>
  </si>
  <si>
    <t>HMG13090</t>
  </si>
  <si>
    <t>HMG13091</t>
  </si>
  <si>
    <t>HMG13093</t>
  </si>
  <si>
    <t>HMG13094</t>
  </si>
  <si>
    <t>HMG13096</t>
  </si>
  <si>
    <t>HMG13097</t>
  </si>
  <si>
    <t>HMG13099</t>
  </si>
  <si>
    <t>HMG131</t>
  </si>
  <si>
    <t>HMG13100</t>
  </si>
  <si>
    <t>HMG13106</t>
  </si>
  <si>
    <t>HMG13112</t>
  </si>
  <si>
    <t>HMG13113</t>
  </si>
  <si>
    <t>HMG13115</t>
  </si>
  <si>
    <t>HMG13116</t>
  </si>
  <si>
    <t>HMG132</t>
  </si>
  <si>
    <t>HMG13201</t>
  </si>
  <si>
    <t>HMG13205</t>
  </si>
  <si>
    <t>HMG13207</t>
  </si>
  <si>
    <t>HMG13208</t>
  </si>
  <si>
    <t>HMG13209</t>
  </si>
  <si>
    <t>HMG13211</t>
  </si>
  <si>
    <t>HMG13212</t>
  </si>
  <si>
    <t>HMG13213</t>
  </si>
  <si>
    <t>HMG13214</t>
  </si>
  <si>
    <t>HMG13215</t>
  </si>
  <si>
    <t>HMG13216</t>
  </si>
  <si>
    <t>HMG13217</t>
  </si>
  <si>
    <t>HMG13218</t>
  </si>
  <si>
    <t>HMG13219</t>
  </si>
  <si>
    <t>HMG13220</t>
  </si>
  <si>
    <t>HMG13221</t>
  </si>
  <si>
    <t>HMG13222</t>
  </si>
  <si>
    <t>HMG13224</t>
  </si>
  <si>
    <t>HMG13226</t>
  </si>
  <si>
    <t>HMG13227</t>
  </si>
  <si>
    <t>HMG13230</t>
  </si>
  <si>
    <t>HMG13236</t>
  </si>
  <si>
    <t>HMG13238</t>
  </si>
  <si>
    <t>HMG13239</t>
  </si>
  <si>
    <t>HMG133</t>
  </si>
  <si>
    <t>HMG14005</t>
  </si>
  <si>
    <t>HMG14006</t>
  </si>
  <si>
    <t>HMG14007</t>
  </si>
  <si>
    <t>HMG14008</t>
  </si>
  <si>
    <t>HMG14009</t>
  </si>
  <si>
    <t>HMG14013</t>
  </si>
  <si>
    <t>HMG14014</t>
  </si>
  <si>
    <t>HMG14015</t>
  </si>
  <si>
    <t>HMG14020</t>
  </si>
  <si>
    <t>HMG1500</t>
  </si>
  <si>
    <t>HMG15030</t>
  </si>
  <si>
    <t>HMG151</t>
  </si>
  <si>
    <t>HMG154</t>
  </si>
  <si>
    <t>HMG155</t>
  </si>
  <si>
    <t>HMG16003</t>
  </si>
  <si>
    <t>HMG16004</t>
  </si>
  <si>
    <t>HMG16005</t>
  </si>
  <si>
    <t>HMG16006</t>
  </si>
  <si>
    <t>HMG16007</t>
  </si>
  <si>
    <t>HMG16008</t>
  </si>
  <si>
    <t>HMG16009</t>
  </si>
  <si>
    <t>HMG16010</t>
  </si>
  <si>
    <t>HMG163</t>
  </si>
  <si>
    <t>HMG165</t>
  </si>
  <si>
    <t>HMG166</t>
  </si>
  <si>
    <t>HMG167</t>
  </si>
  <si>
    <t>HMG169</t>
  </si>
  <si>
    <t>HMG170</t>
  </si>
  <si>
    <t>HMG1957</t>
  </si>
  <si>
    <t>HMG196</t>
  </si>
  <si>
    <t>HMG198</t>
  </si>
  <si>
    <t>HMG199217</t>
  </si>
  <si>
    <t>HMG199575</t>
  </si>
  <si>
    <t>HMG199576</t>
  </si>
  <si>
    <t>HMG199609</t>
  </si>
  <si>
    <t>HMG199766</t>
  </si>
  <si>
    <t>HMG199777</t>
  </si>
  <si>
    <t>HMG199902</t>
  </si>
  <si>
    <t>HMG199924</t>
  </si>
  <si>
    <t>HMG199945</t>
  </si>
  <si>
    <t>HMG199949</t>
  </si>
  <si>
    <t>HMG199951</t>
  </si>
  <si>
    <t>HMG199954</t>
  </si>
  <si>
    <t>HMG199974</t>
  </si>
  <si>
    <t>HMG200</t>
  </si>
  <si>
    <t>HMG200010</t>
  </si>
  <si>
    <t>HMG200011</t>
  </si>
  <si>
    <t>HMG200012</t>
  </si>
  <si>
    <t>HMG200013</t>
  </si>
  <si>
    <t>HMG200014</t>
  </si>
  <si>
    <t>HMG200015</t>
  </si>
  <si>
    <t>HMG200016</t>
  </si>
  <si>
    <t>HMG200017</t>
  </si>
  <si>
    <t>HMG200018</t>
  </si>
  <si>
    <t>HMG200019</t>
  </si>
  <si>
    <t>HMG200020</t>
  </si>
  <si>
    <t>HMG200021</t>
  </si>
  <si>
    <t>HMG200022</t>
  </si>
  <si>
    <t>HMG200024</t>
  </si>
  <si>
    <t>HMG200025</t>
  </si>
  <si>
    <t>HMG200026</t>
  </si>
  <si>
    <t>HMG200027</t>
  </si>
  <si>
    <t>HMG200028</t>
  </si>
  <si>
    <t>HMG200068</t>
  </si>
  <si>
    <t>HMG200134</t>
  </si>
  <si>
    <t>HMG200135</t>
  </si>
  <si>
    <t>HMG200139</t>
  </si>
  <si>
    <t>HMG200140</t>
  </si>
  <si>
    <t>HMG200147</t>
  </si>
  <si>
    <t>HMG200157</t>
  </si>
  <si>
    <t>HMG200159</t>
  </si>
  <si>
    <t>HMG200166</t>
  </si>
  <si>
    <t>HMG200167</t>
  </si>
  <si>
    <t>HMG200168</t>
  </si>
  <si>
    <t>HMG200169</t>
  </si>
  <si>
    <t>HMG200170</t>
  </si>
  <si>
    <t>HMG200171</t>
  </si>
  <si>
    <t>HMG200172</t>
  </si>
  <si>
    <t>HMG200176</t>
  </si>
  <si>
    <t>HMG200178</t>
  </si>
  <si>
    <t>HMG200179</t>
  </si>
  <si>
    <t>HMG200180</t>
  </si>
  <si>
    <t>HMG200181</t>
  </si>
  <si>
    <t>HMG200187</t>
  </si>
  <si>
    <t>HMG200188</t>
  </si>
  <si>
    <t>HMG200189</t>
  </si>
  <si>
    <t>HMG200190</t>
  </si>
  <si>
    <t>HMG200191</t>
  </si>
  <si>
    <t>HMG200192</t>
  </si>
  <si>
    <t>HMG200193</t>
  </si>
  <si>
    <t>HMG200194</t>
  </si>
  <si>
    <t>HMG200195</t>
  </si>
  <si>
    <t>HMG200196</t>
  </si>
  <si>
    <t>HMG200220</t>
  </si>
  <si>
    <t>HMG200237</t>
  </si>
  <si>
    <t>HMG200242</t>
  </si>
  <si>
    <t>HMG200244</t>
  </si>
  <si>
    <t>HMG200245</t>
  </si>
  <si>
    <t>HMG200257</t>
  </si>
  <si>
    <t>HMG200261</t>
  </si>
  <si>
    <t>HMG200264</t>
  </si>
  <si>
    <t>HMG200265</t>
  </si>
  <si>
    <t>HMG200268</t>
  </si>
  <si>
    <t>HMG200272</t>
  </si>
  <si>
    <t>HMG200282</t>
  </si>
  <si>
    <t>HMG200291</t>
  </si>
  <si>
    <t>HMG200292</t>
  </si>
  <si>
    <t>HMG200293</t>
  </si>
  <si>
    <t>HMG200300</t>
  </si>
  <si>
    <t>HMG200301</t>
  </si>
  <si>
    <t>HMG20043</t>
  </si>
  <si>
    <t>HMG20049</t>
  </si>
  <si>
    <t>HMG20050</t>
  </si>
  <si>
    <t>HMG2009</t>
  </si>
  <si>
    <t>HMG201</t>
  </si>
  <si>
    <t>HMG2010</t>
  </si>
  <si>
    <t>HMG2011</t>
  </si>
  <si>
    <t>HMG2012</t>
  </si>
  <si>
    <t>HMG202</t>
  </si>
  <si>
    <t>HMG2028</t>
  </si>
  <si>
    <t>HMG203</t>
  </si>
  <si>
    <t>HMG206</t>
  </si>
  <si>
    <t>HMG2077</t>
  </si>
  <si>
    <t>HMG2090</t>
  </si>
  <si>
    <t>HMG2091</t>
  </si>
  <si>
    <t>HMG2092</t>
  </si>
  <si>
    <t>HMG2093</t>
  </si>
  <si>
    <t>HMG2111</t>
  </si>
  <si>
    <t>HMG2116</t>
  </si>
  <si>
    <t>HMG2141</t>
  </si>
  <si>
    <t>HMG2145</t>
  </si>
  <si>
    <t>HMG219</t>
  </si>
  <si>
    <t>HMG221</t>
  </si>
  <si>
    <t>HMG3007</t>
  </si>
  <si>
    <t>HMG3008</t>
  </si>
  <si>
    <t>HMG3017</t>
  </si>
  <si>
    <t>HMG3020</t>
  </si>
  <si>
    <t>HMG30200</t>
  </si>
  <si>
    <t>HMG30202</t>
  </si>
  <si>
    <t>HMG30203</t>
  </si>
  <si>
    <t>HMG30204</t>
  </si>
  <si>
    <t>HMG30205</t>
  </si>
  <si>
    <t>HMG30207</t>
  </si>
  <si>
    <t>HMG30208</t>
  </si>
  <si>
    <t>HMG30211</t>
  </si>
  <si>
    <t>HMG30212</t>
  </si>
  <si>
    <t>HMG30213</t>
  </si>
  <si>
    <t>HMG30216</t>
  </si>
  <si>
    <t>HMG30217</t>
  </si>
  <si>
    <t>HMG30218</t>
  </si>
  <si>
    <t>HMG30220</t>
  </si>
  <si>
    <t>HMG30223</t>
  </si>
  <si>
    <t>HMG30224</t>
  </si>
  <si>
    <t>HMG30225</t>
  </si>
  <si>
    <t>HMG30226</t>
  </si>
  <si>
    <t>HMG30227</t>
  </si>
  <si>
    <t>HMG30228</t>
  </si>
  <si>
    <t>HMG30229</t>
  </si>
  <si>
    <t>HMG30230</t>
  </si>
  <si>
    <t>HMG30231</t>
  </si>
  <si>
    <t>HMG30232</t>
  </si>
  <si>
    <t>HMG30233</t>
  </si>
  <si>
    <t>HMG30234</t>
  </si>
  <si>
    <t>HMG30236</t>
  </si>
  <si>
    <t>HMG30238</t>
  </si>
  <si>
    <t>HMG30239</t>
  </si>
  <si>
    <t>HMG30244</t>
  </si>
  <si>
    <t>HMG30247</t>
  </si>
  <si>
    <t>HMG30248</t>
  </si>
  <si>
    <t>HMG3028</t>
  </si>
  <si>
    <t>HMG3300</t>
  </si>
  <si>
    <t>HMG3301</t>
  </si>
  <si>
    <t>HMG3309</t>
  </si>
  <si>
    <t>HMG3310</t>
  </si>
  <si>
    <t>HMG3507</t>
  </si>
  <si>
    <t>HMG3517</t>
  </si>
  <si>
    <t>HMG3527</t>
  </si>
  <si>
    <t>HMG3528</t>
  </si>
  <si>
    <t>HMG3529</t>
  </si>
  <si>
    <t>HMG3530</t>
  </si>
  <si>
    <t>HMG3535</t>
  </si>
  <si>
    <t>HMG3536</t>
  </si>
  <si>
    <t>HMG3560</t>
  </si>
  <si>
    <t>HMG3561</t>
  </si>
  <si>
    <t>HMG3564</t>
  </si>
  <si>
    <t>HMG3565</t>
  </si>
  <si>
    <t>HMG3568</t>
  </si>
  <si>
    <t>HMG3582</t>
  </si>
  <si>
    <t>HMG3586</t>
  </si>
  <si>
    <t>HMG3608</t>
  </si>
  <si>
    <t>HMG3609</t>
  </si>
  <si>
    <t>HMG3610</t>
  </si>
  <si>
    <t>HMG3617</t>
  </si>
  <si>
    <t>HMG3627</t>
  </si>
  <si>
    <t>HMG3645</t>
  </si>
  <si>
    <t>HMG3646</t>
  </si>
  <si>
    <t>HMG3647</t>
  </si>
  <si>
    <t>HMG3648</t>
  </si>
  <si>
    <t>HMG37009</t>
  </si>
  <si>
    <t>HMG37010</t>
  </si>
  <si>
    <t>HMG37011</t>
  </si>
  <si>
    <t>HMG3704</t>
  </si>
  <si>
    <t>HMG3705</t>
  </si>
  <si>
    <t>HMG3718</t>
  </si>
  <si>
    <t>HMG372040</t>
  </si>
  <si>
    <t>HMG372045</t>
  </si>
  <si>
    <t>HMG3727</t>
  </si>
  <si>
    <t>HMG3728</t>
  </si>
  <si>
    <t>HMG3729</t>
  </si>
  <si>
    <t>HMG373040</t>
  </si>
  <si>
    <t>HMG373045</t>
  </si>
  <si>
    <t>HMG3734</t>
  </si>
  <si>
    <t>HMG3735</t>
  </si>
  <si>
    <t>HMG3739</t>
  </si>
  <si>
    <t>HMG3749</t>
  </si>
  <si>
    <t>HMG3750</t>
  </si>
  <si>
    <t>HMG3756</t>
  </si>
  <si>
    <t>HMG3758</t>
  </si>
  <si>
    <t>HMG3900</t>
  </si>
  <si>
    <t>HMG4020PM</t>
  </si>
  <si>
    <t>HMG4059</t>
  </si>
  <si>
    <t>HMG4060</t>
  </si>
  <si>
    <t>HMG4116</t>
  </si>
  <si>
    <t>HMG4186</t>
  </si>
  <si>
    <t>HMG4800</t>
  </si>
  <si>
    <t>HMG508</t>
  </si>
  <si>
    <t>HMG515</t>
  </si>
  <si>
    <t>HMG516</t>
  </si>
  <si>
    <t>HMG55000</t>
  </si>
  <si>
    <t>HMG55001</t>
  </si>
  <si>
    <t>HMG55002</t>
  </si>
  <si>
    <t>HMG55003</t>
  </si>
  <si>
    <t>HMG55005</t>
  </si>
  <si>
    <t>HMG55006</t>
  </si>
  <si>
    <t>HMG55100</t>
  </si>
  <si>
    <t>HMG55200</t>
  </si>
  <si>
    <t>HMG55201</t>
  </si>
  <si>
    <t>HMG55300</t>
  </si>
  <si>
    <t>HMG55400</t>
  </si>
  <si>
    <t>HMG55401</t>
  </si>
  <si>
    <t>HMG55402</t>
  </si>
  <si>
    <t>HMG55600</t>
  </si>
  <si>
    <t>HMG55702</t>
  </si>
  <si>
    <t>HMG55703</t>
  </si>
  <si>
    <t>HMG55704</t>
  </si>
  <si>
    <t>HMG55710</t>
  </si>
  <si>
    <t>HMG55711</t>
  </si>
  <si>
    <t>HMG55751</t>
  </si>
  <si>
    <t>HMG55800</t>
  </si>
  <si>
    <t>HMG55801</t>
  </si>
  <si>
    <t>HMG563</t>
  </si>
  <si>
    <t>HMG603</t>
  </si>
  <si>
    <t>HMG6208</t>
  </si>
  <si>
    <t>HMG6210</t>
  </si>
  <si>
    <t>HMG6213</t>
  </si>
  <si>
    <t>HMG6214</t>
  </si>
  <si>
    <t>HMG6216</t>
  </si>
  <si>
    <t>HMG6218</t>
  </si>
  <si>
    <t>HMG6222</t>
  </si>
  <si>
    <t>HMG633</t>
  </si>
  <si>
    <t>HMG637</t>
  </si>
  <si>
    <t>HMG651</t>
  </si>
  <si>
    <t>HMG652</t>
  </si>
  <si>
    <t>HMG654</t>
  </si>
  <si>
    <t>HMG656</t>
  </si>
  <si>
    <t>HMG660</t>
  </si>
  <si>
    <t>HMG851</t>
  </si>
  <si>
    <t>HMG90006</t>
  </si>
  <si>
    <t>HMG90007</t>
  </si>
  <si>
    <t>HMG90009</t>
  </si>
  <si>
    <t>HMG90011</t>
  </si>
  <si>
    <t>HMG90012</t>
  </si>
  <si>
    <t>HMG90015</t>
  </si>
  <si>
    <t>HMG90016</t>
  </si>
  <si>
    <t>HMG90017</t>
  </si>
  <si>
    <t>HMG920</t>
  </si>
  <si>
    <t>HMG950</t>
  </si>
  <si>
    <t>HMG951</t>
  </si>
  <si>
    <t>HMG9561</t>
  </si>
  <si>
    <t>HMGALPI03</t>
  </si>
  <si>
    <t>HMGALPI04</t>
  </si>
  <si>
    <t>HMGALPI05</t>
  </si>
  <si>
    <t>HMGALPI06</t>
  </si>
  <si>
    <t>HMGALPI07</t>
  </si>
  <si>
    <t>HMGALPI08</t>
  </si>
  <si>
    <t>HMGALPI09</t>
  </si>
  <si>
    <t>HMGDR10EL</t>
  </si>
  <si>
    <t>HMGDR11EL</t>
  </si>
  <si>
    <t>HMGDR12EL</t>
  </si>
  <si>
    <t>HMGDR13EL</t>
  </si>
  <si>
    <t>HMGDR14EL</t>
  </si>
  <si>
    <t>HMGDR15EL</t>
  </si>
  <si>
    <t>HMGDR16EL</t>
  </si>
  <si>
    <t>HMGDR1UK</t>
  </si>
  <si>
    <t>HMGDR20EL</t>
  </si>
  <si>
    <t>HMGDR21EL</t>
  </si>
  <si>
    <t>HMGDR25EL</t>
  </si>
  <si>
    <t>HMGDR26EL</t>
  </si>
  <si>
    <t>HMGDR27EL</t>
  </si>
  <si>
    <t>HMGDR28EL</t>
  </si>
  <si>
    <t>HMGDR29EL</t>
  </si>
  <si>
    <t>HMGDR2UK</t>
  </si>
  <si>
    <t>HMGDR30EL</t>
  </si>
  <si>
    <t>HMGDR31EL</t>
  </si>
  <si>
    <t>HMGDR32EL</t>
  </si>
  <si>
    <t>HMGDR33EL</t>
  </si>
  <si>
    <t>HMGDR34EL</t>
  </si>
  <si>
    <t>HMGDR35EL</t>
  </si>
  <si>
    <t>HMGDR36CL</t>
  </si>
  <si>
    <t>HMGDR37CL</t>
  </si>
  <si>
    <t>HMGDR38EL</t>
  </si>
  <si>
    <t>HMGDR39EL</t>
  </si>
  <si>
    <t>HMGDR40AC</t>
  </si>
  <si>
    <t>HMGDR41AC</t>
  </si>
  <si>
    <t>HMGDR42AC</t>
  </si>
  <si>
    <t>HMGDR43AC</t>
  </si>
  <si>
    <t>HMGDR44AC</t>
  </si>
  <si>
    <t>HMGDR47AC</t>
  </si>
  <si>
    <t>HMGDR48AC</t>
  </si>
  <si>
    <t>HMGDR49AC</t>
  </si>
  <si>
    <t>HMGDR50AC</t>
  </si>
  <si>
    <t>HMGDR51AC</t>
  </si>
  <si>
    <t>HMGDR52AC</t>
  </si>
  <si>
    <t>HMGDR60BA</t>
  </si>
  <si>
    <t>HMGDR61BA</t>
  </si>
  <si>
    <t>HMGDR62BA</t>
  </si>
  <si>
    <t>HMGDR63BA</t>
  </si>
  <si>
    <t>HMGDR64BA</t>
  </si>
  <si>
    <t>HMGDR65BA</t>
  </si>
  <si>
    <t>HMGDR66BA</t>
  </si>
  <si>
    <t>HMGDR67BA</t>
  </si>
  <si>
    <t>HMGDR69BA</t>
  </si>
  <si>
    <t>HMGDR70BA</t>
  </si>
  <si>
    <t>HMGDR71BA</t>
  </si>
  <si>
    <t>HMGDR72BA</t>
  </si>
  <si>
    <t>HMGDR73BA</t>
  </si>
  <si>
    <t>HMGDR74BA</t>
  </si>
  <si>
    <t>HMGDR75BA</t>
  </si>
  <si>
    <t>HMGDR76BA</t>
  </si>
  <si>
    <t>HMGDR77BA</t>
  </si>
  <si>
    <t>HMGDR78BA</t>
  </si>
  <si>
    <t>HMGDR79BA</t>
  </si>
  <si>
    <t>HMGDR80BA</t>
  </si>
  <si>
    <t>HMGKNA01</t>
  </si>
  <si>
    <t>HMGKNA02</t>
  </si>
  <si>
    <t>HMGKNA04</t>
  </si>
  <si>
    <t>HMGKNA05</t>
  </si>
  <si>
    <t>HMGKNA06</t>
  </si>
  <si>
    <t>HMGKNA07</t>
  </si>
  <si>
    <t>HMGKNA08</t>
  </si>
  <si>
    <t>HMGKNA09</t>
  </si>
  <si>
    <t>HMGKNA10</t>
  </si>
  <si>
    <t>HMGKNA11</t>
  </si>
  <si>
    <t>HMGKNA12</t>
  </si>
  <si>
    <t>HMGKNA14</t>
  </si>
  <si>
    <t>HMGKNA15</t>
  </si>
  <si>
    <t>HMGKNA19</t>
  </si>
  <si>
    <t>HMGSGA02</t>
  </si>
  <si>
    <t>HMGSGA03</t>
  </si>
  <si>
    <t>HMGSGA17</t>
  </si>
  <si>
    <t>HMGSGB07</t>
  </si>
  <si>
    <t>HMGSGB08</t>
  </si>
  <si>
    <t>HMGSGB09</t>
  </si>
  <si>
    <t>HMGSGB10</t>
  </si>
  <si>
    <t>HMGSGB11</t>
  </si>
  <si>
    <t>HMGSGBA2</t>
  </si>
  <si>
    <t>HMGSGC01</t>
  </si>
  <si>
    <t>HMGSGC16</t>
  </si>
  <si>
    <t>HMGSGCA1</t>
  </si>
  <si>
    <t>HMGSGE04</t>
  </si>
  <si>
    <t>HMGSGE05</t>
  </si>
  <si>
    <t>HMGSGE06</t>
  </si>
  <si>
    <t>HMGSGU12</t>
  </si>
  <si>
    <t>HMGSGU13</t>
  </si>
  <si>
    <t>HMGSGU14</t>
  </si>
  <si>
    <t>HMGSGU15</t>
  </si>
  <si>
    <t>HMGSITA08</t>
  </si>
  <si>
    <t>HMGSITA09</t>
  </si>
  <si>
    <t>HMGSITA10</t>
  </si>
  <si>
    <t>HMGSITE16</t>
  </si>
  <si>
    <t>HMGSITE17</t>
  </si>
  <si>
    <t>IMPORT12505300000</t>
  </si>
  <si>
    <t>IMPORT12505400000</t>
  </si>
  <si>
    <t>IMPORT12518400000</t>
  </si>
  <si>
    <t>IMPORT12518800000</t>
  </si>
  <si>
    <t>IMPORT12518900000</t>
  </si>
  <si>
    <t>IMPORT12564300000</t>
  </si>
  <si>
    <t>IMPORT15004000000</t>
  </si>
  <si>
    <t>IMPORT15006000000</t>
  </si>
  <si>
    <t>IMPORT15010000000</t>
  </si>
  <si>
    <t>IMPORT15010200002</t>
  </si>
  <si>
    <t>IMPORT15013010000</t>
  </si>
  <si>
    <t>IMPORT15013210000</t>
  </si>
  <si>
    <t>IMPORT15038000001</t>
  </si>
  <si>
    <t>IMPORT15053600000</t>
  </si>
  <si>
    <t>IMPORT15057700000</t>
  </si>
  <si>
    <t>IMPORT15095000000</t>
  </si>
  <si>
    <t>IMPORT24031000001</t>
  </si>
  <si>
    <t>IMPORT44010100000</t>
  </si>
  <si>
    <t>IMPORT47000100000</t>
  </si>
  <si>
    <t>IMPORT47000416000</t>
  </si>
  <si>
    <t>IMPORT47002590000</t>
  </si>
  <si>
    <t>IMPORT47002594000</t>
  </si>
  <si>
    <t>IMPORT47002594001</t>
  </si>
  <si>
    <t>IMPORT47002595000</t>
  </si>
  <si>
    <t>IMPORT47002700000</t>
  </si>
  <si>
    <t>IMPORT47002710000</t>
  </si>
  <si>
    <t>IMPORT47002720000</t>
  </si>
  <si>
    <t>IMPORT47002732000</t>
  </si>
  <si>
    <t>IMPORT47002750000</t>
  </si>
  <si>
    <t>IMPORT47002800000</t>
  </si>
  <si>
    <t>IMPORT47002850000</t>
  </si>
  <si>
    <t>IMPORT47002900000</t>
  </si>
  <si>
    <t>IMPORT47007100000</t>
  </si>
  <si>
    <t>IMPORT47008090000</t>
  </si>
  <si>
    <t>IMPORT47008600000</t>
  </si>
  <si>
    <t>IMPORT47008630001</t>
  </si>
  <si>
    <t>IMPORT47008802001</t>
  </si>
  <si>
    <t>IMPORT47009520000</t>
  </si>
  <si>
    <t>IMPORT47009620000</t>
  </si>
  <si>
    <t>IMPORT47009915000</t>
  </si>
  <si>
    <t>IMPORT47009970000</t>
  </si>
  <si>
    <t>IMPORT47010020000</t>
  </si>
  <si>
    <t>IMPORT47010030000</t>
  </si>
  <si>
    <t>IMPORT47011000000</t>
  </si>
  <si>
    <t>IMPORT47011000001</t>
  </si>
  <si>
    <t>IMPORT47011500001</t>
  </si>
  <si>
    <t>IMPORT47012000000</t>
  </si>
  <si>
    <t>IMPORT47012000001</t>
  </si>
  <si>
    <t>IMPORT47014000001</t>
  </si>
  <si>
    <t>IMPORT47014000002</t>
  </si>
  <si>
    <t>IMPORT47039360000</t>
  </si>
  <si>
    <t>IMPORT47039505000</t>
  </si>
  <si>
    <t>IMPORT47309926002</t>
  </si>
  <si>
    <t>IMPORT47310120001</t>
  </si>
  <si>
    <t>IMPORT47310910000</t>
  </si>
  <si>
    <t>IMPORT47319900002</t>
  </si>
  <si>
    <t>IMPORT47808200000</t>
  </si>
  <si>
    <t>IMPORT47809150000</t>
  </si>
  <si>
    <t>IMPORT48675010000</t>
  </si>
  <si>
    <t>IMPORT48681600001</t>
  </si>
  <si>
    <t>IMPORT48681600002</t>
  </si>
  <si>
    <t>IMPORT50408500000</t>
  </si>
  <si>
    <t>IMPORT50410800000</t>
  </si>
  <si>
    <t>IMPORT50410820000</t>
  </si>
  <si>
    <t>IMPORT50411900000</t>
  </si>
  <si>
    <t>IMPORT50436400000</t>
  </si>
  <si>
    <t>IMPORT50436500000</t>
  </si>
  <si>
    <t>IMPORT51602900000</t>
  </si>
  <si>
    <t>IMPORT51620320000</t>
  </si>
  <si>
    <t>IMPORT51621320000</t>
  </si>
  <si>
    <t>IMPORT51704800000</t>
  </si>
  <si>
    <t>IMPORT51710420000</t>
  </si>
  <si>
    <t>IMPORT51711220000</t>
  </si>
  <si>
    <t>IMPORT51711420000</t>
  </si>
  <si>
    <t>IMPORT51713220000</t>
  </si>
  <si>
    <t>IMPORT51741000000</t>
  </si>
  <si>
    <t>IMPORT51742000000</t>
  </si>
  <si>
    <t>IMPORT51759000000</t>
  </si>
  <si>
    <t>IMPORT51760000000</t>
  </si>
  <si>
    <t>IMPORT62010000000</t>
  </si>
  <si>
    <t>IMPORT62050000000</t>
  </si>
  <si>
    <t>IMPORT62072000000</t>
  </si>
  <si>
    <t>IMPORT62081000000</t>
  </si>
  <si>
    <t>IMPORT62084200000</t>
  </si>
  <si>
    <t>IMPORT62211500000</t>
  </si>
  <si>
    <t>IMPORT62216850000</t>
  </si>
  <si>
    <t>IMPORT62219510000</t>
  </si>
  <si>
    <t>IMPORT63309008000</t>
  </si>
  <si>
    <t>IMPORT63309202500</t>
  </si>
  <si>
    <t>IMPORT63309207500</t>
  </si>
  <si>
    <t>IMPORT63309283000</t>
  </si>
  <si>
    <t>IMPORT63309328000</t>
  </si>
  <si>
    <t>IMPORT63309358000</t>
  </si>
  <si>
    <t>IMPORT63309380000</t>
  </si>
  <si>
    <t>IMPORT63309430000</t>
  </si>
  <si>
    <t>IMPORT63309460000</t>
  </si>
  <si>
    <t>IMPORT63324010000</t>
  </si>
  <si>
    <t>IMPORT63327010000</t>
  </si>
  <si>
    <t>IMPORT63330949000</t>
  </si>
  <si>
    <t>IMPORT63330952500</t>
  </si>
  <si>
    <t>IMPORT63336000000</t>
  </si>
  <si>
    <t>IMPORT63340000000</t>
  </si>
  <si>
    <t>IMPORT63346795000</t>
  </si>
  <si>
    <t>IMPORT63346800000</t>
  </si>
  <si>
    <t>IMPORT63347000000</t>
  </si>
  <si>
    <t>IMPORT63351000000</t>
  </si>
  <si>
    <t>IMPORT63352000000</t>
  </si>
  <si>
    <t>IMPORT63355000000</t>
  </si>
  <si>
    <t>IMPORT63357000000</t>
  </si>
  <si>
    <t>IMPORT63360000000</t>
  </si>
  <si>
    <t>IMPORT63372000000</t>
  </si>
  <si>
    <t>IMPORT63375000000</t>
  </si>
  <si>
    <t>IMPORT63376000000</t>
  </si>
  <si>
    <t>IMPORT63377000000</t>
  </si>
  <si>
    <t>IMPORT63378000000</t>
  </si>
  <si>
    <t>IMPORT63379000000</t>
  </si>
  <si>
    <t>IMPORT63710060000</t>
  </si>
  <si>
    <t>IMPORT66409100001</t>
  </si>
  <si>
    <t>IMPORT67605000005</t>
  </si>
  <si>
    <t>IMPORT67606500002</t>
  </si>
  <si>
    <t>IMPORT67608000005</t>
  </si>
  <si>
    <t>IMPORT67608500001</t>
  </si>
  <si>
    <t>IMPORT67608500002</t>
  </si>
  <si>
    <t>IMPORT67614500001</t>
  </si>
  <si>
    <t>IMPORT67625000001</t>
  </si>
  <si>
    <t>IMPORT67626000001</t>
  </si>
  <si>
    <t>IMPORT67628000001</t>
  </si>
  <si>
    <t>IMPORT67628000002</t>
  </si>
  <si>
    <t>IMPORT67633000004</t>
  </si>
  <si>
    <t>IMPORT67786000002</t>
  </si>
  <si>
    <t>IMPORT67786500001</t>
  </si>
  <si>
    <t>IMPORT67791000001</t>
  </si>
  <si>
    <t>IMPORT70518000000</t>
  </si>
  <si>
    <t>IMPORT70574000000</t>
  </si>
  <si>
    <t>IMPORT81400000000</t>
  </si>
  <si>
    <t>IMPORT81400000100</t>
  </si>
  <si>
    <t>IMPORT81400010000</t>
  </si>
  <si>
    <t>IMPORT81453600000</t>
  </si>
  <si>
    <t>IMPORT81597200000</t>
  </si>
  <si>
    <t>IMPORT81610500000</t>
  </si>
  <si>
    <t>IMPORT81625000000</t>
  </si>
  <si>
    <t>IMPORT81625020000</t>
  </si>
  <si>
    <t>IMPORT81625100000</t>
  </si>
  <si>
    <t>IMPORT81626000000</t>
  </si>
  <si>
    <t>IMPORT81630600000</t>
  </si>
  <si>
    <t>IMPORT81631700000</t>
  </si>
  <si>
    <t>IMPORT81633700000</t>
  </si>
  <si>
    <t>IMPORT81633820000</t>
  </si>
  <si>
    <t>IMPORT81661200000</t>
  </si>
  <si>
    <t>IMPORT81699100500</t>
  </si>
  <si>
    <t>IMPORT81701550000</t>
  </si>
  <si>
    <t>IMPORT81701560000</t>
  </si>
  <si>
    <t>IMPORT81701600000</t>
  </si>
  <si>
    <t>IMPORT81701610000</t>
  </si>
  <si>
    <t>IMPORT81760010000</t>
  </si>
  <si>
    <t>IMPORT81760410000</t>
  </si>
  <si>
    <t>IMPORT81760610000</t>
  </si>
  <si>
    <t>IMPORT81760910000</t>
  </si>
  <si>
    <t>IMPORT81761004000</t>
  </si>
  <si>
    <t>IMPORT82009500000</t>
  </si>
  <si>
    <t>IMPORT82009700000</t>
  </si>
  <si>
    <t>IMPORT82010000000</t>
  </si>
  <si>
    <t>IMPORT84031000001</t>
  </si>
  <si>
    <t>IMPORT84103000002</t>
  </si>
  <si>
    <t>IMPORT84130000001</t>
  </si>
  <si>
    <t>IMPORT84145000001</t>
  </si>
  <si>
    <t>IMSABP-RL-SPD30</t>
  </si>
  <si>
    <t>IMSAIP-LP-LP257KP</t>
  </si>
  <si>
    <t>IMSAIP-LP-LP305</t>
  </si>
  <si>
    <t>IMSAIP-LP-LP334</t>
  </si>
  <si>
    <t>IMSAIP-LP-M257</t>
  </si>
  <si>
    <t>IMSAPD-RL-CEB3</t>
  </si>
  <si>
    <t>IMSAPD-RL-CH1</t>
  </si>
  <si>
    <t>IMSAPD-RL-CS3</t>
  </si>
  <si>
    <t>IMSAPD-RL-DD7</t>
  </si>
  <si>
    <t>IMSAPD-RL-DS1</t>
  </si>
  <si>
    <t>IMSAPD-RL-DS2</t>
  </si>
  <si>
    <t>IMSAPD-RL-GE7</t>
  </si>
  <si>
    <t>IMSAPD-RL-GEB7</t>
  </si>
  <si>
    <t>IMSAPD-RL-GT1</t>
  </si>
  <si>
    <t>IMSAPD-RL-OC3</t>
  </si>
  <si>
    <t>IMSAPD-RL-ODB3</t>
  </si>
  <si>
    <t>IMSAPD-RL-RC1</t>
  </si>
  <si>
    <t>IMSAPD-RL-RC3</t>
  </si>
  <si>
    <t>IMSAPD-RL-SD1</t>
  </si>
  <si>
    <t>IMSASI-RL-JUNO DS61</t>
  </si>
  <si>
    <t>IMSASI-RL-XPS10</t>
  </si>
  <si>
    <t>MJ12085XN</t>
  </si>
  <si>
    <t>MJ12112XEB</t>
  </si>
  <si>
    <t>MJ12189XN</t>
  </si>
  <si>
    <t>MJ130</t>
  </si>
  <si>
    <t>MJ131</t>
  </si>
  <si>
    <t>MJ132</t>
  </si>
  <si>
    <t>MJ133</t>
  </si>
  <si>
    <t>MJ135</t>
  </si>
  <si>
    <t>MJ1624000055</t>
  </si>
  <si>
    <t>MJ1628000055</t>
  </si>
  <si>
    <t>MJ1661000001</t>
  </si>
  <si>
    <t>MJ2001HA</t>
  </si>
  <si>
    <t>MJ20805XB</t>
  </si>
  <si>
    <t>MJ21403B</t>
  </si>
  <si>
    <t>MJ21587XB</t>
  </si>
  <si>
    <t>MJ21868XB</t>
  </si>
  <si>
    <t>MJ21885XB</t>
  </si>
  <si>
    <t>MJ220XACB</t>
  </si>
  <si>
    <t>MJ22172XB</t>
  </si>
  <si>
    <t>MJ224BCB</t>
  </si>
  <si>
    <t>MJ2500587XB</t>
  </si>
  <si>
    <t>MJ25005XXP</t>
  </si>
  <si>
    <t>MJ35003B18</t>
  </si>
  <si>
    <t>MJ41205X</t>
  </si>
  <si>
    <t>MJ41402X</t>
  </si>
  <si>
    <t>MJ41816X</t>
  </si>
  <si>
    <t>MJ42012X</t>
  </si>
  <si>
    <t>MJ427ELT</t>
  </si>
  <si>
    <t>MJ45003XG</t>
  </si>
  <si>
    <t>MJ45006X1</t>
  </si>
  <si>
    <t>MJA10L</t>
  </si>
  <si>
    <t>MJA10S</t>
  </si>
  <si>
    <t>MJA11L</t>
  </si>
  <si>
    <t>MJA11S</t>
  </si>
  <si>
    <t>MJA12L</t>
  </si>
  <si>
    <t>MJA22XT</t>
  </si>
  <si>
    <t>MJA30</t>
  </si>
  <si>
    <t>MJA62</t>
  </si>
  <si>
    <t>MJA62G</t>
  </si>
  <si>
    <t>MJA62L</t>
  </si>
  <si>
    <t>MJA66KM9</t>
  </si>
  <si>
    <t>MJA66PIANO</t>
  </si>
  <si>
    <t>MJA80S</t>
  </si>
  <si>
    <t>MJAMC10</t>
  </si>
  <si>
    <t>MJAMH10</t>
  </si>
  <si>
    <t>MJAMH11</t>
  </si>
  <si>
    <t>MJARB4</t>
  </si>
  <si>
    <t>MJAXASET</t>
  </si>
  <si>
    <t>MJAXKSET</t>
  </si>
  <si>
    <t>MJB08G2</t>
  </si>
  <si>
    <t>MJB10ONX2</t>
  </si>
  <si>
    <t>MJB14G1</t>
  </si>
  <si>
    <t>MJB14G14</t>
  </si>
  <si>
    <t>MJB14HDDB</t>
  </si>
  <si>
    <t>MJB14HW</t>
  </si>
  <si>
    <t>MJB16G2</t>
  </si>
  <si>
    <t>MJB600</t>
  </si>
  <si>
    <t>MJBD20GB3</t>
  </si>
  <si>
    <t>MJBD20GB4</t>
  </si>
  <si>
    <t>MJBD20RB</t>
  </si>
  <si>
    <t>MJBD22EMAD</t>
  </si>
  <si>
    <t>MJBD22EMAD2</t>
  </si>
  <si>
    <t>MJBD22GB3</t>
  </si>
  <si>
    <t>MJBD22GB3C</t>
  </si>
  <si>
    <t>MJBD22GB4</t>
  </si>
  <si>
    <t>MJBD22RB</t>
  </si>
  <si>
    <t>MJBD22RGCW</t>
  </si>
  <si>
    <t>MJBJHB20C</t>
  </si>
  <si>
    <t>MJBW70N</t>
  </si>
  <si>
    <t>MJC530P</t>
  </si>
  <si>
    <t>MJC542</t>
  </si>
  <si>
    <t>MJC542P</t>
  </si>
  <si>
    <t>MJCFB82344</t>
  </si>
  <si>
    <t>MJCLAV141144</t>
  </si>
  <si>
    <t>MJDATK</t>
  </si>
  <si>
    <t>MJDHCM16B</t>
  </si>
  <si>
    <t>MJDKC</t>
  </si>
  <si>
    <t>MJDKF</t>
  </si>
  <si>
    <t>MJDKS</t>
  </si>
  <si>
    <t>MJDT10</t>
  </si>
  <si>
    <t>MJEB07</t>
  </si>
  <si>
    <t>MJEB09</t>
  </si>
  <si>
    <t>MJECB2</t>
  </si>
  <si>
    <t>MJETPEC2CLRF</t>
  </si>
  <si>
    <t>MJETPEC2CLRR</t>
  </si>
  <si>
    <t>MJETPEC2CLRS</t>
  </si>
  <si>
    <t>MJETPEC2CTDS</t>
  </si>
  <si>
    <t>MJETPG1CLRF</t>
  </si>
  <si>
    <t>MJETPG1CLRS</t>
  </si>
  <si>
    <t>MJETPG1CTDF</t>
  </si>
  <si>
    <t>MJETPG1CTDS</t>
  </si>
  <si>
    <t>MJETPG2CLRF</t>
  </si>
  <si>
    <t>MJETPG2CLRR</t>
  </si>
  <si>
    <t>MJETPG2CTDF</t>
  </si>
  <si>
    <t>MJETPG2CTDS</t>
  </si>
  <si>
    <t>MJETPHYDGLF</t>
  </si>
  <si>
    <t>MJETPHYDGLS</t>
  </si>
  <si>
    <t>MJEVN44BK</t>
  </si>
  <si>
    <t>MJFCR16B</t>
  </si>
  <si>
    <t>MJGECC</t>
  </si>
  <si>
    <t>MJGECLP</t>
  </si>
  <si>
    <t>MJGL100</t>
  </si>
  <si>
    <t>MJGLL20EQN</t>
  </si>
  <si>
    <t>MJGLL20N</t>
  </si>
  <si>
    <t>MJGP</t>
  </si>
  <si>
    <t>MJGSW40</t>
  </si>
  <si>
    <t>MJHD4</t>
  </si>
  <si>
    <t>MJHGB2RB</t>
  </si>
  <si>
    <t>MJI5</t>
  </si>
  <si>
    <t>MJK15</t>
  </si>
  <si>
    <t>MJK35</t>
  </si>
  <si>
    <t>MJKA130SR</t>
  </si>
  <si>
    <t>MJKA70</t>
  </si>
  <si>
    <t>MJKA90</t>
  </si>
  <si>
    <t>MJKP110</t>
  </si>
  <si>
    <t>MJL28MJ</t>
  </si>
  <si>
    <t>MJLA364BKEQ</t>
  </si>
  <si>
    <t>MJLA5AN</t>
  </si>
  <si>
    <t>MJLA5BN</t>
  </si>
  <si>
    <t>MJLA5BW</t>
  </si>
  <si>
    <t>MJLA7AN</t>
  </si>
  <si>
    <t>MJLB252BK</t>
  </si>
  <si>
    <t>MJLB255MRD</t>
  </si>
  <si>
    <t>MJLB429EN</t>
  </si>
  <si>
    <t>MJLDT</t>
  </si>
  <si>
    <t>MJLE362BK</t>
  </si>
  <si>
    <t>MJLE362IV</t>
  </si>
  <si>
    <t>MJLE362MRD</t>
  </si>
  <si>
    <t>MJLE363BK34</t>
  </si>
  <si>
    <t>MJLE363MRD34</t>
  </si>
  <si>
    <t>MJLERELICSTBK</t>
  </si>
  <si>
    <t>MJLFA</t>
  </si>
  <si>
    <t>MJLFT</t>
  </si>
  <si>
    <t>MJLND50</t>
  </si>
  <si>
    <t>MJLVAS4105</t>
  </si>
  <si>
    <t>MJM20</t>
  </si>
  <si>
    <t>MJM200</t>
  </si>
  <si>
    <t>MJM210SR</t>
  </si>
  <si>
    <t>MJM32ABK</t>
  </si>
  <si>
    <t>MJM32ABL</t>
  </si>
  <si>
    <t>MJM32ARD</t>
  </si>
  <si>
    <t>MJM37ABK</t>
  </si>
  <si>
    <t>MJM37ABL</t>
  </si>
  <si>
    <t>MJM37ARD</t>
  </si>
  <si>
    <t>MJMASTERKEY61</t>
  </si>
  <si>
    <t>MJMAYA22USB</t>
  </si>
  <si>
    <t>MJMC104WRD</t>
  </si>
  <si>
    <t>MJMC601144</t>
  </si>
  <si>
    <t>MJMELOSTA32BK</t>
  </si>
  <si>
    <t>MJMELOSTA32BL</t>
  </si>
  <si>
    <t>MJMELOSTA32RD</t>
  </si>
  <si>
    <t>MJMIDIMATEEX</t>
  </si>
  <si>
    <t>MJMPG200</t>
  </si>
  <si>
    <t>MJMUSQ3</t>
  </si>
  <si>
    <t>MJMUSQ5</t>
  </si>
  <si>
    <t>MJMV1011</t>
  </si>
  <si>
    <t>MJMV141112</t>
  </si>
  <si>
    <t>MJMV141114</t>
  </si>
  <si>
    <t>MJMV141118</t>
  </si>
  <si>
    <t>MJMV141134</t>
  </si>
  <si>
    <t>MJMV141144</t>
  </si>
  <si>
    <t>MJMV141144BK</t>
  </si>
  <si>
    <t>MJMV141144RD</t>
  </si>
  <si>
    <t>MJMV141144WH</t>
  </si>
  <si>
    <t>MJMV141344</t>
  </si>
  <si>
    <t>MJMV141444</t>
  </si>
  <si>
    <t>MJMVB2134</t>
  </si>
  <si>
    <t>MJMVB2144</t>
  </si>
  <si>
    <t>MJMVB2244</t>
  </si>
  <si>
    <t>MJMYCR16B</t>
  </si>
  <si>
    <t>MJNAC1MPSR</t>
  </si>
  <si>
    <t>MJNAC3MPSR</t>
  </si>
  <si>
    <t>MJNAC3PSXMR</t>
  </si>
  <si>
    <t>MJNAC6PSXMR</t>
  </si>
  <si>
    <t>MJNCC3U3A</t>
  </si>
  <si>
    <t>MJNMC3XX</t>
  </si>
  <si>
    <t>MJNMC6XX</t>
  </si>
  <si>
    <t>MJNUT</t>
  </si>
  <si>
    <t>MJNXTBASSEQN</t>
  </si>
  <si>
    <t>MJOM5</t>
  </si>
  <si>
    <t>MJPA88H</t>
  </si>
  <si>
    <t>MJPABDPM</t>
  </si>
  <si>
    <t>MJPACMSP</t>
  </si>
  <si>
    <t>MJPAKE1VBRBP</t>
  </si>
  <si>
    <t>MJPDSM35</t>
  </si>
  <si>
    <t>MJPDSW442A</t>
  </si>
  <si>
    <t>MJPERFORMERBK</t>
  </si>
  <si>
    <t>MJPMS15</t>
  </si>
  <si>
    <t>MJPTB1100</t>
  </si>
  <si>
    <t>MJQTPC502</t>
  </si>
  <si>
    <t>MJRBH565TW</t>
  </si>
  <si>
    <t>MJRBH595TW</t>
  </si>
  <si>
    <t>MJRF12G</t>
  </si>
  <si>
    <t>MJRP120</t>
  </si>
  <si>
    <t>MJS12SH</t>
  </si>
  <si>
    <t>MJS30M</t>
  </si>
  <si>
    <t>MJS30SH</t>
  </si>
  <si>
    <t>MJS40SH</t>
  </si>
  <si>
    <t>MJSAC3MPSXF</t>
  </si>
  <si>
    <t>MJSAPS910</t>
  </si>
  <si>
    <t>MJSBR1402</t>
  </si>
  <si>
    <t>MJSBR1606</t>
  </si>
  <si>
    <t>MJSBR1811</t>
  </si>
  <si>
    <t>MJSBR2012</t>
  </si>
  <si>
    <t>MJSBR5001</t>
  </si>
  <si>
    <t>MJSBR5002</t>
  </si>
  <si>
    <t>MJSBR5003</t>
  </si>
  <si>
    <t>MJSC</t>
  </si>
  <si>
    <t>MJSENCM16</t>
  </si>
  <si>
    <t>MJSG100BK</t>
  </si>
  <si>
    <t>MJSGC3</t>
  </si>
  <si>
    <t>MJSGC6</t>
  </si>
  <si>
    <t>MJSHAH800</t>
  </si>
  <si>
    <t>MJSHCM18R</t>
  </si>
  <si>
    <t>MJSHSETR</t>
  </si>
  <si>
    <t>MJSHSM10R</t>
  </si>
  <si>
    <t>MJSHSM12R</t>
  </si>
  <si>
    <t>MJSHSM6R</t>
  </si>
  <si>
    <t>MJSHSM8R</t>
  </si>
  <si>
    <t>MJSILVER</t>
  </si>
  <si>
    <t>MJSMC3XP</t>
  </si>
  <si>
    <t>MJSMC6XP</t>
  </si>
  <si>
    <t>MJSMD3</t>
  </si>
  <si>
    <t>MJSSL1BK</t>
  </si>
  <si>
    <t>MJSSL1CR</t>
  </si>
  <si>
    <t>MJSSL1GD</t>
  </si>
  <si>
    <t>MJSSP10SP15</t>
  </si>
  <si>
    <t>MJSSP10SS15</t>
  </si>
  <si>
    <t>MJST1R</t>
  </si>
  <si>
    <t>MJSTC3C</t>
  </si>
  <si>
    <t>MJSUSPED10</t>
  </si>
  <si>
    <t>MJSUSPED5</t>
  </si>
  <si>
    <t>MJSUW50MM</t>
  </si>
  <si>
    <t>MJSVVN</t>
  </si>
  <si>
    <t>MJSYC3MPSB2CM</t>
  </si>
  <si>
    <t>MJTD78</t>
  </si>
  <si>
    <t>MJTH716</t>
  </si>
  <si>
    <t>MJTM1</t>
  </si>
  <si>
    <t>MJTX5AN</t>
  </si>
  <si>
    <t>MJTX5AW</t>
  </si>
  <si>
    <t>MJTX5BN</t>
  </si>
  <si>
    <t>MJTX5BW</t>
  </si>
  <si>
    <t>MJTX7AN</t>
  </si>
  <si>
    <t>MJTX7AW</t>
  </si>
  <si>
    <t>MJU22XT</t>
  </si>
  <si>
    <t>MJU86XT</t>
  </si>
  <si>
    <t>MJUB10G2</t>
  </si>
  <si>
    <t>MJUB12G2</t>
  </si>
  <si>
    <t>MJUB13G2</t>
  </si>
  <si>
    <t>MJUB14G2</t>
  </si>
  <si>
    <t>MJUB16G2</t>
  </si>
  <si>
    <t>MJUB70</t>
  </si>
  <si>
    <t>MJUC60</t>
  </si>
  <si>
    <t>MJUGM192</t>
  </si>
  <si>
    <t>MJUK20N</t>
  </si>
  <si>
    <t>MJUK22CN</t>
  </si>
  <si>
    <t>MJUK22SN</t>
  </si>
  <si>
    <t>MJUK5BK</t>
  </si>
  <si>
    <t>MJUK5N</t>
  </si>
  <si>
    <t>MJUK5PK</t>
  </si>
  <si>
    <t>MJUPG2CLF20</t>
  </si>
  <si>
    <t>MJUPG2CLF22</t>
  </si>
  <si>
    <t>MJUPG2CLS22</t>
  </si>
  <si>
    <t>MJUS40</t>
  </si>
  <si>
    <t>MJUS60</t>
  </si>
  <si>
    <t>MJUS70</t>
  </si>
  <si>
    <t>MJUS80SE</t>
  </si>
  <si>
    <t>MJUTT12G2</t>
  </si>
  <si>
    <t>MJUTT13G2</t>
  </si>
  <si>
    <t>MJUTT14G2</t>
  </si>
  <si>
    <t>MJUTT16G2</t>
  </si>
  <si>
    <t>MJVLS9044</t>
  </si>
  <si>
    <t>MJVSM1214</t>
  </si>
  <si>
    <t>MJVSM3444</t>
  </si>
  <si>
    <t>MJWCP60V</t>
  </si>
  <si>
    <t>MJWSAS215S</t>
  </si>
  <si>
    <t>MJWSCL110</t>
  </si>
  <si>
    <t>MJWSFL111</t>
  </si>
  <si>
    <t>MJWSTR115</t>
  </si>
  <si>
    <t>MJXKEY25</t>
  </si>
  <si>
    <t>MJXSR5005GB</t>
  </si>
  <si>
    <t>PRODMUSICALESPROD01</t>
  </si>
  <si>
    <t>PRODMUSICALESPROD02</t>
  </si>
  <si>
    <t>PRODMUSICALESPROD03</t>
  </si>
  <si>
    <t>SHOWROOMGS310</t>
  </si>
  <si>
    <t>SHOWROOMGS311</t>
  </si>
  <si>
    <t>SHOWROOMHA400</t>
  </si>
  <si>
    <t>SHOWROOMMA400</t>
  </si>
  <si>
    <t>SHOWROOMMAGIC BALL</t>
  </si>
  <si>
    <t>SHOWROOMMINIWASH18</t>
  </si>
  <si>
    <t>SHOWROOMMINIWASH36</t>
  </si>
  <si>
    <t>SHOWROOMMS510</t>
  </si>
  <si>
    <t>SHOWROOMMX400</t>
  </si>
  <si>
    <t>SHOWROOMPS48V</t>
  </si>
  <si>
    <t>SHOWROOMRA3XFJM</t>
  </si>
  <si>
    <t>SHOWROOMRA3XMJM</t>
  </si>
  <si>
    <t>SHOWROOMRP7</t>
  </si>
  <si>
    <t>SHOWROOMRPAN240</t>
  </si>
  <si>
    <t>SHOWROOMRPAN260</t>
  </si>
  <si>
    <t>SHOWROOMRPAN330</t>
  </si>
  <si>
    <t>SHOWROOMRPAN350</t>
  </si>
  <si>
    <t>SHOWROOMZL047</t>
  </si>
  <si>
    <t>SOLEDADFUENTEPEDAL</t>
  </si>
  <si>
    <t>SOLEDADFUENTEPEDAL2</t>
  </si>
  <si>
    <t>SOLEDADFUENTETECLADO</t>
  </si>
  <si>
    <t>SOLEDADORELLANO</t>
  </si>
  <si>
    <t>SOMECO1407510</t>
  </si>
  <si>
    <t>SOMECO1407545</t>
  </si>
  <si>
    <t>SOMECO3300301</t>
  </si>
  <si>
    <t>SOMECO5100620</t>
  </si>
  <si>
    <t>SOMECO5100640</t>
  </si>
  <si>
    <t>SOMECO5100641</t>
  </si>
  <si>
    <t>SOMECO5100642</t>
  </si>
  <si>
    <t>SOMECO5100674</t>
  </si>
  <si>
    <t>SOMECO5110220</t>
  </si>
  <si>
    <t>SOMECO6000003</t>
  </si>
  <si>
    <t>SOMECO6000499</t>
  </si>
  <si>
    <t>SOMECO6000604</t>
  </si>
  <si>
    <t>SOMECO6000722</t>
  </si>
  <si>
    <t>SOMECO8000620</t>
  </si>
  <si>
    <t>SOMECO9205023</t>
  </si>
  <si>
    <t>SOMECO9205045</t>
  </si>
  <si>
    <t>TEVELAMF0090209007</t>
  </si>
  <si>
    <t>TEVELAMF0091585030</t>
  </si>
  <si>
    <t>TEVELAMF0091585031</t>
  </si>
  <si>
    <t>TEVELAMF0091585033</t>
  </si>
  <si>
    <t>TEVELAMF0091585040</t>
  </si>
  <si>
    <t>TEVELAMF0091805004</t>
  </si>
  <si>
    <t>TEVELAMF0091805005</t>
  </si>
  <si>
    <t>TEVELAMF0091805018</t>
  </si>
  <si>
    <t>TEVELAMF0091805019</t>
  </si>
  <si>
    <t>TEVELAMF0091805021</t>
  </si>
  <si>
    <t>TEVELAMF1010733002</t>
  </si>
  <si>
    <t>TEVELAMT0440242068</t>
  </si>
  <si>
    <t>TEVELAMT0440242072</t>
  </si>
  <si>
    <t>TEVELAMT0440246003</t>
  </si>
  <si>
    <t>TEVELAMT0440246008</t>
  </si>
  <si>
    <t>TEVELAMT0440246009</t>
  </si>
  <si>
    <t>TM1CBK6-10B2</t>
  </si>
  <si>
    <t>TM1CWH6-10B3</t>
  </si>
  <si>
    <t>TM520DX</t>
  </si>
  <si>
    <t>TMA1X FOUR</t>
  </si>
  <si>
    <t>TMA25C AND</t>
  </si>
  <si>
    <t>TMA3</t>
  </si>
  <si>
    <t>TMAB1</t>
  </si>
  <si>
    <t>TMACOUSTIKAR</t>
  </si>
  <si>
    <t>TMAG10-LC5-TS TEX</t>
  </si>
  <si>
    <t>TMAP470BN</t>
  </si>
  <si>
    <t>TMAU-100</t>
  </si>
  <si>
    <t>TMAU-402L</t>
  </si>
  <si>
    <t>TMAU-AM100</t>
  </si>
  <si>
    <t>TMAU-CM11PL</t>
  </si>
  <si>
    <t>TMAU-MIS22</t>
  </si>
  <si>
    <t>TMAU-PM360TR</t>
  </si>
  <si>
    <t>TMAU-UL10</t>
  </si>
  <si>
    <t>TMB15</t>
  </si>
  <si>
    <t>TMB35</t>
  </si>
  <si>
    <t>TMBA010800</t>
  </si>
  <si>
    <t>TMBA011300</t>
  </si>
  <si>
    <t>TMBA011400</t>
  </si>
  <si>
    <t>TMBA011500</t>
  </si>
  <si>
    <t>TMBA031300</t>
  </si>
  <si>
    <t>TMBA031500</t>
  </si>
  <si>
    <t>TMBA031600</t>
  </si>
  <si>
    <t>TMBA031800</t>
  </si>
  <si>
    <t>TMBABY TUNER</t>
  </si>
  <si>
    <t>TMBABY WATER</t>
  </si>
  <si>
    <t>TMBC-150S</t>
  </si>
  <si>
    <t>TMBC-830</t>
  </si>
  <si>
    <t>TMBE-0112-00</t>
  </si>
  <si>
    <t>TMBE-0116-00</t>
  </si>
  <si>
    <t>TMBETA57A</t>
  </si>
  <si>
    <t>TMBL3</t>
  </si>
  <si>
    <t>TMBLUES MOOD</t>
  </si>
  <si>
    <t>TMC02</t>
  </si>
  <si>
    <t>TMC03</t>
  </si>
  <si>
    <t>TMC-150S</t>
  </si>
  <si>
    <t>TMC-830</t>
  </si>
  <si>
    <t>TMCDP-S110BK</t>
  </si>
  <si>
    <t>TMCDP-S160BK</t>
  </si>
  <si>
    <t>TMCE160F 4/4</t>
  </si>
  <si>
    <t>TMCONNECT 1002FX</t>
  </si>
  <si>
    <t>TMCTK3500</t>
  </si>
  <si>
    <t>TMCT-S100</t>
  </si>
  <si>
    <t>TMCT-S300</t>
  </si>
  <si>
    <t>TMCT-X3000</t>
  </si>
  <si>
    <t>TMCT-X700</t>
  </si>
  <si>
    <t>TMCT-X800</t>
  </si>
  <si>
    <t>TMD-50</t>
  </si>
  <si>
    <t>TMDDJ-200</t>
  </si>
  <si>
    <t>TMDDJ-400</t>
  </si>
  <si>
    <t>TMDDJ-SB3</t>
  </si>
  <si>
    <t>TMDDJ-XP1</t>
  </si>
  <si>
    <t>TMDF009</t>
  </si>
  <si>
    <t>TMDG300B</t>
  </si>
  <si>
    <t>TMDK707</t>
  </si>
  <si>
    <t>TMDMC100</t>
  </si>
  <si>
    <t>TME81-2TS</t>
  </si>
  <si>
    <t>TME81-U</t>
  </si>
  <si>
    <t>TMEE3-VS</t>
  </si>
  <si>
    <t>TMEG-P253TS-TEX</t>
  </si>
  <si>
    <t>TMEGP-PG10B KAN</t>
  </si>
  <si>
    <t>TMEJ10</t>
  </si>
  <si>
    <t>TMEJ15</t>
  </si>
  <si>
    <t>TMEJ27H</t>
  </si>
  <si>
    <t>TMEJ27N</t>
  </si>
  <si>
    <t>TMEJ46</t>
  </si>
  <si>
    <t>TMEN-BS-14-PP</t>
  </si>
  <si>
    <t>TMEN-PS10-PP</t>
  </si>
  <si>
    <t>TMENSEMBLE KING</t>
  </si>
  <si>
    <t>TMEXL110</t>
  </si>
  <si>
    <t>TMEXL115</t>
  </si>
  <si>
    <t>TMEXL120</t>
  </si>
  <si>
    <t>TMEXL170</t>
  </si>
  <si>
    <t>TMEXL220</t>
  </si>
  <si>
    <t>TMEXP110</t>
  </si>
  <si>
    <t>TMEXP120</t>
  </si>
  <si>
    <t>TMEZ890</t>
  </si>
  <si>
    <t>TMEZ900</t>
  </si>
  <si>
    <t>TMEZ910</t>
  </si>
  <si>
    <t>TMFM-918</t>
  </si>
  <si>
    <t>TMFM-A3</t>
  </si>
  <si>
    <t>TMFM-A3-LS-CN/CN</t>
  </si>
  <si>
    <t>TMFTN-525 ROS</t>
  </si>
  <si>
    <t>TMFUM-001</t>
  </si>
  <si>
    <t>TMFV-302</t>
  </si>
  <si>
    <t>TMFV-513</t>
  </si>
  <si>
    <t>TMFV-513-HH</t>
  </si>
  <si>
    <t>TMFV-513-HS</t>
  </si>
  <si>
    <t>TMG-10</t>
  </si>
  <si>
    <t>TMG-10 AND</t>
  </si>
  <si>
    <t>TMG-15</t>
  </si>
  <si>
    <t>TMG3XN</t>
  </si>
  <si>
    <t>TMGMMSHHQ</t>
  </si>
  <si>
    <t>TMGMMSLAV</t>
  </si>
  <si>
    <t>TMGOMIC</t>
  </si>
  <si>
    <t>TMGS455B</t>
  </si>
  <si>
    <t>TMGV-15R</t>
  </si>
  <si>
    <t>TMH-150S</t>
  </si>
  <si>
    <t>TMH1N</t>
  </si>
  <si>
    <t>TMH-200</t>
  </si>
  <si>
    <t>TMH2N</t>
  </si>
  <si>
    <t>TMH3104/4M</t>
  </si>
  <si>
    <t>TMH5</t>
  </si>
  <si>
    <t>TMH-50</t>
  </si>
  <si>
    <t>TMH-830</t>
  </si>
  <si>
    <t>TMHD15</t>
  </si>
  <si>
    <t>TMHD50</t>
  </si>
  <si>
    <t>TMHD75</t>
  </si>
  <si>
    <t>TMHP2005</t>
  </si>
  <si>
    <t>TMJB2015-2</t>
  </si>
  <si>
    <t>TMJBP0901-WR THU</t>
  </si>
  <si>
    <t>TMJBTR-300</t>
  </si>
  <si>
    <t>TMJBTR-700L</t>
  </si>
  <si>
    <t>TMJSL-232L</t>
  </si>
  <si>
    <t>TMJTR500</t>
  </si>
  <si>
    <t>TMKACR7</t>
  </si>
  <si>
    <t>TMKC49</t>
  </si>
  <si>
    <t>TMKC61</t>
  </si>
  <si>
    <t>TMKGR49</t>
  </si>
  <si>
    <t>TMKTV-5.3</t>
  </si>
  <si>
    <t>TML-G1-ST-3TS KNS</t>
  </si>
  <si>
    <t>TML-G1-ST-BK KNS</t>
  </si>
  <si>
    <t>TML-G1-ST-RED KNS</t>
  </si>
  <si>
    <t>TML-G1-ST-WH KNS</t>
  </si>
  <si>
    <t>TMLK-S250</t>
  </si>
  <si>
    <t>TMLS2</t>
  </si>
  <si>
    <t>TMMBT3</t>
  </si>
  <si>
    <t>TMMBT4</t>
  </si>
  <si>
    <t>TMMC1</t>
  </si>
  <si>
    <t>TMMC82150-PC</t>
  </si>
  <si>
    <t>TMMC902</t>
  </si>
  <si>
    <t>TMMC903</t>
  </si>
  <si>
    <t>TMMCH913</t>
  </si>
  <si>
    <t>TMMDT764P/C 701</t>
  </si>
  <si>
    <t>TMMETEORITE</t>
  </si>
  <si>
    <t>TMMH2CEVNA</t>
  </si>
  <si>
    <t>TMMICRO DI</t>
  </si>
  <si>
    <t>TMMICRO POWER</t>
  </si>
  <si>
    <t>TMMIX8</t>
  </si>
  <si>
    <t>TMMOD FACTORY</t>
  </si>
  <si>
    <t>TMMR1LBU</t>
  </si>
  <si>
    <t>TMMR1OR</t>
  </si>
  <si>
    <t>TMMR1PK</t>
  </si>
  <si>
    <t>TMMR1PP</t>
  </si>
  <si>
    <t>TMMR1RD</t>
  </si>
  <si>
    <t>TMMU-626</t>
  </si>
  <si>
    <t>TMMU-626-HS/HH</t>
  </si>
  <si>
    <t>TMMV5-B-LTG</t>
  </si>
  <si>
    <t>TMMV5-LTG</t>
  </si>
  <si>
    <t>TMMX400</t>
  </si>
  <si>
    <t>TMMZ-X300</t>
  </si>
  <si>
    <t>TMNYXL0942</t>
  </si>
  <si>
    <t>TMNYXL1046</t>
  </si>
  <si>
    <t>TMNYXL1149</t>
  </si>
  <si>
    <t>TMNYXL4095</t>
  </si>
  <si>
    <t>TMNYXL45100</t>
  </si>
  <si>
    <t>TMP-200</t>
  </si>
  <si>
    <t>TMP-2002C</t>
  </si>
  <si>
    <t>TMP-500TW</t>
  </si>
  <si>
    <t>TMPASB-12/100-BT LED</t>
  </si>
  <si>
    <t>TMPG57-LC</t>
  </si>
  <si>
    <t>TMPGA58-XLR</t>
  </si>
  <si>
    <t>TMPLZ4PK</t>
  </si>
  <si>
    <t>TMPOGO</t>
  </si>
  <si>
    <t>TMPS01</t>
  </si>
  <si>
    <t>TMPS031800</t>
  </si>
  <si>
    <t>TMPS04</t>
  </si>
  <si>
    <t>TMPURE OCTAVE</t>
  </si>
  <si>
    <t>TMPX770BK</t>
  </si>
  <si>
    <t>TMPX770WE</t>
  </si>
  <si>
    <t>TMQ-1U</t>
  </si>
  <si>
    <t>TMQ2U</t>
  </si>
  <si>
    <t>TMQ4</t>
  </si>
  <si>
    <t>TMR21</t>
  </si>
  <si>
    <t>TMREECHO</t>
  </si>
  <si>
    <t>TMRRS05TSX3H</t>
  </si>
  <si>
    <t>TMRRS05TSX3S</t>
  </si>
  <si>
    <t>TMRRS10ASX3H</t>
  </si>
  <si>
    <t>TMRRS10ASX3M</t>
  </si>
  <si>
    <t>TMRRS10ASX3S</t>
  </si>
  <si>
    <t>TMRSF05TSX3H</t>
  </si>
  <si>
    <t>TMRSF05TSX3M</t>
  </si>
  <si>
    <t>TMRSF05TSX3S</t>
  </si>
  <si>
    <t>TMRSF10ASX3H</t>
  </si>
  <si>
    <t>TMS16TC</t>
  </si>
  <si>
    <t>TMS16TCR</t>
  </si>
  <si>
    <t>TMS-830</t>
  </si>
  <si>
    <t>TMSA011400</t>
  </si>
  <si>
    <t>TMSA46</t>
  </si>
  <si>
    <t>TMSA76</t>
  </si>
  <si>
    <t>TMSE112-GR</t>
  </si>
  <si>
    <t>TMSE112M+-GR</t>
  </si>
  <si>
    <t>TMSE215-K</t>
  </si>
  <si>
    <t>TMSM58-LC</t>
  </si>
  <si>
    <t>TMSR350</t>
  </si>
  <si>
    <t>TMSR450</t>
  </si>
  <si>
    <t>TMSR550</t>
  </si>
  <si>
    <t>TMSRH240A</t>
  </si>
  <si>
    <t>TMSRH440</t>
  </si>
  <si>
    <t>TMSST57+/2TS</t>
  </si>
  <si>
    <t>TMSST57+/VWH</t>
  </si>
  <si>
    <t>TMSST62+/3TS</t>
  </si>
  <si>
    <t>TMSST62+/BK</t>
  </si>
  <si>
    <t>TMSTOMPLATE MINI</t>
  </si>
  <si>
    <t>TMSUPER 55-BLK</t>
  </si>
  <si>
    <t>TMSV100</t>
  </si>
  <si>
    <t>TMSV-175 4/4</t>
  </si>
  <si>
    <t>TMSV-75 4/4</t>
  </si>
  <si>
    <t>TMT-400</t>
  </si>
  <si>
    <t>TMTA-4108-43</t>
  </si>
  <si>
    <t>TMTA-4108-48</t>
  </si>
  <si>
    <t>TMTA-4208-43</t>
  </si>
  <si>
    <t>TMTA-4208-48</t>
  </si>
  <si>
    <t>TMTA-5108-ML</t>
  </si>
  <si>
    <t>TMTA-5208-ML</t>
  </si>
  <si>
    <t>TMTA-9108-14</t>
  </si>
  <si>
    <t>TMTA-9108-18</t>
  </si>
  <si>
    <t>TMTA-9110-18</t>
  </si>
  <si>
    <t>TMTA-9210-14</t>
  </si>
  <si>
    <t>TMTA-9210-18</t>
  </si>
  <si>
    <t>TMTH8C</t>
  </si>
  <si>
    <t>TMVC103</t>
  </si>
  <si>
    <t>TMVC103RDS</t>
  </si>
  <si>
    <t>TMVC104BK</t>
  </si>
  <si>
    <t>TMVC104BUS</t>
  </si>
  <si>
    <t>TMVP-70K</t>
  </si>
  <si>
    <t>TMWS1</t>
  </si>
  <si>
    <t>TMWS5E</t>
  </si>
  <si>
    <t>TMXP106</t>
  </si>
  <si>
    <t>TMXP106W</t>
  </si>
  <si>
    <t>TMXP112A</t>
  </si>
  <si>
    <t>TMXP150</t>
  </si>
  <si>
    <t>TMXP360B</t>
  </si>
  <si>
    <t>TMXP5000</t>
  </si>
  <si>
    <t>TMXPESC</t>
  </si>
  <si>
    <t>YAMAHAAPX600NT</t>
  </si>
  <si>
    <t>YAMAHAAS4C</t>
  </si>
  <si>
    <t>YAMAHAAS5C</t>
  </si>
  <si>
    <t>YAMAHAAS6C</t>
  </si>
  <si>
    <t>YAMAHABR10</t>
  </si>
  <si>
    <t>YAMAHAC40
(VENTAX6UNIDADES)</t>
  </si>
  <si>
    <t>YAMAHAC70</t>
  </si>
  <si>
    <t>YAMAHAC80</t>
  </si>
  <si>
    <t>YAMAHACGX102</t>
  </si>
  <si>
    <t>YAMAHACL4C</t>
  </si>
  <si>
    <t>YAMAHACL5C</t>
  </si>
  <si>
    <t>YAMAHACL6C</t>
  </si>
  <si>
    <t>YAMAHACL940BBP</t>
  </si>
  <si>
    <t>YAMAHACL945BBP</t>
  </si>
  <si>
    <t>YAMAHACL945LBBP</t>
  </si>
  <si>
    <t>YAMAHACX40</t>
  </si>
  <si>
    <t>YAMAHADM105B</t>
  </si>
  <si>
    <t>YAMAHADM305</t>
  </si>
  <si>
    <t>YAMAHAEG112GPII</t>
  </si>
  <si>
    <t>YAMAHAEPHM100WH</t>
  </si>
  <si>
    <t>YAMAHAEZ300</t>
  </si>
  <si>
    <t>YAMAHAGL1</t>
  </si>
  <si>
    <t>YAMAHAHS5</t>
  </si>
  <si>
    <t>YAMAHAL85</t>
  </si>
  <si>
    <t>YAMAHALP5A</t>
  </si>
  <si>
    <t>YAMAHAMG06X
IVA10.5%</t>
  </si>
  <si>
    <t>YAMAHAMG10XU
IVA10.5%</t>
  </si>
  <si>
    <t>YAMAHAMG12XU
IVA10.5%</t>
  </si>
  <si>
    <t>YAMAHAMG16XU
IVA10.5%</t>
  </si>
  <si>
    <t>YAMAHAMX49</t>
  </si>
  <si>
    <t>YAMAHANP32</t>
  </si>
  <si>
    <t>YAMAHAP121</t>
  </si>
  <si>
    <t>YAMAHAP125</t>
  </si>
  <si>
    <t>YAMAHAP25F</t>
  </si>
  <si>
    <t>YAMAHAP32D</t>
  </si>
  <si>
    <t>YAMAHAP45</t>
  </si>
  <si>
    <t>YAMAHAPAC012BL</t>
  </si>
  <si>
    <t>YAMAHAPAC012DBM</t>
  </si>
  <si>
    <t>YAMAHAPAC012RM</t>
  </si>
  <si>
    <t>YAMAHAPAC112JRM</t>
  </si>
  <si>
    <t>YAMAHAPSRE373</t>
  </si>
  <si>
    <t>YAMAHAPSREW310</t>
  </si>
  <si>
    <t>YAMAHAPSRF52</t>
  </si>
  <si>
    <t>YAMAHAPSRSX600</t>
  </si>
  <si>
    <t>YAMAHARBX4A2WH</t>
  </si>
  <si>
    <t>YAMAHATH945B</t>
  </si>
  <si>
    <t>YAMAHATHR5A</t>
  </si>
  <si>
    <t>YAMAHATR11B4</t>
  </si>
  <si>
    <t>YAMAHATR14A4A</t>
  </si>
  <si>
    <t>YAMAHATRBX174</t>
  </si>
  <si>
    <t>YAMAHATRBX174DBM</t>
  </si>
  <si>
    <t>YAMAHATRBX174EWTBL</t>
  </si>
  <si>
    <t>YAMAHATRBX304BL</t>
  </si>
  <si>
    <t>YAMAHATRBX305BL</t>
  </si>
  <si>
    <t>YAMAHATRBX305WH</t>
  </si>
  <si>
    <t>YAMAHATS4C</t>
  </si>
  <si>
    <t>YAMAHATS5C</t>
  </si>
  <si>
    <t>YAMAHATS6C</t>
  </si>
  <si>
    <t>YAMAHAWS860A</t>
  </si>
  <si>
    <t>YAMAHAWS950A</t>
  </si>
  <si>
    <t>YAMAHAYAS26
STANDARD</t>
  </si>
  <si>
    <t>YAMAHAYCL255
STANDARD</t>
  </si>
  <si>
    <t>YAMAHAYFL212</t>
  </si>
  <si>
    <t>YAMAHAYRF21</t>
  </si>
  <si>
    <t>YAMAHAYRS20B G</t>
  </si>
  <si>
    <t>YAMAHAYRS20B P</t>
  </si>
  <si>
    <t>YAMAHAYTR2330
STANDARD</t>
  </si>
  <si>
    <t>YAMAHAYVS100</t>
  </si>
  <si>
    <t>ZAGERT15M</t>
  </si>
  <si>
    <t>ZAGERT25</t>
  </si>
  <si>
    <t>ZAGERT25ECM</t>
  </si>
  <si>
    <t>ZAGERT25M</t>
  </si>
  <si>
    <t>ZAGERT300KINK</t>
  </si>
  <si>
    <t>ZAGERT31EC</t>
  </si>
  <si>
    <t>ZAGERT38KEC</t>
  </si>
  <si>
    <t>ZAGERT40KEC</t>
  </si>
  <si>
    <t>ZAGERT41K</t>
  </si>
  <si>
    <t>ZAGERT41KEC</t>
  </si>
  <si>
    <t>ZAGERT70M</t>
  </si>
  <si>
    <t>ZAGERT80M</t>
  </si>
  <si>
    <t>ZAGERT85KPSY</t>
  </si>
  <si>
    <t>ZAGERT90-OPN</t>
  </si>
  <si>
    <t>BREYERDT-20</t>
  </si>
  <si>
    <t>HMG10725</t>
  </si>
  <si>
    <t>TMCT-S200WE</t>
  </si>
  <si>
    <t>TMSJB62+/3TS</t>
  </si>
  <si>
    <t>TMSPB57+/2TS</t>
  </si>
  <si>
    <t>TMSPB57+/BK</t>
  </si>
  <si>
    <t>TMCT-S400</t>
  </si>
  <si>
    <t>MJAMC20</t>
  </si>
  <si>
    <t>TMSJB62+/BK</t>
  </si>
  <si>
    <t>SOPCEL</t>
  </si>
  <si>
    <t>MJTB004</t>
  </si>
  <si>
    <t>MJTB005</t>
  </si>
  <si>
    <t>MJPPCPP</t>
  </si>
  <si>
    <t>MJMV141244</t>
  </si>
  <si>
    <t>TMMV7-S</t>
  </si>
  <si>
    <t>TMMV7-K</t>
  </si>
  <si>
    <t>MJA61BK</t>
  </si>
  <si>
    <t>CRISALDEROCA04-003</t>
  </si>
  <si>
    <t>TMPGA56-XLR</t>
  </si>
  <si>
    <t>TMPGA52-LC</t>
  </si>
  <si>
    <t>TMREPEATER</t>
  </si>
  <si>
    <t>HMG319</t>
  </si>
  <si>
    <t>HMG312</t>
  </si>
  <si>
    <t>HMG321</t>
  </si>
  <si>
    <t>HMG314</t>
  </si>
  <si>
    <t>MJKM1UB</t>
  </si>
  <si>
    <t>HMG198786</t>
  </si>
  <si>
    <t>TMPGA48-QTR</t>
  </si>
  <si>
    <t>HMG334LG</t>
  </si>
  <si>
    <t>HMG334DG</t>
  </si>
  <si>
    <t>HMG334BK</t>
  </si>
  <si>
    <t>HMG331LG</t>
  </si>
  <si>
    <t>HMG331DG</t>
  </si>
  <si>
    <t>HMG331BK</t>
  </si>
  <si>
    <t>HMG332LG</t>
  </si>
  <si>
    <t>HMG332DG</t>
  </si>
  <si>
    <t>HMG332BK</t>
  </si>
  <si>
    <t>HMG333LG</t>
  </si>
  <si>
    <t>HMG333DG</t>
  </si>
  <si>
    <t>HMG333BK</t>
  </si>
  <si>
    <t>IMPORT81318400000</t>
  </si>
  <si>
    <t>IMPORT81317200000</t>
  </si>
  <si>
    <t>IMPORT81317000000</t>
  </si>
  <si>
    <t>IMPORT81315200000</t>
  </si>
  <si>
    <t>IMPORT81313000000</t>
  </si>
  <si>
    <t>HMG90043</t>
  </si>
  <si>
    <t>HMG90042</t>
  </si>
  <si>
    <t>HMG90037</t>
  </si>
  <si>
    <t>HMG308</t>
  </si>
  <si>
    <t>HMG310</t>
  </si>
  <si>
    <t>IMPORT81457000000</t>
  </si>
  <si>
    <t>IMPORT47808105000</t>
  </si>
  <si>
    <t>CRISALDEROCAMIC - 05</t>
  </si>
  <si>
    <t>SOMECO6000207</t>
  </si>
  <si>
    <t>SOMECO5102520</t>
  </si>
  <si>
    <t>MJLA7AW</t>
  </si>
  <si>
    <t>MJLA5AW</t>
  </si>
  <si>
    <t>MJLA2BW</t>
  </si>
  <si>
    <t>HMG90003</t>
  </si>
  <si>
    <t>HMG90024</t>
  </si>
  <si>
    <t>HMG90022</t>
  </si>
  <si>
    <t>FAMASR2425</t>
  </si>
  <si>
    <t>FAMASR242</t>
  </si>
  <si>
    <t>FAMAM57203XS</t>
  </si>
  <si>
    <t>HMGSITA11</t>
  </si>
  <si>
    <t>MJA62R</t>
  </si>
  <si>
    <t>IMPORT81455200000</t>
  </si>
  <si>
    <t>FAMASR723</t>
  </si>
  <si>
    <t>FAMASR222</t>
  </si>
  <si>
    <t>TMBA011200</t>
  </si>
  <si>
    <t>MJSTF1440</t>
  </si>
  <si>
    <t>MJSAC3MPSPS</t>
  </si>
  <si>
    <t>HMG3707</t>
  </si>
  <si>
    <t>HMG3706</t>
  </si>
  <si>
    <t>HMGGXA06</t>
  </si>
  <si>
    <t>SHOWROOMRACC170L2</t>
  </si>
  <si>
    <t>SHOWROOMRACC170L3</t>
  </si>
  <si>
    <t>SHOWROOMRACC190L2</t>
  </si>
  <si>
    <t>SHOWROOMRACC190L3</t>
  </si>
  <si>
    <t>TMCP-PP-3M</t>
  </si>
  <si>
    <t>TMCP-PP-6M</t>
  </si>
  <si>
    <t>MJA65U</t>
  </si>
  <si>
    <t>MJA23</t>
  </si>
  <si>
    <t>METODOFUNKROCK</t>
  </si>
  <si>
    <t>FAMASR703</t>
  </si>
  <si>
    <t>FAMASR613</t>
  </si>
  <si>
    <t>FAMASR213</t>
  </si>
  <si>
    <t>FAMASR212</t>
  </si>
  <si>
    <t>FAMACR193</t>
  </si>
  <si>
    <t>FAMACR1925</t>
  </si>
  <si>
    <t>FAMACR1025</t>
  </si>
  <si>
    <t>TMRSF10ASX3M</t>
  </si>
  <si>
    <t>CRISALDEROCASV – 30</t>
  </si>
  <si>
    <t>TMG5N/240GL</t>
  </si>
  <si>
    <t>IMPORT81453000001</t>
  </si>
  <si>
    <t>TMRSF10ASX3S</t>
  </si>
  <si>
    <t>SHOWROOMRACC425L15</t>
  </si>
  <si>
    <t>SHOWROOMRAYC130L2</t>
  </si>
  <si>
    <t>CRISALDEROCASV - 12</t>
  </si>
  <si>
    <t>IMPORT48681550001</t>
  </si>
  <si>
    <t>BREYERMG400</t>
  </si>
  <si>
    <t>TMCT-S1BK</t>
  </si>
  <si>
    <t>TMCT-S1RD</t>
  </si>
  <si>
    <t>MJETPHYDGLR</t>
  </si>
  <si>
    <t>MJMOCO</t>
  </si>
  <si>
    <t>MJP1420</t>
  </si>
  <si>
    <t>MJTT10G2</t>
  </si>
  <si>
    <t>TMCT-S1WE</t>
  </si>
  <si>
    <t>MJPANMHP</t>
  </si>
  <si>
    <t>IMPORT12510700000</t>
  </si>
  <si>
    <t>IMPORT15012100000</t>
  </si>
  <si>
    <t>IMPORT50408412000</t>
  </si>
  <si>
    <t>IMPORT50408000000</t>
  </si>
  <si>
    <t>IMPORT50411700000</t>
  </si>
  <si>
    <t>IMPORT50411800000</t>
  </si>
  <si>
    <t>IMPORT47039600000</t>
  </si>
  <si>
    <t>IMPORT47015000000</t>
  </si>
  <si>
    <t>TMPGA81-XLR</t>
  </si>
  <si>
    <t>TMPGA27-LC</t>
  </si>
  <si>
    <t/>
  </si>
  <si>
    <t>PRODMUSICALESPROD04</t>
  </si>
  <si>
    <t>$82.453,99</t>
  </si>
  <si>
    <t>$363.018,51</t>
  </si>
  <si>
    <t>$94.404,17</t>
  </si>
  <si>
    <t>$7.493,15</t>
  </si>
  <si>
    <t>$40.495,64</t>
  </si>
  <si>
    <t>$13.328,18</t>
  </si>
  <si>
    <t>$9.345,88</t>
  </si>
  <si>
    <t>$5.088,05</t>
  </si>
  <si>
    <t>$23.878,97</t>
  </si>
  <si>
    <t>$1.739,44</t>
  </si>
  <si>
    <t>$564,75</t>
  </si>
  <si>
    <t>$6.377,95</t>
  </si>
  <si>
    <t>$2.371,96</t>
  </si>
  <si>
    <t>$1.423,18</t>
  </si>
  <si>
    <t>$112,95</t>
  </si>
  <si>
    <t>$380,71</t>
  </si>
  <si>
    <t>$207,08</t>
  </si>
  <si>
    <t>$1.370,47</t>
  </si>
  <si>
    <t>$135,54</t>
  </si>
  <si>
    <t>$3.051,43</t>
  </si>
  <si>
    <t>$203,31</t>
  </si>
  <si>
    <t>$1.028,99</t>
  </si>
  <si>
    <t>$4.028,57</t>
  </si>
  <si>
    <t>$10.928,67</t>
  </si>
  <si>
    <t>$6.513,49</t>
  </si>
  <si>
    <t>$85.299,66</t>
  </si>
  <si>
    <t>$4.141,52</t>
  </si>
  <si>
    <t>$2.530,09</t>
  </si>
  <si>
    <t>$90,36</t>
  </si>
  <si>
    <t>$6.573,73</t>
  </si>
  <si>
    <t>$9.964,71</t>
  </si>
  <si>
    <t>$700,29</t>
  </si>
  <si>
    <t>$1.872,91</t>
  </si>
  <si>
    <t>$9.540,57</t>
  </si>
  <si>
    <t>$21.777,18</t>
  </si>
  <si>
    <t>3 Cuotas</t>
  </si>
  <si>
    <t>6 Cuotas</t>
  </si>
  <si>
    <t>3 Ahora</t>
  </si>
  <si>
    <t>6 Ahora</t>
  </si>
  <si>
    <t>12 Ahora</t>
  </si>
  <si>
    <t>MLA1345786104</t>
  </si>
  <si>
    <t>MLA1345728408</t>
  </si>
  <si>
    <t>MLA783657101</t>
  </si>
  <si>
    <t>MLA783572308</t>
  </si>
  <si>
    <t>MLA901676282</t>
  </si>
  <si>
    <t>MLA1147118300</t>
  </si>
  <si>
    <t>MLA777655583</t>
  </si>
  <si>
    <t>MLA835620466</t>
  </si>
  <si>
    <t>MLA776564422</t>
  </si>
  <si>
    <t>MLA928627525</t>
  </si>
  <si>
    <t>MLA912663875</t>
  </si>
  <si>
    <t>MLA781134445</t>
  </si>
  <si>
    <t>MLA783573085</t>
  </si>
  <si>
    <t>MLA799489478</t>
  </si>
  <si>
    <t>MLA760285514</t>
  </si>
  <si>
    <t>MLA758481399</t>
  </si>
  <si>
    <t>MLA781930528</t>
  </si>
  <si>
    <t>MLA907425175</t>
  </si>
  <si>
    <t>MLA776791075</t>
  </si>
  <si>
    <t>MLA907431322</t>
  </si>
  <si>
    <t>MLA907429214</t>
  </si>
  <si>
    <t>MLA762232899</t>
  </si>
  <si>
    <t>MLA1221547651</t>
  </si>
  <si>
    <t>MLA1167213923</t>
  </si>
  <si>
    <t>MLA1179025906</t>
  </si>
  <si>
    <t>MLA1179032397</t>
  </si>
  <si>
    <t>MLA1179020173</t>
  </si>
  <si>
    <t>MLA835623996</t>
  </si>
  <si>
    <t>MLA1167220195</t>
  </si>
  <si>
    <t>MLA899205840</t>
  </si>
  <si>
    <t>MLA1179033072</t>
  </si>
  <si>
    <t>MLA899209364</t>
  </si>
  <si>
    <t>MLA897635200</t>
  </si>
  <si>
    <t>MLA1381789160</t>
  </si>
  <si>
    <t>MLA1381789154</t>
  </si>
  <si>
    <t>MLA778988171</t>
  </si>
  <si>
    <t>MLA760286702</t>
  </si>
  <si>
    <t>MLA1340606403</t>
  </si>
  <si>
    <t>MLA835449366</t>
  </si>
  <si>
    <t>MLA785146639</t>
  </si>
  <si>
    <t>MLA789663180</t>
  </si>
  <si>
    <t>MLA934280107</t>
  </si>
  <si>
    <t>MLA934280268</t>
  </si>
  <si>
    <t>MLA781800775</t>
  </si>
  <si>
    <t>MLA784066737</t>
  </si>
  <si>
    <t>MLA784069804</t>
  </si>
  <si>
    <t>MLA800287360</t>
  </si>
  <si>
    <t>MLA777652940</t>
  </si>
  <si>
    <t>MLA1136235725</t>
  </si>
  <si>
    <t>MLA1129347348</t>
  </si>
  <si>
    <t>MLA799470647</t>
  </si>
  <si>
    <t>MLA762436355</t>
  </si>
  <si>
    <t>MLA760286480</t>
  </si>
  <si>
    <t>MLA906181948</t>
  </si>
  <si>
    <t>MLA777652535</t>
  </si>
  <si>
    <t>MLA760286612</t>
  </si>
  <si>
    <t>MLA1144478930</t>
  </si>
  <si>
    <t>MLA1281957726</t>
  </si>
  <si>
    <t>MLA1127791988</t>
  </si>
  <si>
    <t>MLA1146826402</t>
  </si>
  <si>
    <t>MLA906023084</t>
  </si>
  <si>
    <t>MLA1346132560</t>
  </si>
  <si>
    <t>MLA1360022717</t>
  </si>
  <si>
    <t>MLA784335087</t>
  </si>
  <si>
    <t>MLA797612574</t>
  </si>
  <si>
    <t>MLA1166149215</t>
  </si>
  <si>
    <t>MLA760283414</t>
  </si>
  <si>
    <t>MLA760283960</t>
  </si>
  <si>
    <t>MLA758486092</t>
  </si>
  <si>
    <t>MLA781352082</t>
  </si>
  <si>
    <t>MLA1105682409</t>
  </si>
  <si>
    <t>MLA1185374740</t>
  </si>
  <si>
    <t>MLA900848883</t>
  </si>
  <si>
    <t>MLA934334546</t>
  </si>
  <si>
    <t>MLA935913002</t>
  </si>
  <si>
    <t>MLA928538373</t>
  </si>
  <si>
    <t>MLA928749364</t>
  </si>
  <si>
    <t>MLA886667397</t>
  </si>
  <si>
    <t>MLA776731666</t>
  </si>
  <si>
    <t>MLA1185178459</t>
  </si>
  <si>
    <t>MLA1120793535</t>
  </si>
  <si>
    <t>MLA898142268</t>
  </si>
  <si>
    <t>MLA900848885</t>
  </si>
  <si>
    <t>MLA861880533</t>
  </si>
  <si>
    <t>MLA886828369</t>
  </si>
  <si>
    <t>MLA1345224430</t>
  </si>
  <si>
    <t>MLA928527836</t>
  </si>
  <si>
    <t>MLA933225525</t>
  </si>
  <si>
    <t>MLA1147162043</t>
  </si>
  <si>
    <t>MLA928742630</t>
  </si>
  <si>
    <t>MLA928742030</t>
  </si>
  <si>
    <t>MLA857202700</t>
  </si>
  <si>
    <t>MLA928909990</t>
  </si>
  <si>
    <t>MLA766940098</t>
  </si>
  <si>
    <t>MLA797660194</t>
  </si>
  <si>
    <t>MLA1127924240</t>
  </si>
  <si>
    <t>MLA836708108</t>
  </si>
  <si>
    <t>MLA1114969591</t>
  </si>
  <si>
    <t>MLA797661093</t>
  </si>
  <si>
    <t>MLA776734692</t>
  </si>
  <si>
    <t>MLA758485326</t>
  </si>
  <si>
    <t>MLA797607685</t>
  </si>
  <si>
    <t>MLA1126129711</t>
  </si>
  <si>
    <t>MLA1126014881</t>
  </si>
  <si>
    <t>MLA797658454</t>
  </si>
  <si>
    <t>MLA816687507</t>
  </si>
  <si>
    <t>MLA841091891</t>
  </si>
  <si>
    <t>MLA794798291</t>
  </si>
  <si>
    <t>MLA776734496</t>
  </si>
  <si>
    <t>MLA822001320</t>
  </si>
  <si>
    <t>MLA776796380</t>
  </si>
  <si>
    <t>MLA797620961</t>
  </si>
  <si>
    <t>MLA799468265</t>
  </si>
  <si>
    <t>MLA760283860</t>
  </si>
  <si>
    <t>MLA762438598</t>
  </si>
  <si>
    <t>MLA766940639</t>
  </si>
  <si>
    <t>MLA760283697</t>
  </si>
  <si>
    <t>MLA760283282</t>
  </si>
  <si>
    <t>MLA758481804</t>
  </si>
  <si>
    <t>MLA797658138</t>
  </si>
  <si>
    <t>MLA1105688934</t>
  </si>
  <si>
    <t>MLA886660065</t>
  </si>
  <si>
    <t>MLA1154766399</t>
  </si>
  <si>
    <t>MLA934694468</t>
  </si>
  <si>
    <t>MLA1351094731</t>
  </si>
  <si>
    <t>MLA934671141</t>
  </si>
  <si>
    <t>MLA776731595</t>
  </si>
  <si>
    <t>MLA907324165</t>
  </si>
  <si>
    <t>MLA839670087</t>
  </si>
  <si>
    <t>MLA867159550</t>
  </si>
  <si>
    <t>MLA1105675997</t>
  </si>
  <si>
    <t>MLA907431519</t>
  </si>
  <si>
    <t>MLA1154562371</t>
  </si>
  <si>
    <t>MLA900848111</t>
  </si>
  <si>
    <t>MLA873221539</t>
  </si>
  <si>
    <t>MLA936058167</t>
  </si>
  <si>
    <t>MLA928749990</t>
  </si>
  <si>
    <t>MLA886825547</t>
  </si>
  <si>
    <t>MLA1135712657</t>
  </si>
  <si>
    <t>MLA762434298</t>
  </si>
  <si>
    <t>MLA836742441</t>
  </si>
  <si>
    <t>MLA1281977269</t>
  </si>
  <si>
    <t>MLA861877198</t>
  </si>
  <si>
    <t>MLA909418650</t>
  </si>
  <si>
    <t>MLA857020173</t>
  </si>
  <si>
    <t>MLA1120857311</t>
  </si>
  <si>
    <t>MLA1101890008</t>
  </si>
  <si>
    <t>MLA1100069687</t>
  </si>
  <si>
    <t>MLA936074660</t>
  </si>
  <si>
    <t>MLA1184719518</t>
  </si>
  <si>
    <t>MLA886661404</t>
  </si>
  <si>
    <t>MLA776731861</t>
  </si>
  <si>
    <t>MLA758488287</t>
  </si>
  <si>
    <t>MLA934889048</t>
  </si>
  <si>
    <t>MLA1146940161</t>
  </si>
  <si>
    <t>MLA929153087</t>
  </si>
  <si>
    <t>MLA857187970</t>
  </si>
  <si>
    <t>MLA928912562</t>
  </si>
  <si>
    <t>MLA798183479</t>
  </si>
  <si>
    <t>MLA799472421</t>
  </si>
  <si>
    <t>MLA1126040701</t>
  </si>
  <si>
    <t>MLA817214773</t>
  </si>
  <si>
    <t>MLA871888439</t>
  </si>
  <si>
    <t>MLA836741436</t>
  </si>
  <si>
    <t>MLA928526024</t>
  </si>
  <si>
    <t>MLA1127942445</t>
  </si>
  <si>
    <t>MLA776742922</t>
  </si>
  <si>
    <t>MLA1122740867</t>
  </si>
  <si>
    <t>MLA1344980799</t>
  </si>
  <si>
    <t>MLA1147194387</t>
  </si>
  <si>
    <t>MLA817214570</t>
  </si>
  <si>
    <t>MLA836741503</t>
  </si>
  <si>
    <t>MLA1187432733</t>
  </si>
  <si>
    <t>MLA776734566</t>
  </si>
  <si>
    <t>MLA816687849</t>
  </si>
  <si>
    <t>MLA786233986</t>
  </si>
  <si>
    <t>MLA760283237</t>
  </si>
  <si>
    <t>MLA1105726405</t>
  </si>
  <si>
    <t>MLA900849741</t>
  </si>
  <si>
    <t>MLA1133104839</t>
  </si>
  <si>
    <t>MLA776431691</t>
  </si>
  <si>
    <t>MLA825616398</t>
  </si>
  <si>
    <t>MLA798183964</t>
  </si>
  <si>
    <t>MLA776743353</t>
  </si>
  <si>
    <t>MLA798183598</t>
  </si>
  <si>
    <t>MLA798183777</t>
  </si>
  <si>
    <t>MLA898253404</t>
  </si>
  <si>
    <t>MLA760068013</t>
  </si>
  <si>
    <t>MLA1207437873</t>
  </si>
  <si>
    <t>MLA799488939</t>
  </si>
  <si>
    <t>MLA913978125</t>
  </si>
  <si>
    <t>MLA913732384</t>
  </si>
  <si>
    <t>MLA767697806</t>
  </si>
  <si>
    <t>MLA1147495296</t>
  </si>
  <si>
    <t>MLA913732328</t>
  </si>
  <si>
    <t>MLA1339770938</t>
  </si>
  <si>
    <t>MLA760068214</t>
  </si>
  <si>
    <t>MLA799484887</t>
  </si>
  <si>
    <t>MLA776732960</t>
  </si>
  <si>
    <t>MLA776732006</t>
  </si>
  <si>
    <t>MLA767697633</t>
  </si>
  <si>
    <t>MLA776790839</t>
  </si>
  <si>
    <t>MLA1147530892</t>
  </si>
  <si>
    <t>MLA776731917</t>
  </si>
  <si>
    <t>MLA798179858</t>
  </si>
  <si>
    <t>MLA864295510</t>
  </si>
  <si>
    <t>MLA909422832</t>
  </si>
  <si>
    <t>MLA1148976413</t>
  </si>
  <si>
    <t>MLA858821165</t>
  </si>
  <si>
    <t>MLA863224520</t>
  </si>
  <si>
    <t>MLA1147500702</t>
  </si>
  <si>
    <t>MLA1147501255</t>
  </si>
  <si>
    <t>MLA1359798230</t>
  </si>
  <si>
    <t>MLA776118708</t>
  </si>
  <si>
    <t>MLA799729558</t>
  </si>
  <si>
    <t>MLA898142805</t>
  </si>
  <si>
    <t>MLA857189409</t>
  </si>
  <si>
    <t>MLA770185536</t>
  </si>
  <si>
    <t>MLA1366109829</t>
  </si>
  <si>
    <t>MLA776789711</t>
  </si>
  <si>
    <t>MLA857196870</t>
  </si>
  <si>
    <t>MLA826588061</t>
  </si>
  <si>
    <t>MLA799733889</t>
  </si>
  <si>
    <t>MLA799489141</t>
  </si>
  <si>
    <t>MLA826588342</t>
  </si>
  <si>
    <t>MLA1344829226</t>
  </si>
  <si>
    <t>MLA1150194747</t>
  </si>
  <si>
    <t>MLA898253613</t>
  </si>
  <si>
    <t>MLA861907907</t>
  </si>
  <si>
    <t>MLA861911611</t>
  </si>
  <si>
    <t>MLA863026619</t>
  </si>
  <si>
    <t>MLA863015608</t>
  </si>
  <si>
    <t>MLA1345726742</t>
  </si>
  <si>
    <t>MLA1281964252</t>
  </si>
  <si>
    <t>MLA863215199</t>
  </si>
  <si>
    <t>MLA766888695</t>
  </si>
  <si>
    <t>MLA1315413592</t>
  </si>
  <si>
    <t>MLA799732576</t>
  </si>
  <si>
    <t>MLA857018708</t>
  </si>
  <si>
    <t>MLA1249805704</t>
  </si>
  <si>
    <t>MLA863217697</t>
  </si>
  <si>
    <t>MLA907334068</t>
  </si>
  <si>
    <t>MLA857202432</t>
  </si>
  <si>
    <t>MLA770185940</t>
  </si>
  <si>
    <t>MLA861903027</t>
  </si>
  <si>
    <t>MLA866753457</t>
  </si>
  <si>
    <t>MLA898252611</t>
  </si>
  <si>
    <t>MLA1105714565</t>
  </si>
  <si>
    <t>MLA1377066022</t>
  </si>
  <si>
    <t>MLA1345525411</t>
  </si>
  <si>
    <t>MLA1363859187</t>
  </si>
  <si>
    <t>MLA861909439</t>
  </si>
  <si>
    <t>MLA1321597390</t>
  </si>
  <si>
    <t>MLA1298609891</t>
  </si>
  <si>
    <t>MLA776732911</t>
  </si>
  <si>
    <t>MLA863228680</t>
  </si>
  <si>
    <t>MLA863218441</t>
  </si>
  <si>
    <t>MLA861901940</t>
  </si>
  <si>
    <t>MLA1357333751</t>
  </si>
  <si>
    <t>MLA898143412</t>
  </si>
  <si>
    <t>MLA1355656917</t>
  </si>
  <si>
    <t>MLA886668410</t>
  </si>
  <si>
    <t>MLA863222768</t>
  </si>
  <si>
    <t>MLA797825762</t>
  </si>
  <si>
    <t>MLA1370900545</t>
  </si>
  <si>
    <t>MLA1122915397</t>
  </si>
  <si>
    <t>MLA786353364</t>
  </si>
  <si>
    <t>MLA928526773</t>
  </si>
  <si>
    <t>MLA1121452104</t>
  </si>
  <si>
    <t>MLA776734079</t>
  </si>
  <si>
    <t>MLA1202308179</t>
  </si>
  <si>
    <t>MLA798183030</t>
  </si>
  <si>
    <t>MLA1141375433</t>
  </si>
  <si>
    <t>MLA759931643</t>
  </si>
  <si>
    <t>MLA776734367</t>
  </si>
  <si>
    <t>MLA776742803</t>
  </si>
  <si>
    <t>MLA776734204</t>
  </si>
  <si>
    <t>MLA1122905623</t>
  </si>
  <si>
    <t>MLA789858041</t>
  </si>
  <si>
    <t>MLA1165031178</t>
  </si>
  <si>
    <t>MLA836880730</t>
  </si>
  <si>
    <t>MLA1105675975</t>
  </si>
  <si>
    <t>MLA929153075</t>
  </si>
  <si>
    <t>MLA836747792</t>
  </si>
  <si>
    <t>MLA770047283</t>
  </si>
  <si>
    <t>MLA776594401</t>
  </si>
  <si>
    <t>MLA758481568</t>
  </si>
  <si>
    <t>MLA823065878</t>
  </si>
  <si>
    <t>MLA1157512051</t>
  </si>
  <si>
    <t>MLA1149749840</t>
  </si>
  <si>
    <t>MLA797826772</t>
  </si>
  <si>
    <t>MLA1255876190</t>
  </si>
  <si>
    <t>MLA1346054495</t>
  </si>
  <si>
    <t>MLA1249850640</t>
  </si>
  <si>
    <t>MLA1250602934</t>
  </si>
  <si>
    <t>MLA799732691</t>
  </si>
  <si>
    <t>MLA1147193698</t>
  </si>
  <si>
    <t>MLA1318180025</t>
  </si>
  <si>
    <t>MLA836740286</t>
  </si>
  <si>
    <t>MLA1229788387</t>
  </si>
  <si>
    <t>MLA1147122353</t>
  </si>
  <si>
    <t>MLA898254663</t>
  </si>
  <si>
    <t>MLA1256465604</t>
  </si>
  <si>
    <t>MLA928624133</t>
  </si>
  <si>
    <t>MLA898255620</t>
  </si>
  <si>
    <t>MLA929152806</t>
  </si>
  <si>
    <t>MLA1249850619</t>
  </si>
  <si>
    <t>MLA1298809939</t>
  </si>
  <si>
    <t>MLA935911015</t>
  </si>
  <si>
    <t>MLA1147141913</t>
  </si>
  <si>
    <t>MLA1147642558</t>
  </si>
  <si>
    <t>MLA901671456</t>
  </si>
  <si>
    <t>MLA1214807789</t>
  </si>
  <si>
    <t>MLA1229775490</t>
  </si>
  <si>
    <t>MLA1321591020</t>
  </si>
  <si>
    <t>MLA928539759</t>
  </si>
  <si>
    <t>MLA1299065049</t>
  </si>
  <si>
    <t>MLA1289223128</t>
  </si>
  <si>
    <t>MLA1147148126</t>
  </si>
  <si>
    <t>MLA799480713</t>
  </si>
  <si>
    <t>MLA1298758612</t>
  </si>
  <si>
    <t>MLA1256019401</t>
  </si>
  <si>
    <t>MLA928624737</t>
  </si>
  <si>
    <t>MLA929150223</t>
  </si>
  <si>
    <t>MLA766889183</t>
  </si>
  <si>
    <t>MLA776433292</t>
  </si>
  <si>
    <t>MLA762438694</t>
  </si>
  <si>
    <t>MLA825619282</t>
  </si>
  <si>
    <t>MLA1149726894</t>
  </si>
  <si>
    <t>MLA797826125</t>
  </si>
  <si>
    <t>MLA789220397</t>
  </si>
  <si>
    <t>MLA1202321696</t>
  </si>
  <si>
    <t>MLA1149775628</t>
  </si>
  <si>
    <t>MLA798182781</t>
  </si>
  <si>
    <t>MLA798181530</t>
  </si>
  <si>
    <t>MLA797608391</t>
  </si>
  <si>
    <t>MLA1366757425</t>
  </si>
  <si>
    <t>MLA1141369077</t>
  </si>
  <si>
    <t>MLA797826870</t>
  </si>
  <si>
    <t>MLA1149787882</t>
  </si>
  <si>
    <t>MLA826588277</t>
  </si>
  <si>
    <t>MLA798181967</t>
  </si>
  <si>
    <t>MLA759931750</t>
  </si>
  <si>
    <t>MLA776433055</t>
  </si>
  <si>
    <t>MLA826588463</t>
  </si>
  <si>
    <t>MLA776433239</t>
  </si>
  <si>
    <t>MLA1141510832</t>
  </si>
  <si>
    <t>MLA1141540669</t>
  </si>
  <si>
    <t>MLA906181949</t>
  </si>
  <si>
    <t>MLA863224080</t>
  </si>
  <si>
    <t>MLA898254419</t>
  </si>
  <si>
    <t>MLA928912468</t>
  </si>
  <si>
    <t>MLA1366109827</t>
  </si>
  <si>
    <t>MLA1397990920</t>
  </si>
  <si>
    <t>MLA1366046081</t>
  </si>
  <si>
    <t>MLA857187603</t>
  </si>
  <si>
    <t>MLA863227568</t>
  </si>
  <si>
    <t>MLA858820324</t>
  </si>
  <si>
    <t>MLA863226929</t>
  </si>
  <si>
    <t>MLA913731674</t>
  </si>
  <si>
    <t>MLA826588611</t>
  </si>
  <si>
    <t>MLA799471533</t>
  </si>
  <si>
    <t>MLA782127852</t>
  </si>
  <si>
    <t>MLA1172495338</t>
  </si>
  <si>
    <t>MLA1216911859</t>
  </si>
  <si>
    <t>MLA836747089</t>
  </si>
  <si>
    <t>MLA1121187726</t>
  </si>
  <si>
    <t>MLA842705569</t>
  </si>
  <si>
    <t>MLA1103686658</t>
  </si>
  <si>
    <t>MLA842703559</t>
  </si>
  <si>
    <t>MLA776400118</t>
  </si>
  <si>
    <t>MLA780784524</t>
  </si>
  <si>
    <t>MLA1163431778</t>
  </si>
  <si>
    <t>MLA1185419488</t>
  </si>
  <si>
    <t>MLA1135354402</t>
  </si>
  <si>
    <t>MLA1156992139</t>
  </si>
  <si>
    <t>MLA882892128</t>
  </si>
  <si>
    <t>MLA1121238673</t>
  </si>
  <si>
    <t>MLA782127891</t>
  </si>
  <si>
    <t>MLA842702458</t>
  </si>
  <si>
    <t>MLA1130835326</t>
  </si>
  <si>
    <t>MLA1185369525</t>
  </si>
  <si>
    <t>MLA842703483</t>
  </si>
  <si>
    <t>MLA909397629</t>
  </si>
  <si>
    <t>MLA780607015</t>
  </si>
  <si>
    <t>MLA782127928</t>
  </si>
  <si>
    <t>MLA909404979</t>
  </si>
  <si>
    <t>MLA780796320</t>
  </si>
  <si>
    <t>MLA801585771</t>
  </si>
  <si>
    <t>MLA780594302</t>
  </si>
  <si>
    <t>MLA781347169</t>
  </si>
  <si>
    <t>MLA781345955</t>
  </si>
  <si>
    <t>MLA778246624</t>
  </si>
  <si>
    <t>MLA1216641286</t>
  </si>
  <si>
    <t>MLA775863492</t>
  </si>
  <si>
    <t>MLA775463560</t>
  </si>
  <si>
    <t>MLA780607734</t>
  </si>
  <si>
    <t>MLA778291948</t>
  </si>
  <si>
    <t>MLA782119504</t>
  </si>
  <si>
    <t>MLA782119915</t>
  </si>
  <si>
    <t>MLA782121363</t>
  </si>
  <si>
    <t>MLA778253019</t>
  </si>
  <si>
    <t>MLA1285494972</t>
  </si>
  <si>
    <t>MLA867866991</t>
  </si>
  <si>
    <t>MLA776412178</t>
  </si>
  <si>
    <t>MLA782121110</t>
  </si>
  <si>
    <t>MLA782127722</t>
  </si>
  <si>
    <t>MLA782127373</t>
  </si>
  <si>
    <t>MLA782121155</t>
  </si>
  <si>
    <t>MLA777641051</t>
  </si>
  <si>
    <t>MLA776789880</t>
  </si>
  <si>
    <t>MLA776744884</t>
  </si>
  <si>
    <t>MLA776752019</t>
  </si>
  <si>
    <t>MLA776742175</t>
  </si>
  <si>
    <t>MLA770191404</t>
  </si>
  <si>
    <t>MLA782129134</t>
  </si>
  <si>
    <t>MLA782129314</t>
  </si>
  <si>
    <t>MLA776745982</t>
  </si>
  <si>
    <t>MLA1143189610</t>
  </si>
  <si>
    <t>MLA1143196171</t>
  </si>
  <si>
    <t>MLA883075495</t>
  </si>
  <si>
    <t>MLA1339774338</t>
  </si>
  <si>
    <t>MLA1340759177</t>
  </si>
  <si>
    <t>MLA1346312926</t>
  </si>
  <si>
    <t>MLA1360777323</t>
  </si>
  <si>
    <t>MLA1143973285</t>
  </si>
  <si>
    <t>MLA1143985950</t>
  </si>
  <si>
    <t>MLA1144197790</t>
  </si>
  <si>
    <t>MLA1144034058</t>
  </si>
  <si>
    <t>MLA843116407</t>
  </si>
  <si>
    <t>MLA882915768</t>
  </si>
  <si>
    <t>MLA883073049</t>
  </si>
  <si>
    <t>MLA882901232</t>
  </si>
  <si>
    <t>MLA871135808</t>
  </si>
  <si>
    <t>MLA876415571</t>
  </si>
  <si>
    <t>MLA876433860</t>
  </si>
  <si>
    <t>MLA871131931</t>
  </si>
  <si>
    <t>MLA864729729</t>
  </si>
  <si>
    <t>MLA864535972</t>
  </si>
  <si>
    <t>MLA867867369</t>
  </si>
  <si>
    <t>MLA867413668</t>
  </si>
  <si>
    <t>MLA871127593</t>
  </si>
  <si>
    <t>MLA1122740871</t>
  </si>
  <si>
    <t>MLA1111614644</t>
  </si>
  <si>
    <t>MLA1142731362</t>
  </si>
  <si>
    <t>MLA1122112111</t>
  </si>
  <si>
    <t>MLA782129008</t>
  </si>
  <si>
    <t>MLA782122204</t>
  </si>
  <si>
    <t>MLA782122964</t>
  </si>
  <si>
    <t>MLA1366757859</t>
  </si>
  <si>
    <t>MLA782121551</t>
  </si>
  <si>
    <t>MLA782112909</t>
  </si>
  <si>
    <t>MLA782113318</t>
  </si>
  <si>
    <t>MLA782127213</t>
  </si>
  <si>
    <t>MLA782127268</t>
  </si>
  <si>
    <t>MLA782128085</t>
  </si>
  <si>
    <t>MLA1142730090</t>
  </si>
  <si>
    <t>MLA1113226394</t>
  </si>
  <si>
    <t>MLA1113176620</t>
  </si>
  <si>
    <t>MLA1120262962</t>
  </si>
  <si>
    <t>MLA782115283</t>
  </si>
  <si>
    <t>MLA785885813</t>
  </si>
  <si>
    <t>MLA816535299</t>
  </si>
  <si>
    <t>MLA782129419</t>
  </si>
  <si>
    <t>MLA782129806</t>
  </si>
  <si>
    <t>MLA1155422876</t>
  </si>
  <si>
    <t>MLA899446121</t>
  </si>
  <si>
    <t>MLA933225015</t>
  </si>
  <si>
    <t>MLA917105832</t>
  </si>
  <si>
    <t>MLA897787926</t>
  </si>
  <si>
    <t>MLA1285919126</t>
  </si>
  <si>
    <t>MLA1285572572</t>
  </si>
  <si>
    <t>MLA1164896970</t>
  </si>
  <si>
    <t>MLA875443604</t>
  </si>
  <si>
    <t>MLA1154798415</t>
  </si>
  <si>
    <t>MLA899206659</t>
  </si>
  <si>
    <t>MLA1105726497</t>
  </si>
  <si>
    <t>MLA1285873616</t>
  </si>
  <si>
    <t>MLA1341355394</t>
  </si>
  <si>
    <t>MLA1338771820</t>
  </si>
  <si>
    <t>MLA1313391360</t>
  </si>
  <si>
    <t>MLA882915133</t>
  </si>
  <si>
    <t>MLA899581254</t>
  </si>
  <si>
    <t>MLA899450481</t>
  </si>
  <si>
    <t>MLA913671681</t>
  </si>
  <si>
    <t>MLA899439803</t>
  </si>
  <si>
    <t>MLA1151795617</t>
  </si>
  <si>
    <t>MLA1151611160</t>
  </si>
  <si>
    <t>MLA1154309886</t>
  </si>
  <si>
    <t>MLA1337945227</t>
  </si>
  <si>
    <t>MLA1268103308</t>
  </si>
  <si>
    <t>MLA1281983769</t>
  </si>
  <si>
    <t>MLA1152595440</t>
  </si>
  <si>
    <t>MLA1289264349</t>
  </si>
  <si>
    <t>MLA1299578176</t>
  </si>
  <si>
    <t>MLA901673628</t>
  </si>
  <si>
    <t>MLA1192730186</t>
  </si>
  <si>
    <t>MLA1192731290</t>
  </si>
  <si>
    <t>MLA1194617148</t>
  </si>
  <si>
    <t>MLA1155433682</t>
  </si>
  <si>
    <t>MLA1192898635</t>
  </si>
  <si>
    <t>MLA1194342264</t>
  </si>
  <si>
    <t>MLA1160200673</t>
  </si>
  <si>
    <t>MLA1172541213</t>
  </si>
  <si>
    <t>MLA1173602895</t>
  </si>
  <si>
    <t>MLA1159034292</t>
  </si>
  <si>
    <t>MLA1155433596</t>
  </si>
  <si>
    <t>MLA1155422531</t>
  </si>
  <si>
    <t>MLA1155435115</t>
  </si>
  <si>
    <t>MLA1155459248</t>
  </si>
  <si>
    <t>MLA913058894</t>
  </si>
  <si>
    <t>MLA901681833</t>
  </si>
  <si>
    <t>MLA905886493</t>
  </si>
  <si>
    <t>MLA836746386</t>
  </si>
  <si>
    <t>MLA878930423</t>
  </si>
  <si>
    <t>MLA875444761</t>
  </si>
  <si>
    <t>MLA913507127</t>
  </si>
  <si>
    <t>MLA913483161</t>
  </si>
  <si>
    <t>MLA913491519</t>
  </si>
  <si>
    <t>MLA762069047</t>
  </si>
  <si>
    <t>MLA762068519</t>
  </si>
  <si>
    <t>MLA781141981</t>
  </si>
  <si>
    <t>MLA762077702</t>
  </si>
  <si>
    <t>MLA759932022</t>
  </si>
  <si>
    <t>MLA776594099</t>
  </si>
  <si>
    <t>MLA762437652</t>
  </si>
  <si>
    <t>MLA782115174</t>
  </si>
  <si>
    <t>MLA782127959</t>
  </si>
  <si>
    <t>MLA782128170</t>
  </si>
  <si>
    <t>MLA782129214</t>
  </si>
  <si>
    <t>MLA782129853</t>
  </si>
  <si>
    <t>MLA785739167</t>
  </si>
  <si>
    <t>MLA1346680690</t>
  </si>
  <si>
    <t>MLA1285874773</t>
  </si>
  <si>
    <t>MLA1345492693</t>
  </si>
  <si>
    <t>MLA839667855</t>
  </si>
  <si>
    <t>MLA839674608</t>
  </si>
  <si>
    <t>MLA842600050</t>
  </si>
  <si>
    <t>MLA1143183917</t>
  </si>
  <si>
    <t>MLA1144250775</t>
  </si>
  <si>
    <t>MLA842598702</t>
  </si>
  <si>
    <t>MLA842598436</t>
  </si>
  <si>
    <t>MLA906009855</t>
  </si>
  <si>
    <t>MLA901675616</t>
  </si>
  <si>
    <t>MLA916079578</t>
  </si>
  <si>
    <t>MLA778255075</t>
  </si>
  <si>
    <t>MLA781347232</t>
  </si>
  <si>
    <t>MLA781333876</t>
  </si>
  <si>
    <t>MLA780628357</t>
  </si>
  <si>
    <t>MLA781334254</t>
  </si>
  <si>
    <t>MLA780669379</t>
  </si>
  <si>
    <t>MLA778287101</t>
  </si>
  <si>
    <t>MLA781941150</t>
  </si>
  <si>
    <t>MLA781940768</t>
  </si>
  <si>
    <t>MLA781940914</t>
  </si>
  <si>
    <t>MLA781330742</t>
  </si>
  <si>
    <t>MLA781343896</t>
  </si>
  <si>
    <t>MLA781334683</t>
  </si>
  <si>
    <t>MLA781335843</t>
  </si>
  <si>
    <t>MLA781329116</t>
  </si>
  <si>
    <t>MLA781334576</t>
  </si>
  <si>
    <t>MLA781335746</t>
  </si>
  <si>
    <t>MLA781341827</t>
  </si>
  <si>
    <t>MLA781335992</t>
  </si>
  <si>
    <t>MLA781345733</t>
  </si>
  <si>
    <t>MLA781342478</t>
  </si>
  <si>
    <t>MLA781337650</t>
  </si>
  <si>
    <t>MLA781329322</t>
  </si>
  <si>
    <t>MLA781931817</t>
  </si>
  <si>
    <t>MLA770047402</t>
  </si>
  <si>
    <t>MLA770161975</t>
  </si>
  <si>
    <t>MLA762074077</t>
  </si>
  <si>
    <t>MLA781331055</t>
  </si>
  <si>
    <t>MLA781331571</t>
  </si>
  <si>
    <t>MLA789857682</t>
  </si>
  <si>
    <t>MLA1397955888</t>
  </si>
  <si>
    <t>MLA913081575</t>
  </si>
  <si>
    <t>MLA1366126655</t>
  </si>
  <si>
    <t>MLA883091505</t>
  </si>
  <si>
    <t>MLA1397904766</t>
  </si>
  <si>
    <t>MLA913082462</t>
  </si>
  <si>
    <t>MLA913081914</t>
  </si>
  <si>
    <t>MLA781334317</t>
  </si>
  <si>
    <t>MLA776744424</t>
  </si>
  <si>
    <t>MLA782127551</t>
  </si>
  <si>
    <t>MLA782128904</t>
  </si>
  <si>
    <t>MLA782127592</t>
  </si>
  <si>
    <t>MLA782122106</t>
  </si>
  <si>
    <t>MLA782121073</t>
  </si>
  <si>
    <t>MLA782120938</t>
  </si>
  <si>
    <t>MLA785735886</t>
  </si>
  <si>
    <t>MLA785734952</t>
  </si>
  <si>
    <t>MLA785731434</t>
  </si>
  <si>
    <t>MLA785732387</t>
  </si>
  <si>
    <t>MLA782128290</t>
  </si>
  <si>
    <t>MLA782128730</t>
  </si>
  <si>
    <t>MLA782128371</t>
  </si>
  <si>
    <t>MLA782128415</t>
  </si>
  <si>
    <t>MLA782120229</t>
  </si>
  <si>
    <t>MLA782128261</t>
  </si>
  <si>
    <t>MLA782128227</t>
  </si>
  <si>
    <t>MLA782120651</t>
  </si>
  <si>
    <t>MLA782120593</t>
  </si>
  <si>
    <t>MLA781331830</t>
  </si>
  <si>
    <t>MLA776743849</t>
  </si>
  <si>
    <t>MLA782120806</t>
  </si>
  <si>
    <t>MLA782120729</t>
  </si>
  <si>
    <t>MLA782119363</t>
  </si>
  <si>
    <t>MLA782121307</t>
  </si>
  <si>
    <t>MLA760066969</t>
  </si>
  <si>
    <t>MLA776593054</t>
  </si>
  <si>
    <t>MLA776592839</t>
  </si>
  <si>
    <t>MLA776744682</t>
  </si>
  <si>
    <t>MLA781331688</t>
  </si>
  <si>
    <t>MLA781334774</t>
  </si>
  <si>
    <t>MLA1401407632</t>
  </si>
  <si>
    <t>MLA779462123</t>
  </si>
  <si>
    <t>MLA883105256</t>
  </si>
  <si>
    <t>MLA781332063</t>
  </si>
  <si>
    <t>MLA760286096</t>
  </si>
  <si>
    <t>MLA770057801</t>
  </si>
  <si>
    <t>MLA760067037</t>
  </si>
  <si>
    <t>MLA762435009</t>
  </si>
  <si>
    <t>MLA781329992</t>
  </si>
  <si>
    <t>MLA776743929</t>
  </si>
  <si>
    <t>MLA776744149</t>
  </si>
  <si>
    <t>MLA782114061</t>
  </si>
  <si>
    <t>MLA782119452</t>
  </si>
  <si>
    <t>MLA816537960</t>
  </si>
  <si>
    <t>MLA801585635</t>
  </si>
  <si>
    <t>MLA1344819806</t>
  </si>
  <si>
    <t>MLA1344776566</t>
  </si>
  <si>
    <t>MLA782127331</t>
  </si>
  <si>
    <t>MLA816538274</t>
  </si>
  <si>
    <t>MLA1344974915</t>
  </si>
  <si>
    <t>MLA1344819600</t>
  </si>
  <si>
    <t>MLA816535907</t>
  </si>
  <si>
    <t>MLA801301618</t>
  </si>
  <si>
    <t>MLA801306735</t>
  </si>
  <si>
    <t>MLA782121020</t>
  </si>
  <si>
    <t>MLA778005278</t>
  </si>
  <si>
    <t>MLA816536117</t>
  </si>
  <si>
    <t>MLA782113991</t>
  </si>
  <si>
    <t>MLA842716326</t>
  </si>
  <si>
    <t>MLA1344894472</t>
  </si>
  <si>
    <t>MLA928758007</t>
  </si>
  <si>
    <t>MLA928758750</t>
  </si>
  <si>
    <t>MLA778988475</t>
  </si>
  <si>
    <t>MLA795093127</t>
  </si>
  <si>
    <t>MLA792120653</t>
  </si>
  <si>
    <t>MLA1285902537</t>
  </si>
  <si>
    <t>MLA1133580450</t>
  </si>
  <si>
    <t>MLA1372509323</t>
  </si>
  <si>
    <t>MLA800286901</t>
  </si>
  <si>
    <t>MLA1372586717</t>
  </si>
  <si>
    <t>MLA1429954846</t>
  </si>
  <si>
    <t>MLA1372587163</t>
  </si>
  <si>
    <t>MLA1372487903</t>
  </si>
  <si>
    <t>MLA779460739</t>
  </si>
  <si>
    <t>MLA1370888005</t>
  </si>
  <si>
    <t>MLA918966461</t>
  </si>
  <si>
    <t>MLA900855102</t>
  </si>
  <si>
    <t>MLA1131176180</t>
  </si>
  <si>
    <t>MLA1131105895</t>
  </si>
  <si>
    <t>MLA933863934</t>
  </si>
  <si>
    <t>MLA795096552</t>
  </si>
  <si>
    <t>MLA919304588</t>
  </si>
  <si>
    <t>MLA919489361</t>
  </si>
  <si>
    <t>MLA919492737</t>
  </si>
  <si>
    <t>MLA1180072876</t>
  </si>
  <si>
    <t>MLA1147635834</t>
  </si>
  <si>
    <t>MLA1147623733</t>
  </si>
  <si>
    <t>MLA919485393</t>
  </si>
  <si>
    <t>MLA919484073</t>
  </si>
  <si>
    <t>MLA1186231722</t>
  </si>
  <si>
    <t>MLA1180627650</t>
  </si>
  <si>
    <t>MLA1183920381</t>
  </si>
  <si>
    <t>MLA762401668</t>
  </si>
  <si>
    <t>MLA1131907440</t>
  </si>
  <si>
    <t>MLA795092361</t>
  </si>
  <si>
    <t>MLA919169943</t>
  </si>
  <si>
    <t>MLA795086880</t>
  </si>
  <si>
    <t>MLA918960624</t>
  </si>
  <si>
    <t>MLA918954845</t>
  </si>
  <si>
    <t>MLA919477745</t>
  </si>
  <si>
    <t>MLA919471415</t>
  </si>
  <si>
    <t>MLA919313818</t>
  </si>
  <si>
    <t>MLA759923816</t>
  </si>
  <si>
    <t>MLA918989095</t>
  </si>
  <si>
    <t>MLA918979312</t>
  </si>
  <si>
    <t>MLA1377846388</t>
  </si>
  <si>
    <t>MLA1363352485</t>
  </si>
  <si>
    <t>MLA919479371</t>
  </si>
  <si>
    <t>MLA918556530</t>
  </si>
  <si>
    <t>MLA918553903</t>
  </si>
  <si>
    <t>MLA1135208690</t>
  </si>
  <si>
    <t>MLA1134960187</t>
  </si>
  <si>
    <t>MLA901069627</t>
  </si>
  <si>
    <t>MLA918971833</t>
  </si>
  <si>
    <t>MLA918958345</t>
  </si>
  <si>
    <t>MLA919491493</t>
  </si>
  <si>
    <t>MLA919299327</t>
  </si>
  <si>
    <t>MLA919292060</t>
  </si>
  <si>
    <t>MLA919294428</t>
  </si>
  <si>
    <t>MLA1134535808</t>
  </si>
  <si>
    <t>MLA792143129</t>
  </si>
  <si>
    <t>MLA1136526356</t>
  </si>
  <si>
    <t>MLA1136507172</t>
  </si>
  <si>
    <t>MLA1120334656</t>
  </si>
  <si>
    <t>MLA1339979216</t>
  </si>
  <si>
    <t>MLA874956187</t>
  </si>
  <si>
    <t>MLA817214927</t>
  </si>
  <si>
    <t>MLA1169836591</t>
  </si>
  <si>
    <t>MLA1429810088</t>
  </si>
  <si>
    <t>MLA819131226</t>
  </si>
  <si>
    <t>MLA1345492152</t>
  </si>
  <si>
    <t>MLA781141771</t>
  </si>
  <si>
    <t>MLA1341059570</t>
  </si>
  <si>
    <t>MLA1341027285</t>
  </si>
  <si>
    <t>MLA1346087252</t>
  </si>
  <si>
    <t>MLA1359485614</t>
  </si>
  <si>
    <t>MLA1345785631</t>
  </si>
  <si>
    <t>MLA928626369</t>
  </si>
  <si>
    <t>MLA776734766</t>
  </si>
  <si>
    <t>MLA909405327</t>
  </si>
  <si>
    <t>MLA1362382937</t>
  </si>
  <si>
    <t>MLA875438409</t>
  </si>
  <si>
    <t>MLA913474842</t>
  </si>
  <si>
    <t>MLA782128606</t>
  </si>
  <si>
    <t>MLA1344964004</t>
  </si>
  <si>
    <t>MLA758478111</t>
  </si>
  <si>
    <t>MLA1175775668</t>
  </si>
  <si>
    <t>MLA795087846</t>
  </si>
  <si>
    <t>MLA782125946</t>
  </si>
  <si>
    <t>MLA1111575967</t>
  </si>
  <si>
    <t>MLA781345181</t>
  </si>
  <si>
    <t>MLA781344404</t>
  </si>
  <si>
    <t>MLA782128651</t>
  </si>
  <si>
    <t>MLA1346243135</t>
  </si>
  <si>
    <t>MLA826589132</t>
  </si>
  <si>
    <t>MLA1397905114</t>
  </si>
  <si>
    <t>MLA782129701</t>
  </si>
  <si>
    <t>MLA826588152</t>
  </si>
  <si>
    <t>MLA1401394606</t>
  </si>
  <si>
    <t>MLA777653172</t>
  </si>
  <si>
    <t>MLA777653229</t>
  </si>
  <si>
    <t>MLA799731389</t>
  </si>
  <si>
    <t>MLA1105682410</t>
  </si>
  <si>
    <t>MLA776734285</t>
  </si>
  <si>
    <t>MLA928625598</t>
  </si>
  <si>
    <t>MLA1429798850</t>
  </si>
  <si>
    <t>MLA913673990</t>
  </si>
  <si>
    <t>MLA913081018</t>
  </si>
  <si>
    <t>MLA913076944</t>
  </si>
  <si>
    <t>MLA913078469</t>
  </si>
  <si>
    <t>MLA1363372491</t>
  </si>
  <si>
    <t>MLA1381646934</t>
  </si>
  <si>
    <t>MLA1381934788</t>
  </si>
  <si>
    <t>MLA1377809808</t>
  </si>
  <si>
    <t>MLA918964834</t>
  </si>
  <si>
    <t>MLA778961804</t>
  </si>
  <si>
    <t>MLA779460855</t>
  </si>
  <si>
    <t>MLA913974247</t>
  </si>
  <si>
    <t>MLA1103551510</t>
  </si>
  <si>
    <t>MLA1103635483</t>
  </si>
  <si>
    <t>MLA1103472698</t>
  </si>
  <si>
    <t>MLA1103367991</t>
  </si>
  <si>
    <t>MLA1103355198</t>
  </si>
  <si>
    <t>MLA1110890997</t>
  </si>
  <si>
    <t>MLA1110852320</t>
  </si>
  <si>
    <t>MLA1110824832</t>
  </si>
  <si>
    <t>MLA1182481324</t>
  </si>
  <si>
    <t>MLA1110805485</t>
  </si>
  <si>
    <t>MLA785143206</t>
  </si>
  <si>
    <t>MLA785540848</t>
  </si>
  <si>
    <t>MLA784478712</t>
  </si>
  <si>
    <t>MLA784479589</t>
  </si>
  <si>
    <t>MLA784483182</t>
  </si>
  <si>
    <t>MLA784482170</t>
  </si>
  <si>
    <t>MLA784479259</t>
  </si>
  <si>
    <t>MLA784479713</t>
  </si>
  <si>
    <t>MLA1341740892</t>
  </si>
  <si>
    <t>MLA1341702268</t>
  </si>
  <si>
    <t>MLA1149367796</t>
  </si>
  <si>
    <t>MLA1202327710</t>
  </si>
  <si>
    <t>MLA1135872393</t>
  </si>
  <si>
    <t>MLA1340803673</t>
  </si>
  <si>
    <t>MLA1340480906</t>
  </si>
  <si>
    <t>MLA1136489050</t>
  </si>
  <si>
    <t>MLA1340268948</t>
  </si>
  <si>
    <t>MLA1340806861</t>
  </si>
  <si>
    <t>MLA816679254</t>
  </si>
  <si>
    <t>MLA1341026811</t>
  </si>
  <si>
    <t>MLA1341023321</t>
  </si>
  <si>
    <t>MLA1103333677</t>
  </si>
  <si>
    <t>MLA1103373860</t>
  </si>
  <si>
    <t>MLA1103335245</t>
  </si>
  <si>
    <t>MLA1103374412</t>
  </si>
  <si>
    <t>MLA1103147488</t>
  </si>
  <si>
    <t>MLA1341709047</t>
  </si>
  <si>
    <t>MLA865771139</t>
  </si>
  <si>
    <t>MLA865763348</t>
  </si>
  <si>
    <t>MLA865767921</t>
  </si>
  <si>
    <t>MLA866742778</t>
  </si>
  <si>
    <t>MLA839389092</t>
  </si>
  <si>
    <t>MLA861911926</t>
  </si>
  <si>
    <t>MLA1147079172</t>
  </si>
  <si>
    <t>MLA907416957</t>
  </si>
  <si>
    <t>MLA1144466943</t>
  </si>
  <si>
    <t>MLA1110818361</t>
  </si>
  <si>
    <t>MLA1110824705</t>
  </si>
  <si>
    <t>MLA1110697576</t>
  </si>
  <si>
    <t>MLA1110723380</t>
  </si>
  <si>
    <t>MLA760067465</t>
  </si>
  <si>
    <t>MLA778014007</t>
  </si>
  <si>
    <t>MLA778013063</t>
  </si>
  <si>
    <t>MLA778014064</t>
  </si>
  <si>
    <t>MLA1355659176</t>
  </si>
  <si>
    <t>MLA1356032273</t>
  </si>
  <si>
    <t>MLA1359572043</t>
  </si>
  <si>
    <t>MLA1355296491</t>
  </si>
  <si>
    <t>MLA1342798406</t>
  </si>
  <si>
    <t>MLA1342811071</t>
  </si>
  <si>
    <t>MLA1344893342</t>
  </si>
  <si>
    <t>MLA1345786625</t>
  </si>
  <si>
    <t>MLA1144256060</t>
  </si>
  <si>
    <t>MLA1110323193</t>
  </si>
  <si>
    <t>MLA1110355375</t>
  </si>
  <si>
    <t>MLA917667996</t>
  </si>
  <si>
    <t>MLA907424094</t>
  </si>
  <si>
    <t>MLA1182254921</t>
  </si>
  <si>
    <t>MLA907416295</t>
  </si>
  <si>
    <t>MLA907422640</t>
  </si>
  <si>
    <t>MLA1182267901</t>
  </si>
  <si>
    <t>MLA907415805</t>
  </si>
  <si>
    <t>MLA1182145563</t>
  </si>
  <si>
    <t>MLA762231750</t>
  </si>
  <si>
    <t>MLA762435193</t>
  </si>
  <si>
    <t>MLA758478562</t>
  </si>
  <si>
    <t>MLA759872339</t>
  </si>
  <si>
    <t>MLA758403293</t>
  </si>
  <si>
    <t>MLA760284205</t>
  </si>
  <si>
    <t>MLA760284161</t>
  </si>
  <si>
    <t>MLA762231709</t>
  </si>
  <si>
    <t>MLA762231537</t>
  </si>
  <si>
    <t>MLA762230040</t>
  </si>
  <si>
    <t>MLA762231629</t>
  </si>
  <si>
    <t>MLA784481224</t>
  </si>
  <si>
    <t>MLA821988169</t>
  </si>
  <si>
    <t>MLA784481812</t>
  </si>
  <si>
    <t>MLA835289887</t>
  </si>
  <si>
    <t>MLA835440157</t>
  </si>
  <si>
    <t>MLA835446237</t>
  </si>
  <si>
    <t>MLA835444379</t>
  </si>
  <si>
    <t>MLA1135693631</t>
  </si>
  <si>
    <t>MLA800282488</t>
  </si>
  <si>
    <t>MLA784479358</t>
  </si>
  <si>
    <t>MLA784481614</t>
  </si>
  <si>
    <t>MLA1136209127</t>
  </si>
  <si>
    <t>MLA929153043</t>
  </si>
  <si>
    <t>MLA1103128330</t>
  </si>
  <si>
    <t>MLA1103157633</t>
  </si>
  <si>
    <t>MLA766886950</t>
  </si>
  <si>
    <t>MLA865210042</t>
  </si>
  <si>
    <t>MLA865759351</t>
  </si>
  <si>
    <t>MLA867872956</t>
  </si>
  <si>
    <t>MLA912753178</t>
  </si>
  <si>
    <t>MLA758401579</t>
  </si>
  <si>
    <t>MLA758401902</t>
  </si>
  <si>
    <t>MLA1342797501</t>
  </si>
  <si>
    <t>MLA878209066</t>
  </si>
  <si>
    <t>MLA878695816</t>
  </si>
  <si>
    <t>MLA928912537</t>
  </si>
  <si>
    <t>MLA878722321</t>
  </si>
  <si>
    <t>MLA857016561</t>
  </si>
  <si>
    <t>MLA867877071</t>
  </si>
  <si>
    <t>MLA865784457</t>
  </si>
  <si>
    <t>MLA867878924</t>
  </si>
  <si>
    <t>MLA777650626</t>
  </si>
  <si>
    <t>MLA784937218</t>
  </si>
  <si>
    <t>MLA784370243</t>
  </si>
  <si>
    <t>MLA785146971</t>
  </si>
  <si>
    <t>MLA785146455</t>
  </si>
  <si>
    <t>MLA784343531</t>
  </si>
  <si>
    <t>MLA792143642</t>
  </si>
  <si>
    <t>MLA784934694</t>
  </si>
  <si>
    <t>MLA780835528</t>
  </si>
  <si>
    <t>MLA781285273</t>
  </si>
  <si>
    <t>MLA784340146</t>
  </si>
  <si>
    <t>MLA821990584</t>
  </si>
  <si>
    <t>MLA821990742</t>
  </si>
  <si>
    <t>MLA816551808</t>
  </si>
  <si>
    <t>MLA821990437</t>
  </si>
  <si>
    <t>MLA780815156</t>
  </si>
  <si>
    <t>MLA780834500</t>
  </si>
  <si>
    <t>MLA780818427</t>
  </si>
  <si>
    <t>MLA780835607</t>
  </si>
  <si>
    <t>MLA780817961</t>
  </si>
  <si>
    <t>MLA780818743</t>
  </si>
  <si>
    <t>MLA780834242</t>
  </si>
  <si>
    <t>MLA792143739</t>
  </si>
  <si>
    <t>MLA792144509</t>
  </si>
  <si>
    <t>MLA792141819</t>
  </si>
  <si>
    <t>MLA792142254</t>
  </si>
  <si>
    <t>MLA762403467</t>
  </si>
  <si>
    <t>MLA796657728</t>
  </si>
  <si>
    <t>MLA796660840</t>
  </si>
  <si>
    <t>MLA796634562</t>
  </si>
  <si>
    <t>MLA780818516</t>
  </si>
  <si>
    <t>MLA780835818</t>
  </si>
  <si>
    <t>MLA780836024</t>
  </si>
  <si>
    <t>MLA780835284</t>
  </si>
  <si>
    <t>MLA781285651</t>
  </si>
  <si>
    <t>MLA782169945</t>
  </si>
  <si>
    <t>MLA781978941</t>
  </si>
  <si>
    <t>MLA816551715</t>
  </si>
  <si>
    <t>MLA801585376</t>
  </si>
  <si>
    <t>MLA816550556</t>
  </si>
  <si>
    <t>MLA1133883790</t>
  </si>
  <si>
    <t>MLA1133324232</t>
  </si>
  <si>
    <t>MLA759871984</t>
  </si>
  <si>
    <t>MLA868111412</t>
  </si>
  <si>
    <t>MLA1133827274</t>
  </si>
  <si>
    <t>MLA1181871889</t>
  </si>
  <si>
    <t>MLA759872113</t>
  </si>
  <si>
    <t>MLA868105849</t>
  </si>
  <si>
    <t>MLA1134050438</t>
  </si>
  <si>
    <t>MLA759872270</t>
  </si>
  <si>
    <t>MLA759871689</t>
  </si>
  <si>
    <t>MLA759872067</t>
  </si>
  <si>
    <t>MLA876037019</t>
  </si>
  <si>
    <t>MLA906021829</t>
  </si>
  <si>
    <t>MLA767697387</t>
  </si>
  <si>
    <t>MLA767696239</t>
  </si>
  <si>
    <t>MLA1100198806</t>
  </si>
  <si>
    <t>MLA933684724</t>
  </si>
  <si>
    <t>MLA876023439</t>
  </si>
  <si>
    <t>MLA864726804</t>
  </si>
  <si>
    <t>MLA876197450</t>
  </si>
  <si>
    <t>MLA878916208</t>
  </si>
  <si>
    <t>MLA878724003</t>
  </si>
  <si>
    <t>MLA762435707</t>
  </si>
  <si>
    <t>MLA767696352</t>
  </si>
  <si>
    <t>MLA776560237</t>
  </si>
  <si>
    <t>MLA913250122</t>
  </si>
  <si>
    <t>MLA868111858</t>
  </si>
  <si>
    <t>MLA1109220393</t>
  </si>
  <si>
    <t>MLA777655849</t>
  </si>
  <si>
    <t>MLA777653323</t>
  </si>
  <si>
    <t>MLA777653615</t>
  </si>
  <si>
    <t>MLA778004331</t>
  </si>
  <si>
    <t>MLA777655754</t>
  </si>
  <si>
    <t>MLA777659944</t>
  </si>
  <si>
    <t>MLA777660195</t>
  </si>
  <si>
    <t>MLA777660008</t>
  </si>
  <si>
    <t>MLA777655517</t>
  </si>
  <si>
    <t>MLA777648313</t>
  </si>
  <si>
    <t>MLA777650680</t>
  </si>
  <si>
    <t>MLA777653547</t>
  </si>
  <si>
    <t>MLA777650531</t>
  </si>
  <si>
    <t>MLA868771152</t>
  </si>
  <si>
    <t>MLA1338601290</t>
  </si>
  <si>
    <t>MLA919171148</t>
  </si>
  <si>
    <t>MLA1339139126</t>
  </si>
  <si>
    <t>MLA1135385662</t>
  </si>
  <si>
    <t>MLA874969739</t>
  </si>
  <si>
    <t>MLA1134038492</t>
  </si>
  <si>
    <t>MLA873053515</t>
  </si>
  <si>
    <t>MLA873056356</t>
  </si>
  <si>
    <t>MLA1103734979</t>
  </si>
  <si>
    <t>MLA1103735019</t>
  </si>
  <si>
    <t>MLA839683569</t>
  </si>
  <si>
    <t>MLA1344831079</t>
  </si>
  <si>
    <t>MLA1342791418</t>
  </si>
  <si>
    <t>MLA860117013</t>
  </si>
  <si>
    <t>MLA1361475537</t>
  </si>
  <si>
    <t>MLA878917376</t>
  </si>
  <si>
    <t>MLA1344895536</t>
  </si>
  <si>
    <t>MLA1345223804</t>
  </si>
  <si>
    <t>MLA780814830</t>
  </si>
  <si>
    <t>MLA780818670</t>
  </si>
  <si>
    <t>MLA780834042</t>
  </si>
  <si>
    <t>MLA1134050439</t>
  </si>
  <si>
    <t>MLA1133330966</t>
  </si>
  <si>
    <t>MLA762403361</t>
  </si>
  <si>
    <t>MLA906023864</t>
  </si>
  <si>
    <t>MLA1133336120</t>
  </si>
  <si>
    <t>MLA777653293</t>
  </si>
  <si>
    <t>MLA778431411</t>
  </si>
  <si>
    <t>MLA778430542</t>
  </si>
  <si>
    <t>MLA778013593</t>
  </si>
  <si>
    <t>MLA778014317</t>
  </si>
  <si>
    <t>MLA778431232</t>
  </si>
  <si>
    <t>MLA778430058</t>
  </si>
  <si>
    <t>MLA778433059</t>
  </si>
  <si>
    <t>MLA779464763</t>
  </si>
  <si>
    <t>MLA780817653</t>
  </si>
  <si>
    <t>MLA779464658</t>
  </si>
  <si>
    <t>MLA780815008</t>
  </si>
  <si>
    <t>MLA777649595</t>
  </si>
  <si>
    <t>MLA777654375</t>
  </si>
  <si>
    <t>MLA777650474</t>
  </si>
  <si>
    <t>MLA778014287</t>
  </si>
  <si>
    <t>MLA777648529</t>
  </si>
  <si>
    <t>MLA777653462</t>
  </si>
  <si>
    <t>MLA778430400</t>
  </si>
  <si>
    <t>MLA777650573</t>
  </si>
  <si>
    <t>MLA778014518</t>
  </si>
  <si>
    <t>MLA778014736</t>
  </si>
  <si>
    <t>MLA778014573</t>
  </si>
  <si>
    <t>MLA778014374</t>
  </si>
  <si>
    <t>MLA777648449</t>
  </si>
  <si>
    <t>MLA868106204</t>
  </si>
  <si>
    <t>MLA868110113</t>
  </si>
  <si>
    <t>MLA933865534</t>
  </si>
  <si>
    <t>MLA760286422</t>
  </si>
  <si>
    <t>MLA762402735</t>
  </si>
  <si>
    <t>MLA762402031</t>
  </si>
  <si>
    <t>MLA762403171</t>
  </si>
  <si>
    <t>MLA868767655</t>
  </si>
  <si>
    <t>MLA762403921</t>
  </si>
  <si>
    <t>MLA770050687</t>
  </si>
  <si>
    <t>MLA776562755</t>
  </si>
  <si>
    <t>MLA766943545</t>
  </si>
  <si>
    <t>MLA776561238</t>
  </si>
  <si>
    <t>MLA776562969</t>
  </si>
  <si>
    <t>MLA868111800</t>
  </si>
  <si>
    <t>MLA868112734</t>
  </si>
  <si>
    <t>MLA759925065</t>
  </si>
  <si>
    <t>MLA759924428</t>
  </si>
  <si>
    <t>MLA1109212502</t>
  </si>
  <si>
    <t>MLA759924128</t>
  </si>
  <si>
    <t>MLA759924331</t>
  </si>
  <si>
    <t>MLA759924038</t>
  </si>
  <si>
    <t>MLA766944531</t>
  </si>
  <si>
    <t>MLA766943715</t>
  </si>
  <si>
    <t>MLA766944965</t>
  </si>
  <si>
    <t>MLA762402088</t>
  </si>
  <si>
    <t>MLA921401129</t>
  </si>
  <si>
    <t>MLA921848853</t>
  </si>
  <si>
    <t>MLA760284558</t>
  </si>
  <si>
    <t>MLA759924242</t>
  </si>
  <si>
    <t>MLA776731515</t>
  </si>
  <si>
    <t>MLA776731390</t>
  </si>
  <si>
    <t>MLA1317265912</t>
  </si>
  <si>
    <t>MLA796632063</t>
  </si>
  <si>
    <t>MLA784369524</t>
  </si>
  <si>
    <t>MLA826454917</t>
  </si>
  <si>
    <t>MLA797528631</t>
  </si>
  <si>
    <t>MLA759930004</t>
  </si>
  <si>
    <t>MLA770046458</t>
  </si>
  <si>
    <t>MLA776593848</t>
  </si>
  <si>
    <t>MLA776742743</t>
  </si>
  <si>
    <t>MLA776593928</t>
  </si>
  <si>
    <t>MLA778431870</t>
  </si>
  <si>
    <t>MLA778432406</t>
  </si>
  <si>
    <t>MLA778432528</t>
  </si>
  <si>
    <t>MLA778004652</t>
  </si>
  <si>
    <t>MLA778432047</t>
  </si>
  <si>
    <t>MLA778432154</t>
  </si>
  <si>
    <t>MLA759930079</t>
  </si>
  <si>
    <t>MLA778432839</t>
  </si>
  <si>
    <t>MLA778432963</t>
  </si>
  <si>
    <t>MLA778432936</t>
  </si>
  <si>
    <t>MLA776591347</t>
  </si>
  <si>
    <t>MLA776594342</t>
  </si>
  <si>
    <t>MLA776564266</t>
  </si>
  <si>
    <t>MLA776563048</t>
  </si>
  <si>
    <t>MLA776564085</t>
  </si>
  <si>
    <t>MLA816680816</t>
  </si>
  <si>
    <t>MLA758403332</t>
  </si>
  <si>
    <t>MLA758481071</t>
  </si>
  <si>
    <t>MLA781141275</t>
  </si>
  <si>
    <t>MLA781139097</t>
  </si>
  <si>
    <t>MLA777652240</t>
  </si>
  <si>
    <t>MLA776792065</t>
  </si>
  <si>
    <t>MLA777650954</t>
  </si>
  <si>
    <t>MLA777650892</t>
  </si>
  <si>
    <t>MLA1147707177</t>
  </si>
  <si>
    <t>MLA781141549</t>
  </si>
  <si>
    <t>MLA758480817</t>
  </si>
  <si>
    <t>MLA928531047</t>
  </si>
  <si>
    <t>MLA821990857</t>
  </si>
  <si>
    <t>MLA1128933844</t>
  </si>
  <si>
    <t>MLA1130406338</t>
  </si>
  <si>
    <t>MLA780835046</t>
  </si>
  <si>
    <t>MLA784071161</t>
  </si>
  <si>
    <t>MLA794996161</t>
  </si>
  <si>
    <t>MLA780818246</t>
  </si>
  <si>
    <t>MLA801698570</t>
  </si>
  <si>
    <t>MLA800356347</t>
  </si>
  <si>
    <t>MLA800357874</t>
  </si>
  <si>
    <t>MLA800362423</t>
  </si>
  <si>
    <t>MLA794995576</t>
  </si>
  <si>
    <t>MLA800286746</t>
  </si>
  <si>
    <t>MLA800350755</t>
  </si>
  <si>
    <t>MLA794995395</t>
  </si>
  <si>
    <t>MLA794742789</t>
  </si>
  <si>
    <t>MLA794994401</t>
  </si>
  <si>
    <t>MLA839388152</t>
  </si>
  <si>
    <t>MLA841087163</t>
  </si>
  <si>
    <t>MLA780826501</t>
  </si>
  <si>
    <t>MLA783376217</t>
  </si>
  <si>
    <t>MLA780835117</t>
  </si>
  <si>
    <t>MLA776742285</t>
  </si>
  <si>
    <t>MLA783534936</t>
  </si>
  <si>
    <t>MLA785395567</t>
  </si>
  <si>
    <t>MLA785332280</t>
  </si>
  <si>
    <t>MLA785332644</t>
  </si>
  <si>
    <t>MLA784061559</t>
  </si>
  <si>
    <t>MLA780819653</t>
  </si>
  <si>
    <t>MLA780825815</t>
  </si>
  <si>
    <t>MLA780819559</t>
  </si>
  <si>
    <t>MLA780820156</t>
  </si>
  <si>
    <t>MLA1122735836</t>
  </si>
  <si>
    <t>MLA780833851</t>
  </si>
  <si>
    <t>MLA780830883</t>
  </si>
  <si>
    <t>MLA780819015</t>
  </si>
  <si>
    <t>MLA780833711</t>
  </si>
  <si>
    <t>MLA785147552</t>
  </si>
  <si>
    <t>MLA785192547</t>
  </si>
  <si>
    <t>MLA782164638</t>
  </si>
  <si>
    <t>MLA785168635</t>
  </si>
  <si>
    <t>MLA785200710</t>
  </si>
  <si>
    <t>MLA785168986</t>
  </si>
  <si>
    <t>MLA759930549</t>
  </si>
  <si>
    <t>MLA780826885</t>
  </si>
  <si>
    <t>MLA780818153</t>
  </si>
  <si>
    <t>MLA760285816</t>
  </si>
  <si>
    <t>MLA821991750</t>
  </si>
  <si>
    <t>MLA1158240044</t>
  </si>
  <si>
    <t>MLA1158353691</t>
  </si>
  <si>
    <t>MLA1159180754</t>
  </si>
  <si>
    <t>MLA1159264842</t>
  </si>
  <si>
    <t>MLA1158290024</t>
  </si>
  <si>
    <t>MLA1163424089</t>
  </si>
  <si>
    <t>MLA1162611037</t>
  </si>
  <si>
    <t>MLA1159148490</t>
  </si>
  <si>
    <t>MLA1161141885</t>
  </si>
  <si>
    <t>MLA1122344191</t>
  </si>
  <si>
    <t>MLA1122235606</t>
  </si>
  <si>
    <t>MLA1122242785</t>
  </si>
  <si>
    <t>MLA1121239222</t>
  </si>
  <si>
    <t>MLA1130836078</t>
  </si>
  <si>
    <t>MLA1111172633</t>
  </si>
  <si>
    <t>MLA1114287531</t>
  </si>
  <si>
    <t>MLA1114535259</t>
  </si>
  <si>
    <t>MLA1111351060</t>
  </si>
  <si>
    <t>MLA1120244745</t>
  </si>
  <si>
    <t>MLA1120285010</t>
  </si>
  <si>
    <t>MLA1114937784</t>
  </si>
  <si>
    <t>MLA1115005469</t>
  </si>
  <si>
    <t>MLA1120347945</t>
  </si>
  <si>
    <t>MLA1119713124</t>
  </si>
  <si>
    <t>MLA1115011338</t>
  </si>
  <si>
    <t>MLA1119552544</t>
  </si>
  <si>
    <t>MLA1114955996</t>
  </si>
  <si>
    <t>MLA1114798161</t>
  </si>
  <si>
    <t>MLA792120445</t>
  </si>
  <si>
    <t>MLA789859725</t>
  </si>
  <si>
    <t>MLA821991281</t>
  </si>
  <si>
    <t>MLA821991389</t>
  </si>
  <si>
    <t>MLA821991629</t>
  </si>
  <si>
    <t>MLA869244365</t>
  </si>
  <si>
    <t>MLA869244586</t>
  </si>
  <si>
    <t>MLA869245054</t>
  </si>
  <si>
    <t>MLA869244252</t>
  </si>
  <si>
    <t>MLA835625041</t>
  </si>
  <si>
    <t>MLA869243141</t>
  </si>
  <si>
    <t>MLA877477388</t>
  </si>
  <si>
    <t>MLA789859822</t>
  </si>
  <si>
    <t>MLA784338378</t>
  </si>
  <si>
    <t>MLA784484793</t>
  </si>
  <si>
    <t>MLA784930182</t>
  </si>
  <si>
    <t>MLA784483526</t>
  </si>
  <si>
    <t>MLA778431933</t>
  </si>
  <si>
    <t>MLA778429248</t>
  </si>
  <si>
    <t>MLA778004505</t>
  </si>
  <si>
    <t>MLA780836497</t>
  </si>
  <si>
    <t>MLA780836253</t>
  </si>
  <si>
    <t>MLA800364137</t>
  </si>
  <si>
    <t>MLA789859932</t>
  </si>
  <si>
    <t>MLA794994828</t>
  </si>
  <si>
    <t>MLA817096191</t>
  </si>
  <si>
    <t>MLA875602025</t>
  </si>
  <si>
    <t>MLA877485030</t>
  </si>
  <si>
    <t>MLA877487612</t>
  </si>
  <si>
    <t>MLA1171138524</t>
  </si>
  <si>
    <t>MLA835449804</t>
  </si>
  <si>
    <t>MLA835461744</t>
  </si>
  <si>
    <t>MLA835463681</t>
  </si>
  <si>
    <t>MLA1187433517</t>
  </si>
  <si>
    <t>MLA1186150808</t>
  </si>
  <si>
    <t>MLA1186149314</t>
  </si>
  <si>
    <t>MLA1186062161</t>
  </si>
  <si>
    <t>MLA784346552</t>
  </si>
  <si>
    <t>MLA792143036</t>
  </si>
  <si>
    <t>MLA826587975</t>
  </si>
  <si>
    <t>MLA784367435</t>
  </si>
  <si>
    <t>MLA780816049</t>
  </si>
  <si>
    <t>MLA800351801</t>
  </si>
  <si>
    <t>MLA836737653</t>
  </si>
  <si>
    <t>MLA784051292</t>
  </si>
  <si>
    <t>MLA778014153</t>
  </si>
  <si>
    <t>MLA785143757</t>
  </si>
  <si>
    <t>MLA867877836</t>
  </si>
  <si>
    <t>MLA909420860</t>
  </si>
  <si>
    <t>MLA1397954314</t>
  </si>
  <si>
    <t>MLA1184743368</t>
  </si>
  <si>
    <t>MLA1365935187</t>
  </si>
  <si>
    <t>MLA1396117436</t>
  </si>
  <si>
    <t>MLA1397940820</t>
  </si>
  <si>
    <t>MLA1340180275</t>
  </si>
  <si>
    <t>MLA1341354758</t>
  </si>
  <si>
    <t>MLA1149366549</t>
  </si>
  <si>
    <t>MLA1355399379</t>
  </si>
  <si>
    <t>MLA1356024906</t>
  </si>
  <si>
    <t>MLA1346622959</t>
  </si>
  <si>
    <t>MLA778013642</t>
  </si>
  <si>
    <t>MLA758479401</t>
  </si>
  <si>
    <t>MLA758402010</t>
  </si>
  <si>
    <t>MLA758402074</t>
  </si>
  <si>
    <t>MLA758401960</t>
  </si>
  <si>
    <t>MLA762231361</t>
  </si>
  <si>
    <t>MLA759923523</t>
  </si>
  <si>
    <t>MLA1103701721</t>
  </si>
  <si>
    <t>MLA860122620</t>
  </si>
  <si>
    <t>MLA929151868</t>
  </si>
  <si>
    <t>MLA776431955</t>
  </si>
  <si>
    <t>MLA776432093</t>
  </si>
  <si>
    <t>MLA864731609</t>
  </si>
  <si>
    <t>MLA1362942137</t>
  </si>
  <si>
    <t>MLA1355571811</t>
  </si>
  <si>
    <t>MLA1374191820</t>
  </si>
  <si>
    <t>MLA778429863</t>
  </si>
  <si>
    <t>MLA779465056</t>
  </si>
  <si>
    <t>MLA780818303</t>
  </si>
  <si>
    <t>MLA780815646</t>
  </si>
  <si>
    <t>MLA776593786</t>
  </si>
  <si>
    <t>MLA760285746</t>
  </si>
  <si>
    <t>MLA819131507</t>
  </si>
  <si>
    <t>MLA800285169</t>
  </si>
  <si>
    <t>MLA758403743</t>
  </si>
  <si>
    <t>MLA785196201</t>
  </si>
  <si>
    <t>MLA776562069</t>
  </si>
  <si>
    <t>MLA778960466</t>
  </si>
  <si>
    <t>MLA778004994</t>
  </si>
  <si>
    <t>MLA778960334</t>
  </si>
  <si>
    <t>MLA778987889</t>
  </si>
  <si>
    <t>MLA779927899</t>
  </si>
  <si>
    <t>MLA1114809517</t>
  </si>
  <si>
    <t>MLA1344996130</t>
  </si>
  <si>
    <t>MLA1229014427</t>
  </si>
  <si>
    <t>MLA1161021963</t>
  </si>
  <si>
    <t>MLA1163265608</t>
  </si>
  <si>
    <t>MLA1194818048</t>
  </si>
  <si>
    <t>MLA1281970672</t>
  </si>
  <si>
    <t>MLA1119506861</t>
  </si>
  <si>
    <t>MLA1111184593</t>
  </si>
  <si>
    <t>MLA836737777</t>
  </si>
  <si>
    <t>MLA1111142349</t>
  </si>
  <si>
    <t>MLA836881009</t>
  </si>
  <si>
    <t>MLA878206232</t>
  </si>
  <si>
    <t>MLA878923650</t>
  </si>
  <si>
    <t>MLA836882663</t>
  </si>
  <si>
    <t>MLA758403584</t>
  </si>
  <si>
    <t>MLA789860007</t>
  </si>
  <si>
    <t>MLA789869659</t>
  </si>
  <si>
    <t>MLA758404045</t>
  </si>
  <si>
    <t>MLA826588687</t>
  </si>
  <si>
    <t>MLA758480505</t>
  </si>
  <si>
    <t>MLA1103687539</t>
  </si>
  <si>
    <t>MLA1339318087</t>
  </si>
  <si>
    <t>MLA1338582077</t>
  </si>
  <si>
    <t>MLA1338780863</t>
  </si>
  <si>
    <t>MLA1344997284</t>
  </si>
  <si>
    <t>MLA1344964195</t>
  </si>
  <si>
    <t>MLA1339761131</t>
  </si>
  <si>
    <t>MLA816535722</t>
  </si>
  <si>
    <t>MLA1344975877</t>
  </si>
  <si>
    <t>MLA1344994836</t>
  </si>
  <si>
    <t>MLA1355658155</t>
  </si>
  <si>
    <t>MLA1356026520</t>
  </si>
  <si>
    <t>MLA1341068090</t>
  </si>
  <si>
    <t>MLA1344777715</t>
  </si>
  <si>
    <t>MLA1344964336</t>
  </si>
  <si>
    <t>MLA1149416732</t>
  </si>
  <si>
    <t>MLA1344849383</t>
  </si>
  <si>
    <t>MLA792143994</t>
  </si>
  <si>
    <t>MLA1345001014</t>
  </si>
  <si>
    <t>MLA1342836457</t>
  </si>
  <si>
    <t>MLA1340762266</t>
  </si>
  <si>
    <t>MLA906013089</t>
  </si>
  <si>
    <t>MLA886830730</t>
  </si>
  <si>
    <t>MLA906014762</t>
  </si>
  <si>
    <t>MLA1120781115</t>
  </si>
  <si>
    <t>MLA1281931682</t>
  </si>
  <si>
    <t>MLA928911703</t>
  </si>
  <si>
    <t>MLA758488203</t>
  </si>
  <si>
    <t>MLA1289281739</t>
  </si>
  <si>
    <t>MLA1169859837</t>
  </si>
  <si>
    <t>MLA1345235671</t>
  </si>
  <si>
    <t>MLA1345523468</t>
  </si>
  <si>
    <t>MLA1345222786</t>
  </si>
  <si>
    <t>MLA1345685707</t>
  </si>
  <si>
    <t>MLA1344829667</t>
  </si>
  <si>
    <t>MLA781134049</t>
  </si>
  <si>
    <t>MLA784482295</t>
  </si>
  <si>
    <t>MLA926274234</t>
  </si>
  <si>
    <t>MLA1184757251</t>
  </si>
  <si>
    <t>MLA868771060</t>
  </si>
  <si>
    <t>MLA868766333</t>
  </si>
  <si>
    <t>MLA868771681</t>
  </si>
  <si>
    <t>MLA800286827</t>
  </si>
  <si>
    <t>MLA778004431</t>
  </si>
  <si>
    <t>MLA782149805</t>
  </si>
  <si>
    <t>MLA1163406414</t>
  </si>
  <si>
    <t>MLA782148181</t>
  </si>
  <si>
    <t>MLA800287110</t>
  </si>
  <si>
    <t>MLA896090392</t>
  </si>
  <si>
    <t>MLA919171613</t>
  </si>
  <si>
    <t>MLA777660380</t>
  </si>
  <si>
    <t>MLA909576022</t>
  </si>
  <si>
    <t>MLA878911837</t>
  </si>
  <si>
    <t>MLA777662647</t>
  </si>
  <si>
    <t>MLA779461733</t>
  </si>
  <si>
    <t>MLA779902009</t>
  </si>
  <si>
    <t>MLA762436459</t>
  </si>
  <si>
    <t>MLA777660429</t>
  </si>
  <si>
    <t>MLA776792711</t>
  </si>
  <si>
    <t>MLA781818217</t>
  </si>
  <si>
    <t>MLA762438350</t>
  </si>
  <si>
    <t>MLA762436205</t>
  </si>
  <si>
    <t>MLA779462485</t>
  </si>
  <si>
    <t>MLA779461925</t>
  </si>
  <si>
    <t>MLA779461224</t>
  </si>
  <si>
    <t>MLA779461592</t>
  </si>
  <si>
    <t>MLA777652591</t>
  </si>
  <si>
    <t>MLA781285617</t>
  </si>
  <si>
    <t>MLA1368426535</t>
  </si>
  <si>
    <t>MLA780818921</t>
  </si>
  <si>
    <t>MLA760284277</t>
  </si>
  <si>
    <t>MLA776560955</t>
  </si>
  <si>
    <t>MLA1150858786</t>
  </si>
  <si>
    <t>MLA1150835411</t>
  </si>
  <si>
    <t>MLA782165538</t>
  </si>
  <si>
    <t>MLA779464581</t>
  </si>
  <si>
    <t>MLA781798937</t>
  </si>
  <si>
    <t>MLA782127695</t>
  </si>
  <si>
    <t>MLA777648392</t>
  </si>
  <si>
    <t>MLA782267574</t>
  </si>
  <si>
    <t>MLA782299780</t>
  </si>
  <si>
    <t>MLA785146712</t>
  </si>
  <si>
    <t>MLA782309342</t>
  </si>
  <si>
    <t>MLA784476256</t>
  </si>
  <si>
    <t>MLA784475277</t>
  </si>
  <si>
    <t>MLA781294025</t>
  </si>
  <si>
    <t>MLA781292662</t>
  </si>
  <si>
    <t>MLA781294495</t>
  </si>
  <si>
    <t>MLA759872545</t>
  </si>
  <si>
    <t>MLA816551258</t>
  </si>
  <si>
    <t>MLA792142378</t>
  </si>
  <si>
    <t>MLA785146778</t>
  </si>
  <si>
    <t>MLA759872739</t>
  </si>
  <si>
    <t>MLA776561518</t>
  </si>
  <si>
    <t>MLA801326742</t>
  </si>
  <si>
    <t>MLA816551327</t>
  </si>
  <si>
    <t>MLA1360796679</t>
  </si>
  <si>
    <t>MLA816550478</t>
  </si>
  <si>
    <t>MLA784476639</t>
  </si>
  <si>
    <t>MLA776563766</t>
  </si>
  <si>
    <t>MLA779909415</t>
  </si>
  <si>
    <t>MLA779927951</t>
  </si>
  <si>
    <t>MLA1410579430</t>
  </si>
  <si>
    <t>MLA784347923</t>
  </si>
  <si>
    <t>MLA1368558331</t>
  </si>
  <si>
    <t>MLA1423365758</t>
  </si>
  <si>
    <t>MLA762232790</t>
  </si>
  <si>
    <t>MLA782114191</t>
  </si>
  <si>
    <t>MLA764006166</t>
  </si>
  <si>
    <t>MLA779461448</t>
  </si>
  <si>
    <t>MLA1150420225</t>
  </si>
  <si>
    <t>MLA1133585152</t>
  </si>
  <si>
    <t>MLA934323530</t>
  </si>
  <si>
    <t>MLA1355396778</t>
  </si>
  <si>
    <t>MLA762072275</t>
  </si>
  <si>
    <t>MLA785147267</t>
  </si>
  <si>
    <t>MLA1315758895</t>
  </si>
  <si>
    <t>MLA897653764</t>
  </si>
  <si>
    <t>MLA913252217</t>
  </si>
  <si>
    <t>MLA785144968</t>
  </si>
  <si>
    <t>MLA781815580</t>
  </si>
  <si>
    <t>MLA762077774</t>
  </si>
  <si>
    <t>MLA789857963</t>
  </si>
  <si>
    <t>MLA912758476</t>
  </si>
  <si>
    <t>MLA832179708</t>
  </si>
  <si>
    <t>MLA789859682</t>
  </si>
  <si>
    <t>MLA1105219057</t>
  </si>
  <si>
    <t>MLA797826566</t>
  </si>
  <si>
    <t>MLA1165955844</t>
  </si>
  <si>
    <t>MLA799473826</t>
  </si>
  <si>
    <t>MLA780819082</t>
  </si>
  <si>
    <t>MLA857191948</t>
  </si>
  <si>
    <t>MLA912646024</t>
  </si>
  <si>
    <t>MLA1105726440</t>
  </si>
  <si>
    <t>MLA799485477</t>
  </si>
  <si>
    <t>MLA1308848235</t>
  </si>
  <si>
    <t>MLA857198536</t>
  </si>
  <si>
    <t>MLA1122880828</t>
  </si>
  <si>
    <t>MLA1323492809</t>
  </si>
  <si>
    <t>MLA876434306</t>
  </si>
  <si>
    <t>MLA762074895</t>
  </si>
  <si>
    <t>MLA836714217</t>
  </si>
  <si>
    <t>MLA797658705</t>
  </si>
  <si>
    <t>MLA799471830</t>
  </si>
  <si>
    <t>MLA799469807</t>
  </si>
  <si>
    <t>MLA1419932836</t>
  </si>
  <si>
    <t>MLA1415043498</t>
  </si>
  <si>
    <t>MLA1369349303</t>
  </si>
  <si>
    <t>MLA1419602144</t>
  </si>
  <si>
    <t>MLA1381876130</t>
  </si>
  <si>
    <t>MLA1370197375</t>
  </si>
  <si>
    <t>MLA762401991</t>
  </si>
  <si>
    <t>MLA913674054</t>
  </si>
  <si>
    <t>MLA1410730996</t>
  </si>
  <si>
    <t>MLA1368588317</t>
  </si>
  <si>
    <t>MLA1410742174</t>
  </si>
  <si>
    <t>MLA1125188852</t>
  </si>
  <si>
    <t>MLA1423279304</t>
  </si>
  <si>
    <t>MLA1419602142</t>
  </si>
  <si>
    <t>MLA1381938580</t>
  </si>
  <si>
    <t>MLA900853679</t>
  </si>
  <si>
    <t>MLA797831288</t>
  </si>
  <si>
    <t>MLA785146874</t>
  </si>
  <si>
    <t>MLA875610277</t>
  </si>
  <si>
    <t>MLA778012179</t>
  </si>
  <si>
    <t>MLA792144256</t>
  </si>
  <si>
    <t>MLA1339953859</t>
  </si>
  <si>
    <t>MLA762435459</t>
  </si>
  <si>
    <t>MLA781491001</t>
  </si>
  <si>
    <t>MLA777653891</t>
  </si>
  <si>
    <t>MLA778013929</t>
  </si>
  <si>
    <t>MLA1111049013</t>
  </si>
  <si>
    <t>MLA1345002438</t>
  </si>
  <si>
    <t>MLA869242380</t>
  </si>
  <si>
    <t>MLA776561381</t>
  </si>
  <si>
    <t>MLA779927844</t>
  </si>
  <si>
    <t>MLA776432393</t>
  </si>
  <si>
    <t>MLA1139360387</t>
  </si>
  <si>
    <t>MLA1139367430</t>
  </si>
  <si>
    <t>MLA765896180</t>
  </si>
  <si>
    <t>MLA826588873</t>
  </si>
  <si>
    <t>MLA758403788</t>
  </si>
  <si>
    <t>MLA759929074</t>
  </si>
  <si>
    <t>MLA760282945</t>
  </si>
  <si>
    <t>MLA784475889</t>
  </si>
  <si>
    <t>MLA784476178</t>
  </si>
  <si>
    <t>MLA781292032</t>
  </si>
  <si>
    <t>MLA778013376</t>
  </si>
  <si>
    <t>MLA766934976</t>
  </si>
  <si>
    <t>MLA776791832</t>
  </si>
  <si>
    <t>MLA776792755</t>
  </si>
  <si>
    <t>MLA766934324</t>
  </si>
  <si>
    <t>MLA778013209</t>
  </si>
  <si>
    <t>MLA777652139</t>
  </si>
  <si>
    <t>MLA777651777</t>
  </si>
  <si>
    <t>MLA784477793</t>
  </si>
  <si>
    <t>MLA778012852</t>
  </si>
  <si>
    <t>MLA778012981</t>
  </si>
  <si>
    <t>MLA778012420</t>
  </si>
  <si>
    <t>MLA778012921</t>
  </si>
  <si>
    <t>MLA778012065</t>
  </si>
  <si>
    <t>MLA778011423</t>
  </si>
  <si>
    <t>MLA778011570</t>
  </si>
  <si>
    <t>MLA781291094</t>
  </si>
  <si>
    <t>MLA781293801</t>
  </si>
  <si>
    <t>MLA784477872</t>
  </si>
  <si>
    <t>MLA784476833</t>
  </si>
  <si>
    <t>MLA784477689</t>
  </si>
  <si>
    <t>MLA778010356</t>
  </si>
  <si>
    <t>MLA833967235</t>
  </si>
  <si>
    <t>MLA779903228</t>
  </si>
  <si>
    <t>MLA779902597</t>
  </si>
  <si>
    <t>MLA779928176</t>
  </si>
  <si>
    <t>MLA779905033</t>
  </si>
  <si>
    <t>MLA779902420</t>
  </si>
  <si>
    <t>MLA779902498</t>
  </si>
  <si>
    <t>MLA776433575</t>
  </si>
  <si>
    <t>MLA776432202</t>
  </si>
  <si>
    <t>MLA776433123</t>
  </si>
  <si>
    <t>MLA776432281</t>
  </si>
  <si>
    <t>MLA776432433</t>
  </si>
  <si>
    <t>MLA776432334</t>
  </si>
  <si>
    <t>MLA777652352</t>
  </si>
  <si>
    <t>MLA777653102</t>
  </si>
  <si>
    <t>MLA777652476</t>
  </si>
  <si>
    <t>MLA777652631</t>
  </si>
  <si>
    <t>MLA777653025</t>
  </si>
  <si>
    <t>MLA777652997</t>
  </si>
  <si>
    <t>MLA779902212</t>
  </si>
  <si>
    <t>MLA779901927</t>
  </si>
  <si>
    <t>MLA776564182</t>
  </si>
  <si>
    <t>MLA776564573</t>
  </si>
  <si>
    <t>MLA779901797</t>
  </si>
  <si>
    <t>MLA779902107</t>
  </si>
  <si>
    <t>MLA777653386</t>
  </si>
  <si>
    <t>MLA779927242</t>
  </si>
  <si>
    <t>MLA779461825</t>
  </si>
  <si>
    <t>MLA762233156</t>
  </si>
  <si>
    <t>MLA762435534</t>
  </si>
  <si>
    <t>MLA762435829</t>
  </si>
  <si>
    <t>MLA778011885</t>
  </si>
  <si>
    <t>MLA778010465</t>
  </si>
  <si>
    <t>MLA778011753</t>
  </si>
  <si>
    <t>MLA832177152</t>
  </si>
  <si>
    <t>MLA781291330</t>
  </si>
  <si>
    <t>MLA776792860</t>
  </si>
  <si>
    <t>MLA778011074</t>
  </si>
  <si>
    <t>MLA830046264</t>
  </si>
  <si>
    <t>MLA830044461</t>
  </si>
  <si>
    <t>MLA778012358</t>
  </si>
  <si>
    <t>MLA778013298</t>
  </si>
  <si>
    <t>MLA1100216390</t>
  </si>
  <si>
    <t>MLA928526069</t>
  </si>
  <si>
    <t>MLA928912643</t>
  </si>
  <si>
    <t>MLA928531760</t>
  </si>
  <si>
    <t>MLA1100874386</t>
  </si>
  <si>
    <t>MLA869420596</t>
  </si>
  <si>
    <t>MLA869407049</t>
  </si>
  <si>
    <t>MLA776561770</t>
  </si>
  <si>
    <t>MLA899200462</t>
  </si>
  <si>
    <t>MLA909415127</t>
  </si>
  <si>
    <t>MLA912759022</t>
  </si>
  <si>
    <t>MLA917482734</t>
  </si>
  <si>
    <t>MLA917662726</t>
  </si>
  <si>
    <t>MLA917481558</t>
  </si>
  <si>
    <t>MLA917484220</t>
  </si>
  <si>
    <t>MLA917486113</t>
  </si>
  <si>
    <t>MLA918990937</t>
  </si>
  <si>
    <t>MLA913672054</t>
  </si>
  <si>
    <t>MLA909411342</t>
  </si>
  <si>
    <t>MLA899118827</t>
  </si>
  <si>
    <t>MLA1110302980</t>
  </si>
  <si>
    <t>MLA1124952158</t>
  </si>
  <si>
    <t>MLA1111203683</t>
  </si>
  <si>
    <t>MLA843729731</t>
  </si>
  <si>
    <t>MLA1142543262</t>
  </si>
  <si>
    <t>MLA1142373750</t>
  </si>
  <si>
    <t>MLA1139064390</t>
  </si>
  <si>
    <t>MLA1142717461</t>
  </si>
  <si>
    <t>MLA1122253947</t>
  </si>
  <si>
    <t>MLA1122345379</t>
  </si>
  <si>
    <t>MLA1128978384</t>
  </si>
  <si>
    <t>MLA1344474694</t>
  </si>
  <si>
    <t>MLA776742463</t>
  </si>
  <si>
    <t>MLA1167808753</t>
  </si>
  <si>
    <t>MLA1171353292</t>
  </si>
  <si>
    <t>MLA1174766559</t>
  </si>
  <si>
    <t>MLA1174772934</t>
  </si>
  <si>
    <t>MLA1190457065</t>
  </si>
  <si>
    <t>MLA1188052154</t>
  </si>
  <si>
    <t>MLA1190438308</t>
  </si>
  <si>
    <t>MLA1191907286</t>
  </si>
  <si>
    <t>MLA875608989</t>
  </si>
  <si>
    <t>MLA877489997</t>
  </si>
  <si>
    <t>MLA877486998</t>
  </si>
  <si>
    <t>MLA923798400</t>
  </si>
  <si>
    <t>MLA1134216176</t>
  </si>
  <si>
    <t>MLA1134215305</t>
  </si>
  <si>
    <t>MLA1297859420</t>
  </si>
  <si>
    <t>MLA1299602537</t>
  </si>
  <si>
    <t>MLA876204872</t>
  </si>
  <si>
    <t>MLA878915819</t>
  </si>
  <si>
    <t>MLA1134044433</t>
  </si>
  <si>
    <t>MLA1134033065</t>
  </si>
  <si>
    <t>MLA1134003879</t>
  </si>
  <si>
    <t>MLA1103698043</t>
  </si>
  <si>
    <t>MLA1105212560</t>
  </si>
  <si>
    <t>MLA1100208017</t>
  </si>
  <si>
    <t>MLA868765733</t>
  </si>
  <si>
    <t>MLA899436316</t>
  </si>
  <si>
    <t>MLA758476964</t>
  </si>
  <si>
    <t>MLA778433021</t>
  </si>
  <si>
    <t>MLA778014779</t>
  </si>
  <si>
    <t>MLA778961407</t>
  </si>
  <si>
    <t>MLA778006764</t>
  </si>
  <si>
    <t>MLA777655442</t>
  </si>
  <si>
    <t>MLA777653820</t>
  </si>
  <si>
    <t>MLA777655339</t>
  </si>
  <si>
    <t>MLA777655223</t>
  </si>
  <si>
    <t>MLA779461099</t>
  </si>
  <si>
    <t>MLA780814355</t>
  </si>
  <si>
    <t>MLA864511930</t>
  </si>
  <si>
    <t>MLA778988265</t>
  </si>
  <si>
    <t>MLA778984861</t>
  </si>
  <si>
    <t>MLA778962211</t>
  </si>
  <si>
    <t>MLA778960683</t>
  </si>
  <si>
    <t>MLA779928083</t>
  </si>
  <si>
    <t>MLA778430345</t>
  </si>
  <si>
    <t>MLA780835976</t>
  </si>
  <si>
    <t>MLA780834367</t>
  </si>
  <si>
    <t>MLA780835235</t>
  </si>
  <si>
    <t>MLA780835159</t>
  </si>
  <si>
    <t>MLA780835899</t>
  </si>
  <si>
    <t>MLA780835669</t>
  </si>
  <si>
    <t>MLA780833969</t>
  </si>
  <si>
    <t>MLA780835466</t>
  </si>
  <si>
    <t>MLA780835380</t>
  </si>
  <si>
    <t>MLA780818365</t>
  </si>
  <si>
    <t>MLA784035997</t>
  </si>
  <si>
    <t>MLA782262192</t>
  </si>
  <si>
    <t>MLA780835754</t>
  </si>
  <si>
    <t>MLA780833919</t>
  </si>
  <si>
    <t>MLA781285405</t>
  </si>
  <si>
    <t>MLA781286459</t>
  </si>
  <si>
    <t>MLA781285550</t>
  </si>
  <si>
    <t>MLA781285922</t>
  </si>
  <si>
    <t>MLA781285719</t>
  </si>
  <si>
    <t>MLA784479869</t>
  </si>
  <si>
    <t>MLA781288354</t>
  </si>
  <si>
    <t>MLA792142116</t>
  </si>
  <si>
    <t>MLA792141598</t>
  </si>
  <si>
    <t>MLA784368200</t>
  </si>
  <si>
    <t>MLA784471205</t>
  </si>
  <si>
    <t>MLA785144744</t>
  </si>
  <si>
    <t>MLA762435351</t>
  </si>
  <si>
    <t>MLA860113757</t>
  </si>
  <si>
    <t>MLA906193188</t>
  </si>
  <si>
    <t>MLA1122671168</t>
  </si>
  <si>
    <t>MLA878726288</t>
  </si>
  <si>
    <t>MLA792120519</t>
  </si>
  <si>
    <t>MLA910603448</t>
  </si>
  <si>
    <t>MLA1105676010</t>
  </si>
  <si>
    <t>MLA837157019</t>
  </si>
  <si>
    <t>MLA1100070846</t>
  </si>
  <si>
    <t>MLA936066727</t>
  </si>
  <si>
    <t>MLA860107480</t>
  </si>
  <si>
    <t>MLA868547164</t>
  </si>
  <si>
    <t>MLA860117884</t>
  </si>
  <si>
    <t>MLA886528696</t>
  </si>
  <si>
    <t>MLA886300219</t>
  </si>
  <si>
    <t>MLA1160009815</t>
  </si>
  <si>
    <t>MLA1124777699</t>
  </si>
  <si>
    <t>MLA1122691722</t>
  </si>
  <si>
    <t>MLA936084719</t>
  </si>
  <si>
    <t>MLA776431632</t>
  </si>
  <si>
    <t>MLA1159912798</t>
  </si>
  <si>
    <t>MLA776593576</t>
  </si>
  <si>
    <t>MLA1121178996</t>
  </si>
  <si>
    <t>MLA895942788</t>
  </si>
  <si>
    <t>MLA829007631</t>
  </si>
  <si>
    <t>MLA1105675981</t>
  </si>
  <si>
    <t>MLA760284077</t>
  </si>
  <si>
    <t>MLA833875163</t>
  </si>
  <si>
    <t>MLA1142736755</t>
  </si>
  <si>
    <t>MLA1124795044</t>
  </si>
  <si>
    <t>MLA792121036</t>
  </si>
  <si>
    <t>MLA1105755057</t>
  </si>
  <si>
    <t>MLA835797841</t>
  </si>
  <si>
    <t>MLA795080013</t>
  </si>
  <si>
    <t>MLA794753788</t>
  </si>
  <si>
    <t>MLA792120076</t>
  </si>
  <si>
    <t>MLA776742975</t>
  </si>
  <si>
    <t>MLA792120379</t>
  </si>
  <si>
    <t>MLA776593461</t>
  </si>
  <si>
    <t>MLA776743030</t>
  </si>
  <si>
    <t>MLA776593696</t>
  </si>
  <si>
    <t>MLA776431446</t>
  </si>
  <si>
    <t>MLA886824079</t>
  </si>
  <si>
    <t>MLA792120971</t>
  </si>
  <si>
    <t>MLA789229186</t>
  </si>
  <si>
    <t>MLA767695688</t>
  </si>
  <si>
    <t>MLA867410381</t>
  </si>
  <si>
    <t>MLA789232817</t>
  </si>
  <si>
    <t>MLA776591747</t>
  </si>
  <si>
    <t>MLA767695967</t>
  </si>
  <si>
    <t>MLA776431519</t>
  </si>
  <si>
    <t>MLA760067097</t>
  </si>
  <si>
    <t>MLA759872413</t>
  </si>
  <si>
    <t>MLA760067248</t>
  </si>
  <si>
    <t>MLA1346088907</t>
  </si>
  <si>
    <t>MLA1181849910</t>
  </si>
  <si>
    <t>MLA1174517411</t>
  </si>
  <si>
    <t>MLA1141033563</t>
  </si>
  <si>
    <t>MLA1141033562</t>
  </si>
  <si>
    <t>MLA933676565</t>
  </si>
  <si>
    <t>MLA792144161</t>
  </si>
  <si>
    <t>MLA1344848291</t>
  </si>
  <si>
    <t>MLA778432321</t>
  </si>
  <si>
    <t>MLA886666250</t>
  </si>
  <si>
    <t>MLA778013823</t>
  </si>
  <si>
    <t>MLA1150388670</t>
  </si>
  <si>
    <t>MLA762231866</t>
  </si>
  <si>
    <t>MLA799474393</t>
  </si>
  <si>
    <t>MLA913725892</t>
  </si>
  <si>
    <t>MLA778432265</t>
  </si>
  <si>
    <t>MLA1355389214</t>
  </si>
  <si>
    <t>MLA1355291864</t>
  </si>
  <si>
    <t>MLA778014814</t>
  </si>
  <si>
    <t>MLA784062973</t>
  </si>
  <si>
    <t>MLA778014649</t>
  </si>
  <si>
    <t>MLA762233014</t>
  </si>
  <si>
    <t>MLA762232049</t>
  </si>
  <si>
    <t>MLA781331336</t>
  </si>
  <si>
    <t>MLA778430105</t>
  </si>
  <si>
    <t>MLA797614493</t>
  </si>
  <si>
    <t>MLA1432294630</t>
  </si>
  <si>
    <t>MLA762231931</t>
  </si>
  <si>
    <t>MLA784349636</t>
  </si>
  <si>
    <t>MLA781330959</t>
  </si>
  <si>
    <t>MLA1373168235</t>
  </si>
  <si>
    <t>MLA1432320192</t>
  </si>
  <si>
    <t>MLA1432342938</t>
  </si>
  <si>
    <t>MLA1432320086</t>
  </si>
  <si>
    <t>MLA1373198707</t>
  </si>
  <si>
    <t>MLA1373168313</t>
  </si>
  <si>
    <t>MLA781331421</t>
  </si>
  <si>
    <t>MLA1432294660</t>
  </si>
  <si>
    <t>MLA1432342736</t>
  </si>
  <si>
    <t>MLA1432320230</t>
  </si>
  <si>
    <t>MLA1134953567</t>
  </si>
  <si>
    <t>MLA1373198837</t>
  </si>
  <si>
    <t>MLA1373211541</t>
  </si>
  <si>
    <t>MLA1373211417</t>
  </si>
  <si>
    <t>MLA1432342724</t>
  </si>
  <si>
    <t>MLA1432412548</t>
  </si>
  <si>
    <t>MLA1432412540</t>
  </si>
  <si>
    <t>MLA1432342886</t>
  </si>
  <si>
    <t>MLA1373198695</t>
  </si>
  <si>
    <t>MLA1373223815</t>
  </si>
  <si>
    <t>MLA1373198677</t>
  </si>
  <si>
    <t>MLA1346217075</t>
  </si>
  <si>
    <t>MLA1373198991</t>
  </si>
  <si>
    <t>MLA770046953</t>
  </si>
  <si>
    <t>MLA784336018</t>
  </si>
  <si>
    <t>MLA1163393459</t>
  </si>
  <si>
    <t>MLA778430448</t>
  </si>
  <si>
    <t>MLA781332176</t>
  </si>
  <si>
    <t>MLA826587888</t>
  </si>
  <si>
    <t>MLA886668691</t>
  </si>
  <si>
    <t>MLA778014594</t>
  </si>
  <si>
    <t>MLA900861630</t>
  </si>
  <si>
    <t>MLA1373211749</t>
  </si>
  <si>
    <t>MLA1175813592</t>
  </si>
  <si>
    <t>MLA842604624</t>
  </si>
  <si>
    <t>MLA1373168187</t>
  </si>
  <si>
    <t>MLA778432099</t>
  </si>
  <si>
    <t>HMG1028</t>
  </si>
  <si>
    <t>Iva</t>
  </si>
  <si>
    <t>Indicador</t>
  </si>
  <si>
    <t>Codigo Producto</t>
  </si>
  <si>
    <t>Costo Producto</t>
  </si>
  <si>
    <t>IIBB</t>
  </si>
  <si>
    <t>Envio Minimo</t>
  </si>
  <si>
    <t>Porcentaje Ganancia Original</t>
  </si>
  <si>
    <t>Costo Venta WEB</t>
  </si>
  <si>
    <t>Ganancia Venta WEB</t>
  </si>
  <si>
    <t>PRODMUSICALESPROD05</t>
  </si>
  <si>
    <t>PRODMUSICALESPROD07</t>
  </si>
  <si>
    <t>PRODMUSICALESPROD10</t>
  </si>
  <si>
    <t>PRODMUSICALESPROD11</t>
  </si>
  <si>
    <t>PRODMUSICALESPROD170</t>
  </si>
  <si>
    <t>PRODMUSICALESPROD171</t>
  </si>
  <si>
    <t>PRODMUSICALESPROD210</t>
  </si>
  <si>
    <t>PRODMUSICALESPROD226</t>
  </si>
  <si>
    <t>PRODMUSICALESPROD23</t>
  </si>
  <si>
    <t>PRODMUSICALESPROD24</t>
  </si>
  <si>
    <t>PRODMUSICALESPROD39</t>
  </si>
  <si>
    <t>PRODMUSICALESPROD46</t>
  </si>
  <si>
    <t>PRODMUSICALESPROD50</t>
  </si>
  <si>
    <t>PRODMUSICALESPROD54</t>
  </si>
  <si>
    <t>PRODMUSICALESPROD86</t>
  </si>
  <si>
    <t>PRODMUSICALESPROD88</t>
  </si>
  <si>
    <t>TMB1ON</t>
  </si>
  <si>
    <t>TMB1XON</t>
  </si>
  <si>
    <t>TMG3N</t>
  </si>
  <si>
    <t>TMMK1TBS</t>
  </si>
  <si>
    <t>TMMR1BU</t>
  </si>
  <si>
    <t>PRODMUSICALESPROD18</t>
  </si>
  <si>
    <t>PRODMUSICALESPROD211</t>
  </si>
  <si>
    <t>TMMR1GN</t>
  </si>
  <si>
    <t>TMMR1BK</t>
  </si>
  <si>
    <t>TMMK1TBR</t>
  </si>
  <si>
    <t>YAMAHAYRS23
VENTA MÍNIMA 50 UNIDADES</t>
  </si>
  <si>
    <t>PRODMUSICALESPROD172</t>
  </si>
  <si>
    <t>PRODMUSICALESPROD208</t>
  </si>
  <si>
    <t>PRODMUSICALESPROD25</t>
  </si>
  <si>
    <t>PRODMUSICALESPROD48</t>
  </si>
  <si>
    <t>Inicio</t>
  </si>
  <si>
    <t>TMPGA57-XLR</t>
  </si>
  <si>
    <t>TMPGA58-LC</t>
  </si>
  <si>
    <t>MJDP950</t>
  </si>
  <si>
    <t>TMSV200</t>
  </si>
  <si>
    <t>BREYERDX LOOP CORE</t>
  </si>
  <si>
    <t>IMPORT81313600000</t>
  </si>
  <si>
    <t>USUARIO:</t>
  </si>
  <si>
    <t>Usuario</t>
  </si>
  <si>
    <t>info@prodmusicales.com.ar</t>
  </si>
  <si>
    <t>MLA1374030255</t>
  </si>
  <si>
    <t>MLA1373879935</t>
  </si>
  <si>
    <t>MLA1438122318</t>
  </si>
  <si>
    <t>MLA1374631469</t>
  </si>
  <si>
    <t>MLA1374496493</t>
  </si>
  <si>
    <t>MLA1374496559</t>
  </si>
  <si>
    <t>MLA1375072123</t>
  </si>
  <si>
    <t>MLA1438122520</t>
  </si>
  <si>
    <t>MLA1439949006</t>
  </si>
  <si>
    <t>MLA1375749037</t>
  </si>
  <si>
    <t>MLA1375813145</t>
  </si>
  <si>
    <t>MLA1375749015</t>
  </si>
  <si>
    <t>MLA1375813169</t>
  </si>
  <si>
    <t>MLA1443425646</t>
  </si>
  <si>
    <t>$56.780,04</t>
  </si>
  <si>
    <t>$350.359,92</t>
  </si>
  <si>
    <t>$65.009,25</t>
  </si>
  <si>
    <t>$5.159,98</t>
  </si>
  <si>
    <t>$35.335,66</t>
  </si>
  <si>
    <t>$9.178,14</t>
  </si>
  <si>
    <t>$16.682,30</t>
  </si>
  <si>
    <t>$3.503,77</t>
  </si>
  <si>
    <t>$21.251,71</t>
  </si>
  <si>
    <t>$1.197,83</t>
  </si>
  <si>
    <t>$388,90</t>
  </si>
  <si>
    <t>$419,05</t>
  </si>
  <si>
    <t>$4.392,03</t>
  </si>
  <si>
    <t>$1.633,40</t>
  </si>
  <si>
    <t>$980,04</t>
  </si>
  <si>
    <t>$77,78</t>
  </si>
  <si>
    <t>$302,93</t>
  </si>
  <si>
    <t>$142,60</t>
  </si>
  <si>
    <t>$134,36</t>
  </si>
  <si>
    <t>$943,74</t>
  </si>
  <si>
    <t>$93,34</t>
  </si>
  <si>
    <t>$4.765,22</t>
  </si>
  <si>
    <t>$140,01</t>
  </si>
  <si>
    <t>$1.597,33</t>
  </si>
  <si>
    <t>$2.774,18</t>
  </si>
  <si>
    <t>$12.353,46</t>
  </si>
  <si>
    <t>$4.485,36</t>
  </si>
  <si>
    <t>$94.067,01</t>
  </si>
  <si>
    <t>$2.851,97</t>
  </si>
  <si>
    <t>$1.742,29</t>
  </si>
  <si>
    <t>$62,22</t>
  </si>
  <si>
    <t>$63,61</t>
  </si>
  <si>
    <t>$4.526,85</t>
  </si>
  <si>
    <t>$12.265,48</t>
  </si>
  <si>
    <t>$482,24</t>
  </si>
  <si>
    <t>$3.030,90</t>
  </si>
  <si>
    <t>$6.569,89</t>
  </si>
  <si>
    <t>$24.594,30</t>
  </si>
  <si>
    <t>MLA1376670813</t>
  </si>
  <si>
    <t>MLA1443590616</t>
  </si>
  <si>
    <t>MLA1375876031</t>
  </si>
  <si>
    <t>MLA1376838823</t>
  </si>
  <si>
    <t>MLA1447381108</t>
  </si>
  <si>
    <t>MLA1375850321</t>
  </si>
  <si>
    <t>MLA1447243064</t>
  </si>
  <si>
    <t>MLA1377624887</t>
  </si>
  <si>
    <t>MLA1377599039</t>
  </si>
  <si>
    <t>MLA1377599029</t>
  </si>
  <si>
    <t>MLA1451608452</t>
  </si>
  <si>
    <t>MLA1447242948</t>
  </si>
  <si>
    <t>MLA1447243148</t>
  </si>
  <si>
    <t>MLA1447406160</t>
  </si>
  <si>
    <t>IMPORT50408100000</t>
  </si>
  <si>
    <t>IMPORT47039310000</t>
  </si>
  <si>
    <t>MLA1456036742</t>
  </si>
  <si>
    <t>MLA1456036744</t>
  </si>
  <si>
    <t>IMPORT47007900000</t>
  </si>
  <si>
    <t>BREYER540R</t>
  </si>
  <si>
    <t>MLA1462100520</t>
  </si>
  <si>
    <t>MLA1380482313</t>
  </si>
  <si>
    <t>MLA1458153968</t>
  </si>
  <si>
    <t>MLA1379548021</t>
  </si>
  <si>
    <t>MLA1379637821</t>
  </si>
  <si>
    <t>MLA1379561433</t>
  </si>
  <si>
    <t>MLA1379561549</t>
  </si>
  <si>
    <t>MLA1379637979</t>
  </si>
  <si>
    <t>MLA1379536019</t>
  </si>
  <si>
    <t>MLA1379561567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</si>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</sst>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$&quot;;[Red]\-#,##0.00\ &quot;$&quot;"/>
    <numFmt numFmtId="44" formatCode="_-* #,##0.00\ &quot;$&quot;_-;\-* #,##0.00\ &quot;$&quot;_-;_-* &quot;-&quot;??\ &quot;$&quot;_-;_-@_-"/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u val="double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center" vertical="center"/>
      <protection hidden="1"/>
    </xf>
    <xf numFmtId="8" fontId="1" fillId="0" borderId="9" xfId="0" applyNumberFormat="1" applyFont="1" applyBorder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hidden="1"/>
    </xf>
    <xf numFmtId="8" fontId="1" fillId="0" borderId="12" xfId="0" applyNumberFormat="1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hidden="1"/>
    </xf>
    <xf numFmtId="8" fontId="1" fillId="0" borderId="15" xfId="0" applyNumberFormat="1" applyFont="1" applyBorder="1" applyAlignment="1" applyProtection="1">
      <alignment horizont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8" fontId="1" fillId="0" borderId="17" xfId="0" applyNumberFormat="1" applyFont="1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Protection="1">
      <protection hidden="1"/>
    </xf>
    <xf numFmtId="9" fontId="1" fillId="2" borderId="20" xfId="0" applyNumberFormat="1" applyFont="1" applyFill="1" applyBorder="1" applyAlignment="1" applyProtection="1">
      <alignment horizontal="center"/>
      <protection locked="0"/>
    </xf>
    <xf numFmtId="0" fontId="0" fillId="0" borderId="16" xfId="0" applyBorder="1" applyProtection="1">
      <protection hidden="1"/>
    </xf>
    <xf numFmtId="9" fontId="1" fillId="2" borderId="18" xfId="0" applyNumberFormat="1" applyFont="1" applyFill="1" applyBorder="1" applyAlignment="1" applyProtection="1">
      <alignment horizontal="center"/>
      <protection locked="0"/>
    </xf>
    <xf numFmtId="8" fontId="1" fillId="2" borderId="13" xfId="0" applyNumberFormat="1" applyFont="1" applyFill="1" applyBorder="1" applyAlignment="1" applyProtection="1">
      <alignment horizontal="center"/>
      <protection locked="0"/>
    </xf>
    <xf numFmtId="10" fontId="1" fillId="3" borderId="18" xfId="0" applyNumberFormat="1" applyFont="1" applyFill="1" applyBorder="1" applyAlignment="1" applyProtection="1">
      <alignment horizontal="center"/>
      <protection hidden="1"/>
    </xf>
    <xf numFmtId="8" fontId="1" fillId="3" borderId="13" xfId="0" applyNumberFormat="1" applyFont="1" applyFill="1" applyBorder="1" applyAlignment="1" applyProtection="1">
      <alignment horizontal="center"/>
      <protection hidden="1"/>
    </xf>
    <xf numFmtId="8" fontId="1" fillId="2" borderId="2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0" fontId="0" fillId="0" borderId="0" xfId="0" applyNumberFormat="1"/>
    <xf numFmtId="0" fontId="1" fillId="0" borderId="0" xfId="0" applyFont="1" applyAlignment="1">
      <alignment horizontal="center"/>
    </xf>
    <xf numFmtId="8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10" fontId="0" fillId="0" borderId="0" xfId="0" applyNumberFormat="1" applyProtection="1">
      <protection hidden="1"/>
    </xf>
    <xf numFmtId="8" fontId="0" fillId="0" borderId="0" xfId="0" applyNumberFormat="1" applyProtection="1">
      <protection hidden="1"/>
    </xf>
    <xf numFmtId="9" fontId="0" fillId="0" borderId="0" xfId="0" applyNumberFormat="1" applyProtection="1">
      <protection hidden="1"/>
    </xf>
    <xf numFmtId="0" fontId="1" fillId="0" borderId="0" xfId="0" applyFont="1" applyAlignment="1">
      <alignment horizontal="center" vertical="center" wrapText="1"/>
    </xf>
    <xf numFmtId="8" fontId="1" fillId="0" borderId="0" xfId="0" applyNumberFormat="1" applyFont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44" fontId="1" fillId="0" borderId="0" xfId="1" applyFont="1" applyAlignment="1" applyProtection="1">
      <alignment horizontal="center"/>
    </xf>
    <xf numFmtId="44" fontId="1" fillId="0" borderId="0" xfId="1" applyFont="1" applyAlignment="1" applyProtection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0" fillId="2" borderId="1" xfId="0" applyFill="1" applyBorder="1" applyAlignment="1" applyProtection="1">
      <alignment shrinkToFit="1"/>
      <protection locked="0"/>
    </xf>
    <xf numFmtId="44" fontId="0" fillId="2" borderId="1" xfId="1" applyFont="1" applyFill="1" applyBorder="1" applyAlignment="1" applyProtection="1">
      <alignment shrinkToFit="1"/>
      <protection locked="0"/>
    </xf>
    <xf numFmtId="44" fontId="0" fillId="5" borderId="1" xfId="1" applyFont="1" applyFill="1" applyBorder="1" applyAlignment="1" applyProtection="1">
      <alignment horizontal="center" vertical="center" shrinkToFit="1"/>
      <protection locked="0"/>
    </xf>
    <xf numFmtId="10" fontId="0" fillId="5" borderId="1" xfId="0" applyNumberForma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/>
      <protection locked="0"/>
    </xf>
    <xf numFmtId="8" fontId="0" fillId="2" borderId="1" xfId="0" applyNumberFormat="1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8" fontId="0" fillId="3" borderId="1" xfId="0" applyNumberFormat="1" applyFill="1" applyBorder="1" applyAlignment="1" applyProtection="1">
      <alignment horizontal="center"/>
      <protection hidden="1"/>
    </xf>
    <xf numFmtId="164" fontId="0" fillId="3" borderId="1" xfId="0" applyNumberFormat="1" applyFill="1" applyBorder="1" applyAlignment="1" applyProtection="1">
      <alignment horizontal="center"/>
      <protection hidden="1"/>
    </xf>
    <xf numFmtId="10" fontId="0" fillId="3" borderId="1" xfId="0" applyNumberFormat="1" applyFill="1" applyBorder="1" applyAlignment="1" applyProtection="1">
      <alignment horizontal="center"/>
      <protection hidden="1"/>
    </xf>
    <xf numFmtId="0" fontId="0" fillId="4" borderId="1" xfId="0" applyFill="1" applyBorder="1" applyAlignment="1" applyProtection="1">
      <alignment horizontal="center"/>
      <protection locked="0" hidden="1"/>
    </xf>
    <xf numFmtId="164" fontId="1" fillId="0" borderId="0" xfId="2" applyNumberFormat="1" applyFont="1" applyAlignment="1" applyProtection="1">
      <alignment horizontal="center" vertical="center"/>
    </xf>
    <xf numFmtId="164" fontId="0" fillId="2" borderId="1" xfId="2" applyNumberFormat="1" applyFont="1" applyFill="1" applyBorder="1" applyAlignment="1" applyProtection="1">
      <alignment horizontal="center" vertical="center" shrinkToFit="1"/>
      <protection locked="0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horizontal="center" wrapText="1"/>
      <protection locked="0"/>
    </xf>
    <xf numFmtId="10" fontId="0" fillId="0" borderId="0" xfId="0" applyNumberFormat="1" applyProtection="1">
      <protection locked="0"/>
    </xf>
    <xf numFmtId="0" fontId="1" fillId="0" borderId="2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1" fillId="0" borderId="21" xfId="0" applyFont="1" applyBorder="1" applyAlignment="1" applyProtection="1">
      <alignment horizontal="center"/>
      <protection hidden="1"/>
    </xf>
    <xf numFmtId="0" fontId="1" fillId="0" borderId="24" xfId="0" applyFont="1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locked="0"/>
    </xf>
  </cellXfs>
  <cellStyles count="3">
    <cellStyle name="Currency" xfId="1" builtinId="4"/>
    <cellStyle name="Normal" xfId="0" builtinId="0"/>
    <cellStyle name="Percent" xfId="2" builtinId="5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0</xdr:row>
      <xdr:rowOff>152400</xdr:rowOff>
    </xdr:from>
    <xdr:to>
      <xdr:col>18</xdr:col>
      <xdr:colOff>38100</xdr:colOff>
      <xdr:row>3</xdr:row>
      <xdr:rowOff>85725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98F60AF-3673-4DEC-F0AB-8EE734A19E4E}"/>
            </a:ext>
          </a:extLst>
        </xdr:cNvPr>
        <xdr:cNvSpPr/>
      </xdr:nvSpPr>
      <xdr:spPr>
        <a:xfrm>
          <a:off x="12011025" y="152400"/>
          <a:ext cx="1181100" cy="695325"/>
        </a:xfrm>
        <a:prstGeom prst="roundRect">
          <a:avLst/>
        </a:prstGeom>
        <a:solidFill>
          <a:srgbClr val="00B0F0"/>
        </a:solidFill>
        <a:ln w="31750">
          <a:solidFill>
            <a:schemeClr val="accent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AGREGAR MAS FILAS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DD66-FB11-4B79-8D18-5A6081E57713}">
  <sheetPr codeName="Sheet1"/>
  <dimension ref="A1:N1801"/>
  <sheetViews>
    <sheetView showGridLines="0" topLeftCell="A1777" zoomScale="85" zoomScaleNormal="85" workbookViewId="0">
      <selection activeCell="A1801" sqref="A1801"/>
    </sheetView>
  </sheetViews>
  <sheetFormatPr defaultColWidth="9.140625" defaultRowHeight="15" x14ac:dyDescent="0.25"/>
  <cols>
    <col min="1" max="1" width="39.140625" style="45" bestFit="1" customWidth="1"/>
    <col min="2" max="2" width="14.7109375" style="46" bestFit="1" customWidth="1"/>
    <col min="3" max="3" width="9.5703125" style="60" bestFit="1" customWidth="1"/>
    <col min="4" max="4" width="16.5703125" style="47" bestFit="1" customWidth="1"/>
    <col min="5" max="5" width="22.28515625" style="47" bestFit="1" customWidth="1"/>
    <col min="6" max="6" width="18.140625" style="47" bestFit="1" customWidth="1"/>
    <col min="7" max="7" width="15.5703125" style="48" bestFit="1" customWidth="1"/>
    <col min="8" max="8" width="24.7109375" style="48" bestFit="1" customWidth="1"/>
    <col min="9" max="9" width="17.28515625" style="48" bestFit="1" customWidth="1"/>
    <col min="11" max="11" width="16.5703125" style="62" bestFit="1" customWidth="1"/>
    <col min="12" max="16384" width="9.140625" style="62"/>
  </cols>
  <sheetData>
    <row r="1" spans="1:14" x14ac:dyDescent="0.25">
      <c r="A1" s="32" t="s">
        <v>49</v>
      </c>
      <c r="B1" s="42" t="s">
        <v>1</v>
      </c>
      <c r="C1" s="59" t="s">
        <v>2</v>
      </c>
      <c r="D1" s="43" t="s">
        <v>51</v>
      </c>
      <c r="E1" s="43" t="s">
        <v>43</v>
      </c>
      <c r="F1" s="43" t="s">
        <v>52</v>
      </c>
      <c r="G1" s="44" t="s">
        <v>53</v>
      </c>
      <c r="H1" s="44" t="s">
        <v>69</v>
      </c>
      <c r="I1" s="44" t="s">
        <v>54</v>
      </c>
      <c r="K1" s="62" t="s">
        <v>3761</v>
      </c>
    </row>
    <row r="2" spans="1:14" x14ac:dyDescent="0.25">
      <c r="A2" s="45" t="s">
        <v>70</v>
      </c>
      <c r="B2" s="46">
        <v>2799.6750000000002</v>
      </c>
      <c r="C2" s="60">
        <v>0.21</v>
      </c>
      <c r="D2" s="47">
        <v>5645.86</v>
      </c>
      <c r="E2" s="47" t="s">
        <v>1839</v>
      </c>
      <c r="F2" s="47" t="s">
        <v>1839</v>
      </c>
      <c r="G2" s="48">
        <v>0.13059999999999999</v>
      </c>
      <c r="H2" s="48">
        <v>0.13059999999999999</v>
      </c>
      <c r="I2" s="48">
        <v>0.18161564981747241</v>
      </c>
      <c r="K2" s="62">
        <v>0</v>
      </c>
      <c r="M2" s="64"/>
      <c r="N2" s="64"/>
    </row>
    <row r="3" spans="1:14" x14ac:dyDescent="0.25">
      <c r="A3" s="45" t="s">
        <v>71</v>
      </c>
      <c r="B3" s="46">
        <v>11262.744000000001</v>
      </c>
      <c r="C3" s="60">
        <v>0.21</v>
      </c>
      <c r="D3" s="47">
        <v>22712.6</v>
      </c>
      <c r="E3" s="47" t="s">
        <v>1839</v>
      </c>
      <c r="F3" s="47" t="s">
        <v>1839</v>
      </c>
      <c r="G3" s="48">
        <v>0.1037</v>
      </c>
      <c r="H3" s="48">
        <v>0.1037</v>
      </c>
      <c r="I3" s="48">
        <v>0.15167245880316199</v>
      </c>
      <c r="K3" s="62">
        <v>0</v>
      </c>
      <c r="M3" s="64"/>
      <c r="N3" s="64"/>
    </row>
    <row r="4" spans="1:14" x14ac:dyDescent="0.25">
      <c r="A4" s="45" t="s">
        <v>72</v>
      </c>
      <c r="B4" s="46">
        <v>20065.113000000001</v>
      </c>
      <c r="C4" s="60">
        <v>0.21</v>
      </c>
      <c r="D4" s="47">
        <v>40463.57</v>
      </c>
      <c r="E4" s="47" t="s">
        <v>1839</v>
      </c>
      <c r="F4" s="47" t="s">
        <v>1839</v>
      </c>
      <c r="G4" s="48">
        <v>0.13300000000000001</v>
      </c>
      <c r="H4" s="48">
        <v>0.13300000000000001</v>
      </c>
      <c r="I4" s="48">
        <v>0.18396569660457221</v>
      </c>
      <c r="K4" s="62">
        <v>0</v>
      </c>
      <c r="M4" s="64"/>
      <c r="N4" s="64"/>
    </row>
    <row r="5" spans="1:14" x14ac:dyDescent="0.25">
      <c r="A5" s="45" t="s">
        <v>73</v>
      </c>
      <c r="B5" s="46">
        <v>5948.7209999999995</v>
      </c>
      <c r="C5" s="60">
        <v>0.21</v>
      </c>
      <c r="D5" s="47">
        <v>11996.26</v>
      </c>
      <c r="E5" s="47" t="s">
        <v>1839</v>
      </c>
      <c r="F5" s="47" t="s">
        <v>1839</v>
      </c>
      <c r="G5" s="48">
        <v>6.0499999999999998E-2</v>
      </c>
      <c r="H5" s="48">
        <v>6.0499999999999998E-2</v>
      </c>
      <c r="I5" s="48">
        <v>0.12548836523197979</v>
      </c>
      <c r="K5" s="62">
        <v>0</v>
      </c>
      <c r="M5" s="64"/>
      <c r="N5" s="64"/>
    </row>
    <row r="6" spans="1:14" x14ac:dyDescent="0.25">
      <c r="A6" s="45" t="s">
        <v>74</v>
      </c>
      <c r="B6" s="46">
        <v>4055.5170000000003</v>
      </c>
      <c r="C6" s="60">
        <v>0.21</v>
      </c>
      <c r="D6" s="47">
        <v>8178.4</v>
      </c>
      <c r="E6" s="47" t="s">
        <v>1839</v>
      </c>
      <c r="F6" s="47" t="s">
        <v>1839</v>
      </c>
      <c r="G6" s="48">
        <v>0.13650000000000001</v>
      </c>
      <c r="H6" s="48">
        <v>0.13650000000000001</v>
      </c>
      <c r="I6" s="48">
        <v>0.19180114739717721</v>
      </c>
      <c r="K6" s="62">
        <v>0</v>
      </c>
      <c r="M6" s="64"/>
      <c r="N6" s="64"/>
    </row>
    <row r="7" spans="1:14" x14ac:dyDescent="0.25">
      <c r="A7" s="45" t="s">
        <v>75</v>
      </c>
      <c r="B7" s="46">
        <v>5948.7209999999995</v>
      </c>
      <c r="C7" s="60">
        <v>0.21</v>
      </c>
      <c r="D7" s="47">
        <v>11996.26</v>
      </c>
      <c r="E7" s="47" t="s">
        <v>1839</v>
      </c>
      <c r="F7" s="47" t="s">
        <v>1839</v>
      </c>
      <c r="G7" s="48">
        <v>6.0499999999999998E-2</v>
      </c>
      <c r="H7" s="48">
        <v>6.0499999999999998E-2</v>
      </c>
      <c r="I7" s="48">
        <v>0.12548836523197979</v>
      </c>
      <c r="K7" s="62">
        <v>0</v>
      </c>
      <c r="M7" s="64"/>
      <c r="N7" s="64"/>
    </row>
    <row r="8" spans="1:14" x14ac:dyDescent="0.25">
      <c r="A8" s="45" t="s">
        <v>76</v>
      </c>
      <c r="B8" s="46">
        <v>4055.5170000000003</v>
      </c>
      <c r="C8" s="60">
        <v>0.21</v>
      </c>
      <c r="D8" s="47">
        <v>8178.4</v>
      </c>
      <c r="E8" s="47" t="s">
        <v>1839</v>
      </c>
      <c r="F8" s="47" t="s">
        <v>1839</v>
      </c>
      <c r="G8" s="48">
        <v>0.13650000000000001</v>
      </c>
      <c r="H8" s="48">
        <v>0.13650000000000001</v>
      </c>
      <c r="I8" s="48">
        <v>0.19180114739717721</v>
      </c>
      <c r="K8" s="62">
        <v>0</v>
      </c>
      <c r="M8" s="64"/>
      <c r="N8" s="64"/>
    </row>
    <row r="9" spans="1:14" x14ac:dyDescent="0.25">
      <c r="A9" s="45" t="s">
        <v>77</v>
      </c>
      <c r="B9" s="46">
        <v>5651.28</v>
      </c>
      <c r="C9" s="60">
        <v>0.21</v>
      </c>
      <c r="D9" s="47">
        <v>11396.45</v>
      </c>
      <c r="E9" s="47" t="s">
        <v>1839</v>
      </c>
      <c r="F9" s="47" t="s">
        <v>1839</v>
      </c>
      <c r="G9" s="48">
        <v>5.5100000000000003E-2</v>
      </c>
      <c r="H9" s="48">
        <v>5.5100000000000003E-2</v>
      </c>
      <c r="I9" s="48">
        <v>0.12506652720344541</v>
      </c>
      <c r="K9" s="62">
        <v>0</v>
      </c>
      <c r="M9" s="64"/>
      <c r="N9" s="64"/>
    </row>
    <row r="10" spans="1:14" x14ac:dyDescent="0.25">
      <c r="A10" s="45" t="s">
        <v>78</v>
      </c>
      <c r="B10" s="46">
        <v>2912.9850000000001</v>
      </c>
      <c r="C10" s="60">
        <v>0.21</v>
      </c>
      <c r="D10" s="47">
        <v>5874.36</v>
      </c>
      <c r="E10" s="47" t="s">
        <v>1839</v>
      </c>
      <c r="F10" s="47" t="s">
        <v>1839</v>
      </c>
      <c r="G10" s="48">
        <v>0.13189999999999999</v>
      </c>
      <c r="H10" s="48">
        <v>0.13189999999999999</v>
      </c>
      <c r="I10" s="48">
        <v>0.18289610376450319</v>
      </c>
      <c r="K10" s="62">
        <v>0</v>
      </c>
      <c r="M10" s="64"/>
      <c r="N10" s="64"/>
    </row>
    <row r="11" spans="1:14" x14ac:dyDescent="0.25">
      <c r="A11" s="45" t="s">
        <v>79</v>
      </c>
      <c r="B11" s="46">
        <v>2912.9850000000001</v>
      </c>
      <c r="C11" s="60">
        <v>0.21</v>
      </c>
      <c r="D11" s="47">
        <v>5874.36</v>
      </c>
      <c r="E11" s="47" t="s">
        <v>1839</v>
      </c>
      <c r="F11" s="47" t="s">
        <v>1839</v>
      </c>
      <c r="G11" s="48">
        <v>0.13189999999999999</v>
      </c>
      <c r="H11" s="48">
        <v>0.13189999999999999</v>
      </c>
      <c r="I11" s="48">
        <v>0.18289610376450319</v>
      </c>
      <c r="K11" s="62">
        <v>0</v>
      </c>
      <c r="M11" s="64"/>
      <c r="N11" s="64"/>
    </row>
    <row r="12" spans="1:14" x14ac:dyDescent="0.25">
      <c r="A12" s="45" t="s">
        <v>80</v>
      </c>
      <c r="B12" s="46">
        <v>4513.473</v>
      </c>
      <c r="C12" s="60">
        <v>0.21</v>
      </c>
      <c r="D12" s="47">
        <v>9101.92</v>
      </c>
      <c r="E12" s="47" t="s">
        <v>1839</v>
      </c>
      <c r="F12" s="47" t="s">
        <v>1839</v>
      </c>
      <c r="G12" s="48">
        <v>0.13919999999999999</v>
      </c>
      <c r="H12" s="48">
        <v>0.13919999999999999</v>
      </c>
      <c r="I12" s="48">
        <v>0.1459998348190289</v>
      </c>
      <c r="K12" s="62">
        <v>0</v>
      </c>
      <c r="M12" s="64"/>
      <c r="N12" s="64"/>
    </row>
    <row r="13" spans="1:14" x14ac:dyDescent="0.25">
      <c r="A13" s="45" t="s">
        <v>81</v>
      </c>
      <c r="B13" s="46">
        <v>4513.473</v>
      </c>
      <c r="C13" s="60">
        <v>0.21</v>
      </c>
      <c r="D13" s="47">
        <v>9101.92</v>
      </c>
      <c r="E13" s="47" t="s">
        <v>1839</v>
      </c>
      <c r="F13" s="47" t="s">
        <v>1839</v>
      </c>
      <c r="G13" s="48">
        <v>0.13919999999999999</v>
      </c>
      <c r="H13" s="48">
        <v>0.13919999999999999</v>
      </c>
      <c r="I13" s="48">
        <v>0.1459998348190289</v>
      </c>
      <c r="K13" s="62">
        <v>0</v>
      </c>
      <c r="M13" s="64"/>
      <c r="N13" s="64"/>
    </row>
    <row r="14" spans="1:14" x14ac:dyDescent="0.25">
      <c r="A14" s="45" t="s">
        <v>82</v>
      </c>
      <c r="B14" s="46">
        <v>2799.6750000000002</v>
      </c>
      <c r="C14" s="60">
        <v>0.21</v>
      </c>
      <c r="D14" s="47">
        <v>5645.86</v>
      </c>
      <c r="E14" s="47" t="s">
        <v>1839</v>
      </c>
      <c r="F14" s="47" t="s">
        <v>1839</v>
      </c>
      <c r="G14" s="48">
        <v>0.13059999999999999</v>
      </c>
      <c r="H14" s="48">
        <v>0.13059999999999999</v>
      </c>
      <c r="I14" s="48">
        <v>0.18161564981747241</v>
      </c>
      <c r="K14" s="62">
        <v>0</v>
      </c>
      <c r="M14" s="64"/>
      <c r="N14" s="64"/>
    </row>
    <row r="15" spans="1:14" x14ac:dyDescent="0.25">
      <c r="A15" s="45" t="s">
        <v>83</v>
      </c>
      <c r="B15" s="46">
        <v>2799.6750000000002</v>
      </c>
      <c r="C15" s="60">
        <v>0.21</v>
      </c>
      <c r="D15" s="47">
        <v>5645.86</v>
      </c>
      <c r="E15" s="47" t="s">
        <v>1839</v>
      </c>
      <c r="F15" s="47" t="s">
        <v>1839</v>
      </c>
      <c r="G15" s="48">
        <v>0.13059999999999999</v>
      </c>
      <c r="H15" s="48">
        <v>0.13059999999999999</v>
      </c>
      <c r="I15" s="48">
        <v>0.18161564981747241</v>
      </c>
      <c r="K15" s="62">
        <v>0</v>
      </c>
      <c r="M15" s="64"/>
      <c r="N15" s="64"/>
    </row>
    <row r="16" spans="1:14" x14ac:dyDescent="0.25">
      <c r="A16" s="45" t="s">
        <v>84</v>
      </c>
      <c r="B16" s="46">
        <v>10221.408000000001</v>
      </c>
      <c r="C16" s="60">
        <v>0.21</v>
      </c>
      <c r="D16" s="47">
        <v>20612.62</v>
      </c>
      <c r="E16" s="47" t="s">
        <v>1839</v>
      </c>
      <c r="F16" s="47" t="s">
        <v>1839</v>
      </c>
      <c r="G16" s="48">
        <v>8.3000000000000004E-2</v>
      </c>
      <c r="H16" s="48">
        <v>8.3000000000000004E-2</v>
      </c>
      <c r="I16" s="48">
        <v>0.1269884835061468</v>
      </c>
      <c r="K16" s="62">
        <v>0</v>
      </c>
      <c r="M16" s="64"/>
      <c r="N16" s="64"/>
    </row>
    <row r="17" spans="1:14" x14ac:dyDescent="0.25">
      <c r="A17" s="45" t="s">
        <v>85</v>
      </c>
      <c r="B17" s="46">
        <v>10221.408000000001</v>
      </c>
      <c r="C17" s="60">
        <v>0.21</v>
      </c>
      <c r="D17" s="47">
        <v>20612.62</v>
      </c>
      <c r="E17" s="47" t="s">
        <v>1839</v>
      </c>
      <c r="F17" s="47" t="s">
        <v>1839</v>
      </c>
      <c r="G17" s="48">
        <v>0.1036</v>
      </c>
      <c r="H17" s="48">
        <v>0.1036</v>
      </c>
      <c r="I17" s="48">
        <v>0.15155158147277711</v>
      </c>
      <c r="K17" s="62">
        <v>0</v>
      </c>
      <c r="M17" s="64"/>
      <c r="N17" s="64"/>
    </row>
    <row r="18" spans="1:14" x14ac:dyDescent="0.25">
      <c r="A18" s="45" t="s">
        <v>86</v>
      </c>
      <c r="B18" s="46">
        <v>13502.646000000001</v>
      </c>
      <c r="C18" s="60">
        <v>0.21</v>
      </c>
      <c r="D18" s="47">
        <v>27229.599999999999</v>
      </c>
      <c r="E18" s="47" t="s">
        <v>1839</v>
      </c>
      <c r="F18" s="47" t="s">
        <v>1839</v>
      </c>
      <c r="G18" s="48">
        <v>0.1181</v>
      </c>
      <c r="H18" s="48">
        <v>0.1181</v>
      </c>
      <c r="I18" s="48">
        <v>0.16812134743780671</v>
      </c>
      <c r="K18" s="62">
        <v>0</v>
      </c>
      <c r="M18" s="64"/>
      <c r="N18" s="64"/>
    </row>
    <row r="19" spans="1:14" x14ac:dyDescent="0.25">
      <c r="A19" s="45" t="s">
        <v>87</v>
      </c>
      <c r="B19" s="46">
        <v>7733.3310000000001</v>
      </c>
      <c r="C19" s="60">
        <v>0.21</v>
      </c>
      <c r="D19" s="47">
        <v>15595.14</v>
      </c>
      <c r="E19" s="47" t="s">
        <v>1839</v>
      </c>
      <c r="F19" s="47" t="s">
        <v>1839</v>
      </c>
      <c r="G19" s="48">
        <v>8.43E-2</v>
      </c>
      <c r="H19" s="48">
        <v>8.43E-2</v>
      </c>
      <c r="I19" s="48">
        <v>0.12826160937093101</v>
      </c>
      <c r="K19" s="62">
        <v>0</v>
      </c>
      <c r="M19" s="64"/>
      <c r="N19" s="64"/>
    </row>
    <row r="20" spans="1:14" x14ac:dyDescent="0.25">
      <c r="A20" s="45" t="s">
        <v>88</v>
      </c>
      <c r="B20" s="46">
        <v>7483.1039999999994</v>
      </c>
      <c r="C20" s="60">
        <v>0.21</v>
      </c>
      <c r="D20" s="47">
        <v>15090.53</v>
      </c>
      <c r="E20" s="47" t="s">
        <v>1839</v>
      </c>
      <c r="F20" s="47" t="s">
        <v>1839</v>
      </c>
      <c r="G20" s="48">
        <v>8.1600000000000006E-2</v>
      </c>
      <c r="H20" s="48">
        <v>8.1600000000000006E-2</v>
      </c>
      <c r="I20" s="48">
        <v>0.12561126140471829</v>
      </c>
      <c r="K20" s="62">
        <v>0</v>
      </c>
      <c r="M20" s="64"/>
      <c r="N20" s="64"/>
    </row>
    <row r="21" spans="1:14" x14ac:dyDescent="0.25">
      <c r="A21" s="45" t="s">
        <v>89</v>
      </c>
      <c r="B21" s="46">
        <v>7483.1039999999994</v>
      </c>
      <c r="C21" s="60">
        <v>0.21</v>
      </c>
      <c r="D21" s="47">
        <v>15090.53</v>
      </c>
      <c r="E21" s="47" t="s">
        <v>1839</v>
      </c>
      <c r="F21" s="47" t="s">
        <v>1839</v>
      </c>
      <c r="G21" s="48">
        <v>8.1600000000000006E-2</v>
      </c>
      <c r="H21" s="48">
        <v>8.1600000000000006E-2</v>
      </c>
      <c r="I21" s="48">
        <v>0.12561126140471829</v>
      </c>
      <c r="K21" s="62">
        <v>0</v>
      </c>
      <c r="M21" s="64"/>
      <c r="N21" s="64"/>
    </row>
    <row r="22" spans="1:14" x14ac:dyDescent="0.25">
      <c r="A22" s="45" t="s">
        <v>90</v>
      </c>
      <c r="B22" s="46">
        <v>5198.049</v>
      </c>
      <c r="C22" s="60">
        <v>0.21</v>
      </c>
      <c r="D22" s="47">
        <v>10482.450000000001</v>
      </c>
      <c r="E22" s="47" t="s">
        <v>1839</v>
      </c>
      <c r="F22" s="47" t="s">
        <v>1839</v>
      </c>
      <c r="G22" s="48">
        <v>0.1424</v>
      </c>
      <c r="H22" s="48">
        <v>0.1424</v>
      </c>
      <c r="I22" s="48">
        <v>0.125609623998025</v>
      </c>
      <c r="K22" s="62">
        <v>0</v>
      </c>
      <c r="M22" s="64"/>
      <c r="N22" s="64"/>
    </row>
    <row r="23" spans="1:14" x14ac:dyDescent="0.25">
      <c r="A23" s="45" t="s">
        <v>91</v>
      </c>
      <c r="B23" s="46">
        <v>5198.049</v>
      </c>
      <c r="C23" s="60">
        <v>0.21</v>
      </c>
      <c r="D23" s="47">
        <v>10482.450000000001</v>
      </c>
      <c r="E23" s="47" t="s">
        <v>1839</v>
      </c>
      <c r="F23" s="47" t="s">
        <v>1839</v>
      </c>
      <c r="G23" s="48">
        <v>0.1424</v>
      </c>
      <c r="H23" s="48">
        <v>0.1424</v>
      </c>
      <c r="I23" s="48">
        <v>0.125609623998025</v>
      </c>
      <c r="K23" s="62">
        <v>0</v>
      </c>
      <c r="M23" s="64"/>
      <c r="N23" s="64"/>
    </row>
    <row r="24" spans="1:14" x14ac:dyDescent="0.25">
      <c r="A24" s="45" t="s">
        <v>92</v>
      </c>
      <c r="B24" s="46">
        <v>5995.9260000000004</v>
      </c>
      <c r="C24" s="60">
        <v>0.21</v>
      </c>
      <c r="D24" s="47">
        <v>12091.47</v>
      </c>
      <c r="E24" s="47" t="s">
        <v>1839</v>
      </c>
      <c r="F24" s="47" t="s">
        <v>1839</v>
      </c>
      <c r="G24" s="48">
        <v>6.13E-2</v>
      </c>
      <c r="H24" s="48">
        <v>6.13E-2</v>
      </c>
      <c r="I24" s="48">
        <v>0.1252989041963925</v>
      </c>
      <c r="K24" s="62">
        <v>0</v>
      </c>
      <c r="M24" s="64"/>
      <c r="N24" s="64"/>
    </row>
    <row r="25" spans="1:14" x14ac:dyDescent="0.25">
      <c r="A25" s="45" t="s">
        <v>93</v>
      </c>
      <c r="B25" s="46">
        <v>9078.8760000000002</v>
      </c>
      <c r="C25" s="60">
        <v>0.21</v>
      </c>
      <c r="D25" s="47">
        <v>18308.580000000002</v>
      </c>
      <c r="E25" s="47" t="s">
        <v>1839</v>
      </c>
      <c r="F25" s="47" t="s">
        <v>1839</v>
      </c>
      <c r="G25" s="48">
        <v>9.6000000000000002E-2</v>
      </c>
      <c r="H25" s="48">
        <v>9.6000000000000002E-2</v>
      </c>
      <c r="I25" s="48">
        <v>0.14300668556572649</v>
      </c>
      <c r="K25" s="62">
        <v>0</v>
      </c>
      <c r="M25" s="64"/>
      <c r="N25" s="64"/>
    </row>
    <row r="26" spans="1:14" x14ac:dyDescent="0.25">
      <c r="A26" s="45" t="s">
        <v>94</v>
      </c>
      <c r="B26" s="46">
        <v>8507.61</v>
      </c>
      <c r="C26" s="60">
        <v>0.21</v>
      </c>
      <c r="D26" s="47">
        <v>17156.55</v>
      </c>
      <c r="E26" s="47" t="s">
        <v>1839</v>
      </c>
      <c r="F26" s="47" t="s">
        <v>1839</v>
      </c>
      <c r="G26" s="48">
        <v>9.1499999999999998E-2</v>
      </c>
      <c r="H26" s="48">
        <v>9.1499999999999998E-2</v>
      </c>
      <c r="I26" s="48">
        <v>0.13747400727818829</v>
      </c>
      <c r="K26" s="62">
        <v>0</v>
      </c>
      <c r="M26" s="64"/>
      <c r="N26" s="64"/>
    </row>
    <row r="27" spans="1:14" x14ac:dyDescent="0.25">
      <c r="A27" s="45" t="s">
        <v>95</v>
      </c>
      <c r="B27" s="46">
        <v>8507.61</v>
      </c>
      <c r="C27" s="60">
        <v>0.21</v>
      </c>
      <c r="D27" s="47">
        <v>17156.55</v>
      </c>
      <c r="E27" s="47" t="s">
        <v>1839</v>
      </c>
      <c r="F27" s="47" t="s">
        <v>1839</v>
      </c>
      <c r="G27" s="48">
        <v>9.1499999999999998E-2</v>
      </c>
      <c r="H27" s="48">
        <v>9.1499999999999998E-2</v>
      </c>
      <c r="I27" s="48">
        <v>0.13747400727818829</v>
      </c>
      <c r="K27" s="62">
        <v>0</v>
      </c>
      <c r="M27" s="64"/>
      <c r="N27" s="64"/>
    </row>
    <row r="28" spans="1:14" x14ac:dyDescent="0.25">
      <c r="A28" s="45" t="s">
        <v>96</v>
      </c>
      <c r="B28" s="46">
        <v>8507.61</v>
      </c>
      <c r="C28" s="60">
        <v>0.21</v>
      </c>
      <c r="D28" s="47">
        <v>17156.55</v>
      </c>
      <c r="E28" s="47" t="s">
        <v>1839</v>
      </c>
      <c r="F28" s="47" t="s">
        <v>1839</v>
      </c>
      <c r="G28" s="48">
        <v>9.1499999999999998E-2</v>
      </c>
      <c r="H28" s="48">
        <v>9.1499999999999998E-2</v>
      </c>
      <c r="I28" s="48">
        <v>0.13747400727818829</v>
      </c>
      <c r="K28" s="62">
        <v>0</v>
      </c>
      <c r="M28" s="64"/>
      <c r="N28" s="64"/>
    </row>
    <row r="29" spans="1:14" x14ac:dyDescent="0.25">
      <c r="A29" s="45" t="s">
        <v>97</v>
      </c>
      <c r="B29" s="46">
        <v>8507.61</v>
      </c>
      <c r="C29" s="60">
        <v>0.21</v>
      </c>
      <c r="D29" s="47">
        <v>17156.55</v>
      </c>
      <c r="E29" s="47" t="s">
        <v>1839</v>
      </c>
      <c r="F29" s="47" t="s">
        <v>1839</v>
      </c>
      <c r="G29" s="48">
        <v>9.1499999999999998E-2</v>
      </c>
      <c r="H29" s="48">
        <v>9.1499999999999998E-2</v>
      </c>
      <c r="I29" s="48">
        <v>0.13747400727818829</v>
      </c>
      <c r="K29" s="62">
        <v>0</v>
      </c>
      <c r="M29" s="64"/>
      <c r="N29" s="64"/>
    </row>
    <row r="30" spans="1:14" x14ac:dyDescent="0.25">
      <c r="A30" s="45" t="s">
        <v>98</v>
      </c>
      <c r="B30" s="46">
        <v>8746.6050000000014</v>
      </c>
      <c r="C30" s="60">
        <v>0.21</v>
      </c>
      <c r="D30" s="47">
        <v>17638.509999999998</v>
      </c>
      <c r="E30" s="47" t="s">
        <v>1839</v>
      </c>
      <c r="F30" s="47" t="s">
        <v>1839</v>
      </c>
      <c r="G30" s="48">
        <v>8.7099999999999997E-2</v>
      </c>
      <c r="H30" s="48">
        <v>8.7099999999999997E-2</v>
      </c>
      <c r="I30" s="48">
        <v>0.13212286120982661</v>
      </c>
      <c r="K30" s="62">
        <v>0</v>
      </c>
      <c r="M30" s="64"/>
      <c r="N30" s="64"/>
    </row>
    <row r="31" spans="1:14" x14ac:dyDescent="0.25">
      <c r="A31" s="45" t="s">
        <v>99</v>
      </c>
      <c r="B31" s="46">
        <v>8746.6050000000014</v>
      </c>
      <c r="C31" s="60">
        <v>0.21</v>
      </c>
      <c r="D31" s="47">
        <v>17638.509999999998</v>
      </c>
      <c r="E31" s="47" t="s">
        <v>1839</v>
      </c>
      <c r="F31" s="47" t="s">
        <v>1839</v>
      </c>
      <c r="G31" s="48">
        <v>8.7099999999999997E-2</v>
      </c>
      <c r="H31" s="48">
        <v>8.7099999999999997E-2</v>
      </c>
      <c r="I31" s="48">
        <v>0.13212286120982661</v>
      </c>
      <c r="K31" s="62">
        <v>0</v>
      </c>
      <c r="M31" s="64"/>
      <c r="N31" s="64"/>
    </row>
    <row r="32" spans="1:14" x14ac:dyDescent="0.25">
      <c r="A32" s="45" t="s">
        <v>100</v>
      </c>
      <c r="B32" s="46">
        <v>6661.7910000000002</v>
      </c>
      <c r="C32" s="60">
        <v>0.21</v>
      </c>
      <c r="D32" s="47">
        <v>13434.26</v>
      </c>
      <c r="E32" s="47" t="s">
        <v>1839</v>
      </c>
      <c r="F32" s="47" t="s">
        <v>1839</v>
      </c>
      <c r="G32" s="48">
        <v>6.1800000000000001E-2</v>
      </c>
      <c r="H32" s="48">
        <v>6.1800000000000001E-2</v>
      </c>
      <c r="I32" s="48">
        <v>0.12578190849622081</v>
      </c>
      <c r="K32" s="62">
        <v>0</v>
      </c>
      <c r="M32" s="64"/>
      <c r="N32" s="64"/>
    </row>
    <row r="33" spans="1:14" x14ac:dyDescent="0.25">
      <c r="A33" s="45" t="s">
        <v>101</v>
      </c>
      <c r="B33" s="46">
        <v>6661.7910000000002</v>
      </c>
      <c r="C33" s="60">
        <v>0.21</v>
      </c>
      <c r="D33" s="47">
        <v>13434.26</v>
      </c>
      <c r="E33" s="47" t="s">
        <v>1839</v>
      </c>
      <c r="F33" s="47" t="s">
        <v>1839</v>
      </c>
      <c r="G33" s="48">
        <v>6.1800000000000001E-2</v>
      </c>
      <c r="H33" s="48">
        <v>6.1800000000000001E-2</v>
      </c>
      <c r="I33" s="48">
        <v>0.12578190849622081</v>
      </c>
      <c r="K33" s="62">
        <v>0</v>
      </c>
      <c r="M33" s="64"/>
      <c r="N33" s="64"/>
    </row>
    <row r="34" spans="1:14" x14ac:dyDescent="0.25">
      <c r="A34" s="45" t="s">
        <v>102</v>
      </c>
      <c r="B34" s="46">
        <v>6661.7910000000002</v>
      </c>
      <c r="C34" s="60">
        <v>0.21</v>
      </c>
      <c r="D34" s="47">
        <v>13434.26</v>
      </c>
      <c r="E34" s="47" t="s">
        <v>1839</v>
      </c>
      <c r="F34" s="47" t="s">
        <v>1839</v>
      </c>
      <c r="G34" s="48">
        <v>6.1800000000000001E-2</v>
      </c>
      <c r="H34" s="48">
        <v>6.1800000000000001E-2</v>
      </c>
      <c r="I34" s="48">
        <v>0.12578190849622081</v>
      </c>
      <c r="K34" s="62">
        <v>0</v>
      </c>
      <c r="M34" s="64"/>
      <c r="N34" s="64"/>
    </row>
    <row r="35" spans="1:14" x14ac:dyDescent="0.25">
      <c r="A35" s="45" t="s">
        <v>103</v>
      </c>
      <c r="B35" s="46">
        <v>6661.7910000000002</v>
      </c>
      <c r="C35" s="60">
        <v>0.21</v>
      </c>
      <c r="D35" s="47">
        <v>13434.26</v>
      </c>
      <c r="E35" s="47" t="s">
        <v>1839</v>
      </c>
      <c r="F35" s="47" t="s">
        <v>1839</v>
      </c>
      <c r="G35" s="48">
        <v>6.1800000000000001E-2</v>
      </c>
      <c r="H35" s="48">
        <v>6.1800000000000001E-2</v>
      </c>
      <c r="I35" s="48">
        <v>0.12578190849622081</v>
      </c>
      <c r="K35" s="62">
        <v>0</v>
      </c>
      <c r="M35" s="64"/>
      <c r="N35" s="64"/>
    </row>
    <row r="36" spans="1:14" x14ac:dyDescent="0.25">
      <c r="A36" s="45" t="s">
        <v>104</v>
      </c>
      <c r="B36" s="46">
        <v>4193.5770000000002</v>
      </c>
      <c r="C36" s="60">
        <v>0.21</v>
      </c>
      <c r="D36" s="47">
        <v>8456.82</v>
      </c>
      <c r="E36" s="47" t="s">
        <v>1839</v>
      </c>
      <c r="F36" s="47" t="s">
        <v>1839</v>
      </c>
      <c r="G36" s="48">
        <v>0.13830000000000001</v>
      </c>
      <c r="H36" s="48">
        <v>0.13830000000000001</v>
      </c>
      <c r="I36" s="48">
        <v>0.1892922294222287</v>
      </c>
      <c r="K36" s="62">
        <v>0</v>
      </c>
      <c r="M36" s="64"/>
      <c r="N36" s="64"/>
    </row>
    <row r="37" spans="1:14" x14ac:dyDescent="0.25">
      <c r="A37" s="45" t="s">
        <v>105</v>
      </c>
      <c r="B37" s="46">
        <v>6661.7910000000002</v>
      </c>
      <c r="C37" s="60">
        <v>0.21</v>
      </c>
      <c r="D37" s="47">
        <v>13434.26</v>
      </c>
      <c r="E37" s="47" t="s">
        <v>1839</v>
      </c>
      <c r="F37" s="47" t="s">
        <v>1839</v>
      </c>
      <c r="G37" s="48">
        <v>6.1800000000000001E-2</v>
      </c>
      <c r="H37" s="48">
        <v>6.1800000000000001E-2</v>
      </c>
      <c r="I37" s="48">
        <v>0.12578190849622081</v>
      </c>
      <c r="K37" s="62">
        <v>0</v>
      </c>
      <c r="M37" s="64"/>
      <c r="N37" s="64"/>
    </row>
    <row r="38" spans="1:14" x14ac:dyDescent="0.25">
      <c r="A38" s="45" t="s">
        <v>106</v>
      </c>
      <c r="B38" s="46">
        <v>8746.6050000000014</v>
      </c>
      <c r="C38" s="60">
        <v>0.21</v>
      </c>
      <c r="D38" s="47">
        <v>17638.509999999998</v>
      </c>
      <c r="E38" s="47" t="s">
        <v>1839</v>
      </c>
      <c r="F38" s="47" t="s">
        <v>1839</v>
      </c>
      <c r="G38" s="48">
        <v>8.7099999999999997E-2</v>
      </c>
      <c r="H38" s="48">
        <v>8.7099999999999997E-2</v>
      </c>
      <c r="I38" s="48">
        <v>0.13212286120982661</v>
      </c>
      <c r="K38" s="62">
        <v>0</v>
      </c>
      <c r="M38" s="64"/>
      <c r="N38" s="64"/>
    </row>
    <row r="39" spans="1:14" x14ac:dyDescent="0.25">
      <c r="A39" s="45" t="s">
        <v>107</v>
      </c>
      <c r="B39" s="46">
        <v>4730.6430000000009</v>
      </c>
      <c r="C39" s="60">
        <v>0.21</v>
      </c>
      <c r="D39" s="47">
        <v>9539.8799999999992</v>
      </c>
      <c r="E39" s="47" t="s">
        <v>1839</v>
      </c>
      <c r="F39" s="47" t="s">
        <v>1839</v>
      </c>
      <c r="G39" s="48">
        <v>0.14030000000000001</v>
      </c>
      <c r="H39" s="48">
        <v>0.14030000000000001</v>
      </c>
      <c r="I39" s="48">
        <v>0.2174758180045098</v>
      </c>
      <c r="K39" s="62">
        <v>0</v>
      </c>
      <c r="M39" s="64"/>
      <c r="N39" s="64"/>
    </row>
    <row r="40" spans="1:14" x14ac:dyDescent="0.25">
      <c r="A40" s="45" t="s">
        <v>108</v>
      </c>
      <c r="B40" s="46">
        <v>5330.241</v>
      </c>
      <c r="C40" s="60">
        <v>0.21</v>
      </c>
      <c r="D40" s="47">
        <v>10749.03</v>
      </c>
      <c r="E40" s="47" t="s">
        <v>1839</v>
      </c>
      <c r="F40" s="47" t="s">
        <v>1839</v>
      </c>
      <c r="G40" s="48">
        <v>4.8500000000000001E-2</v>
      </c>
      <c r="H40" s="48">
        <v>4.8500000000000001E-2</v>
      </c>
      <c r="I40" s="48">
        <v>0.1255338647718659</v>
      </c>
      <c r="K40" s="62">
        <v>0</v>
      </c>
      <c r="M40" s="64"/>
      <c r="N40" s="64"/>
    </row>
    <row r="41" spans="1:14" x14ac:dyDescent="0.25">
      <c r="A41" s="45" t="s">
        <v>109</v>
      </c>
      <c r="B41" s="46">
        <v>4730.6430000000009</v>
      </c>
      <c r="C41" s="60">
        <v>0.21</v>
      </c>
      <c r="D41" s="47">
        <v>9539.8799999999992</v>
      </c>
      <c r="E41" s="47" t="s">
        <v>1839</v>
      </c>
      <c r="F41" s="47" t="s">
        <v>1839</v>
      </c>
      <c r="G41" s="48">
        <v>0.14030000000000001</v>
      </c>
      <c r="H41" s="48">
        <v>0.14030000000000001</v>
      </c>
      <c r="I41" s="48">
        <v>0.2174758180045098</v>
      </c>
      <c r="K41" s="62">
        <v>0</v>
      </c>
      <c r="M41" s="64"/>
      <c r="N41" s="64"/>
    </row>
    <row r="42" spans="1:14" x14ac:dyDescent="0.25">
      <c r="A42" s="45" t="s">
        <v>110</v>
      </c>
      <c r="B42" s="46">
        <v>437.76000000000005</v>
      </c>
      <c r="C42" s="60">
        <v>0.21</v>
      </c>
      <c r="D42" s="47">
        <v>882.79245823999986</v>
      </c>
      <c r="E42" s="47">
        <v>1191.7780582399998</v>
      </c>
      <c r="F42" s="47">
        <v>823.96159999999998</v>
      </c>
      <c r="G42" s="48">
        <v>8.3599999999999994E-2</v>
      </c>
      <c r="H42" s="48">
        <v>8.3599999999999994E-2</v>
      </c>
      <c r="K42" s="62">
        <v>0</v>
      </c>
      <c r="M42" s="64"/>
      <c r="N42" s="64"/>
    </row>
    <row r="43" spans="1:14" x14ac:dyDescent="0.25">
      <c r="A43" s="45" t="s">
        <v>111</v>
      </c>
      <c r="B43" s="46">
        <v>19491.263999999999</v>
      </c>
      <c r="C43" s="60">
        <v>0.105</v>
      </c>
      <c r="D43" s="47">
        <v>35895.453962367996</v>
      </c>
      <c r="E43" s="47">
        <v>48459.197882367996</v>
      </c>
      <c r="F43" s="47">
        <v>33503.31712</v>
      </c>
      <c r="G43" s="48">
        <v>0.19900000000000001</v>
      </c>
      <c r="H43" s="48">
        <v>0.19900000000000001</v>
      </c>
      <c r="I43" s="48">
        <v>0.2222749359095057</v>
      </c>
      <c r="K43" s="62">
        <v>0</v>
      </c>
      <c r="M43" s="64"/>
      <c r="N43" s="64"/>
    </row>
    <row r="44" spans="1:14" x14ac:dyDescent="0.25">
      <c r="A44" s="45" t="s">
        <v>112</v>
      </c>
      <c r="B44" s="46">
        <v>10386.647999999999</v>
      </c>
      <c r="C44" s="60">
        <v>0.105</v>
      </c>
      <c r="D44" s="47">
        <v>19128.23</v>
      </c>
      <c r="E44" s="47" t="s">
        <v>1839</v>
      </c>
      <c r="F44" s="47" t="s">
        <v>1839</v>
      </c>
      <c r="G44" s="48">
        <v>0.1303</v>
      </c>
      <c r="H44" s="48">
        <v>0.1303</v>
      </c>
      <c r="I44" s="48">
        <v>0.1873106270157878</v>
      </c>
      <c r="K44" s="62">
        <v>0</v>
      </c>
      <c r="M44" s="64"/>
      <c r="N44" s="64"/>
    </row>
    <row r="45" spans="1:14" x14ac:dyDescent="0.25">
      <c r="A45" s="45" t="s">
        <v>113</v>
      </c>
      <c r="B45" s="46">
        <v>8805.0419999999995</v>
      </c>
      <c r="C45" s="60">
        <v>0.105</v>
      </c>
      <c r="D45" s="47">
        <v>16215.53</v>
      </c>
      <c r="E45" s="47" t="s">
        <v>1839</v>
      </c>
      <c r="F45" s="47" t="s">
        <v>1839</v>
      </c>
      <c r="G45" s="48">
        <v>0.1187</v>
      </c>
      <c r="H45" s="48">
        <v>0.1187</v>
      </c>
      <c r="I45" s="48">
        <v>0.17470446895648839</v>
      </c>
      <c r="K45" s="62">
        <v>0</v>
      </c>
      <c r="M45" s="64"/>
      <c r="N45" s="64"/>
    </row>
    <row r="46" spans="1:14" x14ac:dyDescent="0.25">
      <c r="A46" s="45" t="s">
        <v>114</v>
      </c>
      <c r="B46" s="46">
        <v>2851.6320000000001</v>
      </c>
      <c r="C46" s="60">
        <v>0.21</v>
      </c>
      <c r="D46" s="47">
        <v>5750.64</v>
      </c>
      <c r="E46" s="47" t="s">
        <v>1839</v>
      </c>
      <c r="F46" s="47" t="s">
        <v>1839</v>
      </c>
      <c r="G46" s="48">
        <v>0.1275</v>
      </c>
      <c r="H46" s="48">
        <v>0.1275</v>
      </c>
      <c r="I46" s="48">
        <v>0.1775280741778151</v>
      </c>
      <c r="K46" s="62">
        <v>0</v>
      </c>
      <c r="M46" s="64"/>
      <c r="N46" s="64"/>
    </row>
    <row r="47" spans="1:14" x14ac:dyDescent="0.25">
      <c r="A47" s="45" t="s">
        <v>115</v>
      </c>
      <c r="B47" s="46">
        <v>2851.6320000000001</v>
      </c>
      <c r="C47" s="60">
        <v>0.21</v>
      </c>
      <c r="D47" s="47">
        <v>5750.64</v>
      </c>
      <c r="E47" s="47" t="s">
        <v>1839</v>
      </c>
      <c r="F47" s="47" t="s">
        <v>1839</v>
      </c>
      <c r="G47" s="48">
        <v>0.1275</v>
      </c>
      <c r="H47" s="48">
        <v>0.1275</v>
      </c>
      <c r="I47" s="48">
        <v>0.1775280741778151</v>
      </c>
      <c r="K47" s="62">
        <v>0</v>
      </c>
      <c r="M47" s="64"/>
      <c r="N47" s="64"/>
    </row>
    <row r="48" spans="1:14" x14ac:dyDescent="0.25">
      <c r="A48" s="45" t="s">
        <v>116</v>
      </c>
      <c r="B48" s="46">
        <v>15579.972000000002</v>
      </c>
      <c r="C48" s="60">
        <v>0.21</v>
      </c>
      <c r="D48" s="47">
        <v>31418.77</v>
      </c>
      <c r="E48" s="47" t="s">
        <v>1839</v>
      </c>
      <c r="F48" s="47" t="s">
        <v>1839</v>
      </c>
      <c r="G48" s="48">
        <v>0.12089999999999999</v>
      </c>
      <c r="H48" s="48">
        <v>0.12089999999999999</v>
      </c>
      <c r="I48" s="48">
        <v>0.1741730814196934</v>
      </c>
      <c r="K48" s="62">
        <v>0</v>
      </c>
      <c r="M48" s="64"/>
      <c r="N48" s="64"/>
    </row>
    <row r="49" spans="1:14" x14ac:dyDescent="0.25">
      <c r="A49" s="45" t="s">
        <v>117</v>
      </c>
      <c r="B49" s="46">
        <v>23133.897000000001</v>
      </c>
      <c r="C49" s="60">
        <v>0.21</v>
      </c>
      <c r="D49" s="47">
        <v>46652.12</v>
      </c>
      <c r="E49" s="47" t="s">
        <v>1839</v>
      </c>
      <c r="F49" s="47" t="s">
        <v>1839</v>
      </c>
      <c r="G49" s="48">
        <v>0.13700000000000001</v>
      </c>
      <c r="H49" s="48">
        <v>0.13700000000000001</v>
      </c>
      <c r="I49" s="48">
        <v>0.18801726331675339</v>
      </c>
      <c r="K49" s="62">
        <v>0</v>
      </c>
      <c r="M49" s="64"/>
      <c r="N49" s="64"/>
    </row>
    <row r="50" spans="1:14" x14ac:dyDescent="0.25">
      <c r="A50" s="45" t="s">
        <v>118</v>
      </c>
      <c r="B50" s="46">
        <v>29794</v>
      </c>
      <c r="C50" s="60">
        <v>0.21</v>
      </c>
      <c r="D50" s="47" t="s">
        <v>1839</v>
      </c>
      <c r="E50" s="47" t="s">
        <v>1839</v>
      </c>
      <c r="F50" s="47" t="s">
        <v>1839</v>
      </c>
      <c r="G50" s="48">
        <v>6.9599999999999995E-2</v>
      </c>
      <c r="H50" s="48">
        <v>6.9599999999999995E-2</v>
      </c>
      <c r="I50" s="48">
        <v>9.8963357276930106E-2</v>
      </c>
      <c r="K50" s="62">
        <v>0</v>
      </c>
      <c r="M50" s="64"/>
      <c r="N50" s="64"/>
    </row>
    <row r="51" spans="1:14" x14ac:dyDescent="0.25">
      <c r="A51" s="45" t="s">
        <v>119</v>
      </c>
      <c r="B51" s="46">
        <v>54392.985000000001</v>
      </c>
      <c r="C51" s="60">
        <v>0.105</v>
      </c>
      <c r="D51" s="47">
        <v>100171.08</v>
      </c>
      <c r="E51" s="47" t="s">
        <v>1839</v>
      </c>
      <c r="F51" s="47" t="s">
        <v>1839</v>
      </c>
      <c r="G51" s="48">
        <v>0.18260000000000001</v>
      </c>
      <c r="H51" s="48">
        <v>0.18260000000000001</v>
      </c>
      <c r="I51" s="48">
        <v>0.2395818571115266</v>
      </c>
      <c r="K51" s="62">
        <v>0</v>
      </c>
      <c r="M51" s="64"/>
      <c r="N51" s="64"/>
    </row>
    <row r="52" spans="1:14" x14ac:dyDescent="0.25">
      <c r="A52" s="45" t="s">
        <v>120</v>
      </c>
      <c r="B52" s="46">
        <v>44343.884159999994</v>
      </c>
      <c r="C52" s="60">
        <v>0.105</v>
      </c>
      <c r="D52" s="47">
        <v>81664.475550577903</v>
      </c>
      <c r="E52" s="47">
        <v>110247.80421537791</v>
      </c>
      <c r="F52" s="47" t="s">
        <v>1839</v>
      </c>
      <c r="G52" s="48" t="s">
        <v>1839</v>
      </c>
      <c r="H52" s="48" t="s">
        <v>1839</v>
      </c>
      <c r="K52" s="62">
        <v>0</v>
      </c>
      <c r="M52" s="64"/>
      <c r="N52" s="64"/>
    </row>
    <row r="53" spans="1:14" x14ac:dyDescent="0.25">
      <c r="A53" s="45" t="s">
        <v>121</v>
      </c>
      <c r="B53" s="46">
        <v>6609.6810000000005</v>
      </c>
      <c r="C53" s="60">
        <v>0.21</v>
      </c>
      <c r="D53" s="47">
        <v>13329.18</v>
      </c>
      <c r="E53" s="47" t="s">
        <v>1839</v>
      </c>
      <c r="F53" s="47" t="s">
        <v>1839</v>
      </c>
      <c r="G53" s="48">
        <v>7.0800000000000002E-2</v>
      </c>
      <c r="H53" s="48">
        <v>7.0800000000000002E-2</v>
      </c>
      <c r="I53" s="48">
        <v>0.12578958521685829</v>
      </c>
      <c r="K53" s="62">
        <v>0</v>
      </c>
      <c r="M53" s="64"/>
      <c r="N53" s="64"/>
    </row>
    <row r="54" spans="1:14" x14ac:dyDescent="0.25">
      <c r="A54" s="45" t="s">
        <v>122</v>
      </c>
      <c r="B54" s="46">
        <v>68109.222999999998</v>
      </c>
      <c r="C54" s="60">
        <v>0.105</v>
      </c>
      <c r="D54" s="47">
        <v>118064.68</v>
      </c>
      <c r="E54" s="47" t="s">
        <v>1839</v>
      </c>
      <c r="F54" s="47" t="s">
        <v>1839</v>
      </c>
      <c r="G54" s="48">
        <v>0.15909999999999999</v>
      </c>
      <c r="H54" s="48">
        <v>0.15909999999999999</v>
      </c>
      <c r="I54" s="48">
        <v>0.21013904952180959</v>
      </c>
      <c r="K54" s="62">
        <v>0</v>
      </c>
      <c r="M54" s="64"/>
      <c r="N54" s="64"/>
    </row>
    <row r="55" spans="1:14" x14ac:dyDescent="0.25">
      <c r="A55" s="45" t="s">
        <v>123</v>
      </c>
      <c r="B55" s="46">
        <v>24526.655999999999</v>
      </c>
      <c r="C55" s="60">
        <v>0.21</v>
      </c>
      <c r="D55" s="47">
        <v>49460.77</v>
      </c>
      <c r="E55" s="47" t="s">
        <v>1839</v>
      </c>
      <c r="F55" s="47" t="s">
        <v>1839</v>
      </c>
      <c r="G55" s="48">
        <v>0.13850000000000001</v>
      </c>
      <c r="H55" s="48">
        <v>0.13850000000000001</v>
      </c>
      <c r="I55" s="48">
        <v>0.18952152294704391</v>
      </c>
      <c r="K55" s="62">
        <v>0</v>
      </c>
      <c r="M55" s="64"/>
      <c r="N55" s="64"/>
    </row>
    <row r="56" spans="1:14" x14ac:dyDescent="0.25">
      <c r="A56" s="45" t="s">
        <v>124</v>
      </c>
      <c r="B56" s="46">
        <v>8826.3359999999993</v>
      </c>
      <c r="C56" s="60">
        <v>0.105</v>
      </c>
      <c r="D56" s="47">
        <v>16254.735328831996</v>
      </c>
      <c r="E56" s="47">
        <v>21944.044408831996</v>
      </c>
      <c r="F56" s="47">
        <v>15171.490879999998</v>
      </c>
      <c r="G56" s="48">
        <v>0.12690000000000001</v>
      </c>
      <c r="H56" s="48">
        <v>0.12690000000000001</v>
      </c>
      <c r="I56" s="48">
        <v>0.21011581692696249</v>
      </c>
      <c r="K56" s="62">
        <v>0</v>
      </c>
      <c r="M56" s="64"/>
      <c r="N56" s="64"/>
    </row>
    <row r="57" spans="1:14" x14ac:dyDescent="0.25">
      <c r="A57" s="45" t="s">
        <v>125</v>
      </c>
      <c r="B57" s="46">
        <v>11968.253999999999</v>
      </c>
      <c r="C57" s="60">
        <v>0.21</v>
      </c>
      <c r="D57" s="47">
        <v>24135.33</v>
      </c>
      <c r="E57" s="47" t="s">
        <v>1839</v>
      </c>
      <c r="F57" s="47" t="s">
        <v>1839</v>
      </c>
      <c r="G57" s="48">
        <v>0.1123</v>
      </c>
      <c r="H57" s="48">
        <v>0.1123</v>
      </c>
      <c r="I57" s="48">
        <v>0.16130249237517971</v>
      </c>
      <c r="K57" s="62">
        <v>0</v>
      </c>
      <c r="M57" s="64"/>
      <c r="N57" s="64"/>
    </row>
    <row r="58" spans="1:14" x14ac:dyDescent="0.25">
      <c r="A58" s="45" t="s">
        <v>126</v>
      </c>
      <c r="B58" s="46">
        <v>646</v>
      </c>
      <c r="C58" s="60">
        <v>0</v>
      </c>
      <c r="D58" s="47" t="s">
        <v>1839</v>
      </c>
      <c r="E58" s="47" t="s">
        <v>1839</v>
      </c>
      <c r="F58" s="47" t="s">
        <v>1839</v>
      </c>
      <c r="G58" s="48">
        <v>0.15129999999999999</v>
      </c>
      <c r="H58" s="48">
        <v>0.15129999999999999</v>
      </c>
      <c r="I58" s="48">
        <v>0.25429483751219051</v>
      </c>
      <c r="K58" s="62">
        <v>0</v>
      </c>
      <c r="M58" s="64"/>
      <c r="N58" s="64"/>
    </row>
    <row r="59" spans="1:14" x14ac:dyDescent="0.25">
      <c r="A59" s="45" t="s">
        <v>127</v>
      </c>
      <c r="B59" s="46">
        <v>646</v>
      </c>
      <c r="C59" s="60">
        <v>0</v>
      </c>
      <c r="D59" s="47" t="s">
        <v>1839</v>
      </c>
      <c r="E59" s="47" t="s">
        <v>1839</v>
      </c>
      <c r="F59" s="47" t="s">
        <v>1839</v>
      </c>
      <c r="G59" s="48">
        <v>0.21029999999999999</v>
      </c>
      <c r="H59" s="48">
        <v>0.21029999999999999</v>
      </c>
      <c r="I59" s="48">
        <v>0.31728726415094338</v>
      </c>
      <c r="K59" s="62">
        <v>0</v>
      </c>
      <c r="M59" s="64"/>
      <c r="N59" s="64"/>
    </row>
    <row r="60" spans="1:14" x14ac:dyDescent="0.25">
      <c r="A60" s="45" t="s">
        <v>128</v>
      </c>
      <c r="B60" s="46">
        <v>646</v>
      </c>
      <c r="C60" s="60">
        <v>0</v>
      </c>
      <c r="D60" s="47" t="s">
        <v>1839</v>
      </c>
      <c r="E60" s="47" t="s">
        <v>1839</v>
      </c>
      <c r="F60" s="47" t="s">
        <v>1839</v>
      </c>
      <c r="G60" s="48">
        <v>0.1633</v>
      </c>
      <c r="H60" s="48">
        <v>0.1633</v>
      </c>
      <c r="I60" s="48">
        <v>0.26526829318551792</v>
      </c>
      <c r="K60" s="62">
        <v>0</v>
      </c>
      <c r="M60" s="64"/>
      <c r="N60" s="64"/>
    </row>
    <row r="61" spans="1:14" x14ac:dyDescent="0.25">
      <c r="A61" s="45" t="s">
        <v>129</v>
      </c>
      <c r="B61" s="46">
        <v>1539</v>
      </c>
      <c r="C61" s="60">
        <v>0</v>
      </c>
      <c r="D61" s="47" t="s">
        <v>1839</v>
      </c>
      <c r="E61" s="47" t="s">
        <v>1839</v>
      </c>
      <c r="F61" s="47" t="s">
        <v>1839</v>
      </c>
      <c r="G61" s="48">
        <v>8.43E-2</v>
      </c>
      <c r="H61" s="48">
        <v>8.43E-2</v>
      </c>
      <c r="I61" s="48">
        <v>0.1242696880117394</v>
      </c>
      <c r="K61" s="62">
        <v>0</v>
      </c>
      <c r="M61" s="64"/>
      <c r="N61" s="64"/>
    </row>
    <row r="62" spans="1:14" x14ac:dyDescent="0.25">
      <c r="A62" s="45" t="s">
        <v>130</v>
      </c>
      <c r="B62" s="46">
        <v>1263.5</v>
      </c>
      <c r="C62" s="60">
        <v>0</v>
      </c>
      <c r="D62" s="47" t="s">
        <v>1839</v>
      </c>
      <c r="E62" s="47" t="s">
        <v>1839</v>
      </c>
      <c r="F62" s="47" t="s">
        <v>1839</v>
      </c>
      <c r="G62" s="48">
        <v>0.21629999999999999</v>
      </c>
      <c r="H62" s="48">
        <v>0.21629999999999999</v>
      </c>
      <c r="I62" s="48">
        <v>0.30227380054764069</v>
      </c>
      <c r="K62" s="62">
        <v>0</v>
      </c>
      <c r="M62" s="64"/>
      <c r="N62" s="64"/>
    </row>
    <row r="63" spans="1:14" x14ac:dyDescent="0.25">
      <c r="A63" s="45" t="s">
        <v>131</v>
      </c>
      <c r="B63" s="46">
        <v>1539</v>
      </c>
      <c r="C63" s="60">
        <v>0</v>
      </c>
      <c r="D63" s="47" t="s">
        <v>1839</v>
      </c>
      <c r="E63" s="47" t="s">
        <v>1839</v>
      </c>
      <c r="F63" s="47" t="s">
        <v>1839</v>
      </c>
      <c r="G63" s="48">
        <v>4.1300000000000003E-2</v>
      </c>
      <c r="H63" s="48">
        <v>4.1300000000000003E-2</v>
      </c>
      <c r="I63" s="48">
        <v>6.2284884389738872E-2</v>
      </c>
      <c r="K63" s="62">
        <v>0</v>
      </c>
      <c r="M63" s="64"/>
      <c r="N63" s="64"/>
    </row>
    <row r="64" spans="1:14" x14ac:dyDescent="0.25">
      <c r="A64" s="45" t="s">
        <v>132</v>
      </c>
      <c r="B64" s="46">
        <v>1539</v>
      </c>
      <c r="C64" s="60">
        <v>0</v>
      </c>
      <c r="D64" s="47" t="s">
        <v>1839</v>
      </c>
      <c r="E64" s="47" t="s">
        <v>1839</v>
      </c>
      <c r="F64" s="47" t="s">
        <v>1839</v>
      </c>
      <c r="G64" s="48">
        <v>0.13930000000000001</v>
      </c>
      <c r="H64" s="48">
        <v>0.13930000000000001</v>
      </c>
      <c r="I64" s="48">
        <v>0.1992882052559472</v>
      </c>
      <c r="K64" s="62">
        <v>0</v>
      </c>
      <c r="M64" s="64"/>
      <c r="N64" s="64"/>
    </row>
    <row r="65" spans="1:14" x14ac:dyDescent="0.25">
      <c r="A65" s="45" t="s">
        <v>133</v>
      </c>
      <c r="B65" s="46">
        <v>1539</v>
      </c>
      <c r="C65" s="60">
        <v>0</v>
      </c>
      <c r="D65" s="47" t="s">
        <v>1839</v>
      </c>
      <c r="E65" s="47" t="s">
        <v>1839</v>
      </c>
      <c r="F65" s="47" t="s">
        <v>1839</v>
      </c>
      <c r="G65" s="48">
        <v>0.14099999999999999</v>
      </c>
      <c r="H65" s="48">
        <v>0.14099999999999999</v>
      </c>
      <c r="I65" s="48">
        <v>0.20431289288737151</v>
      </c>
      <c r="K65" s="62">
        <v>0</v>
      </c>
      <c r="M65" s="64"/>
      <c r="N65" s="64"/>
    </row>
    <row r="66" spans="1:14" x14ac:dyDescent="0.25">
      <c r="A66" s="45" t="s">
        <v>134</v>
      </c>
      <c r="B66" s="46">
        <v>1662.5</v>
      </c>
      <c r="C66" s="60">
        <v>0</v>
      </c>
      <c r="D66" s="47" t="s">
        <v>1839</v>
      </c>
      <c r="E66" s="47" t="s">
        <v>1839</v>
      </c>
      <c r="F66" s="47" t="s">
        <v>1839</v>
      </c>
      <c r="G66" s="48">
        <v>0.15529999999999999</v>
      </c>
      <c r="H66" s="48">
        <v>0.15529999999999999</v>
      </c>
      <c r="I66" s="48">
        <v>0.2192772128110464</v>
      </c>
      <c r="K66" s="62">
        <v>0</v>
      </c>
      <c r="M66" s="64"/>
      <c r="N66" s="64"/>
    </row>
    <row r="67" spans="1:14" x14ac:dyDescent="0.25">
      <c r="A67" s="45" t="s">
        <v>135</v>
      </c>
      <c r="B67" s="46">
        <v>7410</v>
      </c>
      <c r="C67" s="60">
        <v>0.21</v>
      </c>
      <c r="D67" s="47" t="s">
        <v>1839</v>
      </c>
      <c r="E67" s="47" t="s">
        <v>1839</v>
      </c>
      <c r="F67" s="47" t="s">
        <v>1839</v>
      </c>
      <c r="G67" s="48">
        <v>9.1999999999999998E-2</v>
      </c>
      <c r="H67" s="48">
        <v>9.1999999999999998E-2</v>
      </c>
      <c r="I67" s="48">
        <v>0.1478152837533292</v>
      </c>
      <c r="K67" s="62">
        <v>0</v>
      </c>
      <c r="M67" s="64"/>
      <c r="N67" s="64"/>
    </row>
    <row r="68" spans="1:14" x14ac:dyDescent="0.25">
      <c r="A68" s="45" t="s">
        <v>136</v>
      </c>
      <c r="B68" s="46">
        <v>902.5</v>
      </c>
      <c r="C68" s="60">
        <v>0.21</v>
      </c>
      <c r="D68" s="47" t="s">
        <v>1839</v>
      </c>
      <c r="E68" s="47" t="s">
        <v>1839</v>
      </c>
      <c r="F68" s="47" t="s">
        <v>1839</v>
      </c>
      <c r="G68" s="48">
        <v>7.9299999999999995E-2</v>
      </c>
      <c r="H68" s="48">
        <v>7.9299999999999995E-2</v>
      </c>
      <c r="I68" s="48">
        <v>0.13228621581080649</v>
      </c>
      <c r="K68" s="62">
        <v>0</v>
      </c>
      <c r="M68" s="64"/>
      <c r="N68" s="64"/>
    </row>
    <row r="69" spans="1:14" x14ac:dyDescent="0.25">
      <c r="A69" s="45" t="s">
        <v>137</v>
      </c>
      <c r="B69" s="46">
        <v>902.5</v>
      </c>
      <c r="C69" s="60">
        <v>0.21</v>
      </c>
      <c r="D69" s="47" t="s">
        <v>1839</v>
      </c>
      <c r="E69" s="47" t="s">
        <v>1839</v>
      </c>
      <c r="F69" s="47" t="s">
        <v>1839</v>
      </c>
      <c r="G69" s="48">
        <v>8.43E-2</v>
      </c>
      <c r="H69" s="48">
        <v>8.43E-2</v>
      </c>
      <c r="I69" s="48">
        <v>0.13728372016502571</v>
      </c>
      <c r="K69" s="62">
        <v>0</v>
      </c>
      <c r="M69" s="64"/>
      <c r="N69" s="64"/>
    </row>
    <row r="70" spans="1:14" x14ac:dyDescent="0.25">
      <c r="A70" s="45" t="s">
        <v>138</v>
      </c>
      <c r="B70" s="46">
        <v>522.5</v>
      </c>
      <c r="C70" s="60">
        <v>0.21</v>
      </c>
      <c r="D70" s="47" t="s">
        <v>1839</v>
      </c>
      <c r="E70" s="47" t="s">
        <v>1839</v>
      </c>
      <c r="F70" s="47" t="s">
        <v>1839</v>
      </c>
      <c r="G70" s="48">
        <v>7.4300000000000005E-2</v>
      </c>
      <c r="H70" s="48">
        <v>7.4300000000000005E-2</v>
      </c>
      <c r="I70" s="48">
        <v>0.1862686477682631</v>
      </c>
      <c r="K70" s="62">
        <v>0</v>
      </c>
      <c r="M70" s="64"/>
      <c r="N70" s="64"/>
    </row>
    <row r="71" spans="1:14" x14ac:dyDescent="0.25">
      <c r="A71" s="45" t="s">
        <v>139</v>
      </c>
      <c r="B71" s="46">
        <v>4104</v>
      </c>
      <c r="C71" s="60">
        <v>0.21</v>
      </c>
      <c r="D71" s="47" t="s">
        <v>1839</v>
      </c>
      <c r="E71" s="47" t="s">
        <v>1839</v>
      </c>
      <c r="F71" s="47" t="s">
        <v>1839</v>
      </c>
      <c r="G71" s="48">
        <v>7.5999999999999998E-2</v>
      </c>
      <c r="H71" s="48">
        <v>7.5999999999999998E-2</v>
      </c>
      <c r="I71" s="48">
        <v>0.1060190909148549</v>
      </c>
      <c r="K71" s="62">
        <v>0</v>
      </c>
      <c r="M71" s="64"/>
      <c r="N71" s="64"/>
    </row>
    <row r="72" spans="1:14" x14ac:dyDescent="0.25">
      <c r="A72" s="45" t="s">
        <v>140</v>
      </c>
      <c r="B72" s="46">
        <v>5225</v>
      </c>
      <c r="C72" s="60">
        <v>0.21</v>
      </c>
      <c r="D72" s="47" t="s">
        <v>1839</v>
      </c>
      <c r="E72" s="47" t="s">
        <v>1839</v>
      </c>
      <c r="F72" s="47" t="s">
        <v>1839</v>
      </c>
      <c r="G72" s="48">
        <v>5.1999999999999998E-2</v>
      </c>
      <c r="H72" s="48">
        <v>5.1999999999999998E-2</v>
      </c>
      <c r="I72" s="48">
        <v>0.1190210883282105</v>
      </c>
      <c r="K72" s="62">
        <v>0</v>
      </c>
      <c r="M72" s="64"/>
      <c r="N72" s="64"/>
    </row>
    <row r="73" spans="1:14" x14ac:dyDescent="0.25">
      <c r="A73" s="45" t="s">
        <v>141</v>
      </c>
      <c r="B73" s="46">
        <v>760</v>
      </c>
      <c r="C73" s="60">
        <v>0.21</v>
      </c>
      <c r="D73" s="47" t="s">
        <v>1839</v>
      </c>
      <c r="E73" s="47" t="s">
        <v>1839</v>
      </c>
      <c r="F73" s="47" t="s">
        <v>1839</v>
      </c>
      <c r="G73" s="48">
        <v>6.8000000000000005E-2</v>
      </c>
      <c r="H73" s="48">
        <v>6.8000000000000005E-2</v>
      </c>
      <c r="I73" s="48">
        <v>0.14603261956373931</v>
      </c>
      <c r="K73" s="62">
        <v>0</v>
      </c>
      <c r="M73" s="64"/>
      <c r="N73" s="64"/>
    </row>
    <row r="74" spans="1:14" x14ac:dyDescent="0.25">
      <c r="A74" s="45" t="s">
        <v>142</v>
      </c>
      <c r="B74" s="46">
        <v>4617</v>
      </c>
      <c r="C74" s="60">
        <v>0.21</v>
      </c>
      <c r="D74" s="47" t="s">
        <v>1839</v>
      </c>
      <c r="E74" s="47" t="s">
        <v>1839</v>
      </c>
      <c r="F74" s="47" t="s">
        <v>1839</v>
      </c>
      <c r="G74" s="48">
        <v>4.2000000000000003E-2</v>
      </c>
      <c r="H74" s="48">
        <v>4.2000000000000003E-2</v>
      </c>
      <c r="I74" s="48">
        <v>6.0019836816403292E-2</v>
      </c>
      <c r="K74" s="62">
        <v>0</v>
      </c>
      <c r="M74" s="64"/>
      <c r="N74" s="64"/>
    </row>
    <row r="75" spans="1:14" x14ac:dyDescent="0.25">
      <c r="A75" s="45" t="s">
        <v>143</v>
      </c>
      <c r="B75" s="46">
        <v>3087.5</v>
      </c>
      <c r="C75" s="60">
        <v>0.21</v>
      </c>
      <c r="D75" s="47" t="s">
        <v>1839</v>
      </c>
      <c r="E75" s="47" t="s">
        <v>1839</v>
      </c>
      <c r="F75" s="47" t="s">
        <v>1839</v>
      </c>
      <c r="G75" s="48">
        <v>9.4E-2</v>
      </c>
      <c r="H75" s="48">
        <v>9.4E-2</v>
      </c>
      <c r="I75" s="48">
        <v>0.1320245820584946</v>
      </c>
      <c r="K75" s="62">
        <v>0</v>
      </c>
      <c r="M75" s="64"/>
      <c r="N75" s="64"/>
    </row>
    <row r="76" spans="1:14" x14ac:dyDescent="0.25">
      <c r="A76" s="45" t="s">
        <v>144</v>
      </c>
      <c r="B76" s="46">
        <v>5225</v>
      </c>
      <c r="C76" s="60">
        <v>0.21</v>
      </c>
      <c r="D76" s="47" t="s">
        <v>1839</v>
      </c>
      <c r="E76" s="47" t="s">
        <v>1839</v>
      </c>
      <c r="F76" s="47" t="s">
        <v>1839</v>
      </c>
      <c r="G76" s="48">
        <v>6.4000000000000001E-2</v>
      </c>
      <c r="H76" s="48">
        <v>6.4000000000000001E-2</v>
      </c>
      <c r="I76" s="48">
        <v>0.14241027401532211</v>
      </c>
      <c r="K76" s="62">
        <v>0</v>
      </c>
      <c r="M76" s="64"/>
      <c r="N76" s="64"/>
    </row>
    <row r="77" spans="1:14" x14ac:dyDescent="0.25">
      <c r="A77" s="45" t="s">
        <v>145</v>
      </c>
      <c r="B77" s="46">
        <v>997.5</v>
      </c>
      <c r="C77" s="60">
        <v>0.21</v>
      </c>
      <c r="D77" s="47" t="s">
        <v>1839</v>
      </c>
      <c r="E77" s="47" t="s">
        <v>1839</v>
      </c>
      <c r="F77" s="47" t="s">
        <v>1839</v>
      </c>
      <c r="G77" s="48">
        <v>7.2300000000000003E-2</v>
      </c>
      <c r="H77" s="48">
        <v>7.2300000000000003E-2</v>
      </c>
      <c r="I77" s="48">
        <v>0.12227774895281</v>
      </c>
      <c r="K77" s="62">
        <v>0</v>
      </c>
      <c r="M77" s="64"/>
      <c r="N77" s="64"/>
    </row>
    <row r="78" spans="1:14" x14ac:dyDescent="0.25">
      <c r="A78" s="45" t="s">
        <v>146</v>
      </c>
      <c r="B78" s="46">
        <v>807.5</v>
      </c>
      <c r="C78" s="60">
        <v>0.21</v>
      </c>
      <c r="D78" s="47" t="s">
        <v>1839</v>
      </c>
      <c r="E78" s="47" t="s">
        <v>1839</v>
      </c>
      <c r="F78" s="47" t="s">
        <v>1839</v>
      </c>
      <c r="G78" s="48">
        <v>0.14230000000000001</v>
      </c>
      <c r="H78" s="48">
        <v>0.14230000000000001</v>
      </c>
      <c r="I78" s="48">
        <v>0.2202942203194467</v>
      </c>
      <c r="K78" s="62">
        <v>0</v>
      </c>
      <c r="M78" s="64"/>
      <c r="N78" s="64"/>
    </row>
    <row r="79" spans="1:14" x14ac:dyDescent="0.25">
      <c r="A79" s="45" t="s">
        <v>147</v>
      </c>
      <c r="B79" s="46">
        <v>1130.5</v>
      </c>
      <c r="C79" s="60">
        <v>0.21</v>
      </c>
      <c r="D79" s="47" t="s">
        <v>1839</v>
      </c>
      <c r="E79" s="47" t="s">
        <v>1839</v>
      </c>
      <c r="F79" s="47" t="s">
        <v>1839</v>
      </c>
      <c r="G79" s="48">
        <v>3.5299999999999998E-2</v>
      </c>
      <c r="H79" s="48">
        <v>3.5299999999999998E-2</v>
      </c>
      <c r="I79" s="48">
        <v>7.6007733409174799E-2</v>
      </c>
      <c r="K79" s="62">
        <v>0</v>
      </c>
      <c r="M79" s="64"/>
      <c r="N79" s="64"/>
    </row>
    <row r="80" spans="1:14" x14ac:dyDescent="0.25">
      <c r="A80" s="45" t="s">
        <v>148</v>
      </c>
      <c r="B80" s="46">
        <v>1073.5</v>
      </c>
      <c r="C80" s="60">
        <v>0.21</v>
      </c>
      <c r="D80" s="47" t="s">
        <v>1839</v>
      </c>
      <c r="E80" s="47" t="s">
        <v>1839</v>
      </c>
      <c r="F80" s="47" t="s">
        <v>1839</v>
      </c>
      <c r="G80" s="48">
        <v>4.5999999999999999E-2</v>
      </c>
      <c r="H80" s="48">
        <v>4.5999999999999999E-2</v>
      </c>
      <c r="I80" s="48">
        <v>9.0019960327299781E-2</v>
      </c>
      <c r="K80" s="62">
        <v>0</v>
      </c>
      <c r="M80" s="64"/>
      <c r="N80" s="64"/>
    </row>
    <row r="81" spans="1:14" x14ac:dyDescent="0.25">
      <c r="A81" s="45" t="s">
        <v>149</v>
      </c>
      <c r="B81" s="46">
        <v>570</v>
      </c>
      <c r="C81" s="60">
        <v>0.21</v>
      </c>
      <c r="D81" s="47" t="s">
        <v>1839</v>
      </c>
      <c r="E81" s="47" t="s">
        <v>1839</v>
      </c>
      <c r="F81" s="47" t="s">
        <v>1839</v>
      </c>
      <c r="G81" s="48">
        <v>3.5999999999999997E-2</v>
      </c>
      <c r="H81" s="48">
        <v>3.5999999999999997E-2</v>
      </c>
      <c r="I81" s="48">
        <v>0.1490214797136038</v>
      </c>
      <c r="K81" s="62">
        <v>0</v>
      </c>
      <c r="M81" s="64"/>
      <c r="N81" s="64"/>
    </row>
    <row r="82" spans="1:14" x14ac:dyDescent="0.25">
      <c r="A82" s="45" t="s">
        <v>150</v>
      </c>
      <c r="B82" s="46">
        <v>4940</v>
      </c>
      <c r="C82" s="60">
        <v>0.21</v>
      </c>
      <c r="D82" s="47" t="s">
        <v>1839</v>
      </c>
      <c r="E82" s="47" t="s">
        <v>1839</v>
      </c>
      <c r="F82" s="47" t="s">
        <v>1839</v>
      </c>
      <c r="G82" s="48">
        <v>3.5299999999999998E-2</v>
      </c>
      <c r="H82" s="48">
        <v>3.5299999999999998E-2</v>
      </c>
      <c r="I82" s="48">
        <v>5.0285769949562367E-2</v>
      </c>
      <c r="K82" s="62">
        <v>0</v>
      </c>
      <c r="M82" s="64"/>
      <c r="N82" s="64"/>
    </row>
    <row r="83" spans="1:14" x14ac:dyDescent="0.25">
      <c r="A83" s="45" t="s">
        <v>151</v>
      </c>
      <c r="B83" s="46">
        <v>5776</v>
      </c>
      <c r="C83" s="60">
        <v>0.21</v>
      </c>
      <c r="D83" s="47" t="s">
        <v>1839</v>
      </c>
      <c r="E83" s="47" t="s">
        <v>1839</v>
      </c>
      <c r="F83" s="47" t="s">
        <v>1839</v>
      </c>
      <c r="G83" s="48">
        <v>7.1999999999999995E-2</v>
      </c>
      <c r="H83" s="48">
        <v>7.1999999999999995E-2</v>
      </c>
      <c r="I83" s="48">
        <v>0.13601897534431681</v>
      </c>
      <c r="K83" s="62">
        <v>0</v>
      </c>
      <c r="M83" s="64"/>
      <c r="N83" s="64"/>
    </row>
    <row r="84" spans="1:14" x14ac:dyDescent="0.25">
      <c r="A84" s="45" t="s">
        <v>152</v>
      </c>
      <c r="B84" s="46">
        <v>60712.740000000005</v>
      </c>
      <c r="C84" s="60">
        <v>0.105</v>
      </c>
      <c r="D84" s="47">
        <v>103530.21249999999</v>
      </c>
      <c r="E84" s="47">
        <v>127342.161375</v>
      </c>
      <c r="F84" s="47" t="s">
        <v>1839</v>
      </c>
      <c r="G84" s="48">
        <v>0.14099999999999999</v>
      </c>
      <c r="H84" s="48">
        <v>0.14099999999999999</v>
      </c>
      <c r="I84" s="48">
        <v>0.18787006363444059</v>
      </c>
      <c r="K84" s="62">
        <v>0</v>
      </c>
      <c r="M84" s="64"/>
      <c r="N84" s="64"/>
    </row>
    <row r="85" spans="1:14" x14ac:dyDescent="0.25">
      <c r="A85" s="45" t="s">
        <v>153</v>
      </c>
      <c r="B85" s="46">
        <v>116366.22</v>
      </c>
      <c r="C85" s="60">
        <v>0.105</v>
      </c>
      <c r="D85" s="47">
        <v>198433.13750000001</v>
      </c>
      <c r="E85" s="47">
        <v>244072.75912500001</v>
      </c>
      <c r="F85" s="47" t="s">
        <v>1839</v>
      </c>
      <c r="G85" s="48">
        <v>0.1459</v>
      </c>
      <c r="H85" s="48">
        <v>0.1459</v>
      </c>
      <c r="I85" s="48">
        <v>0.18806344733225799</v>
      </c>
      <c r="K85" s="62">
        <v>0</v>
      </c>
      <c r="M85" s="64"/>
      <c r="N85" s="64"/>
    </row>
    <row r="86" spans="1:14" x14ac:dyDescent="0.25">
      <c r="A86" s="45" t="s">
        <v>154</v>
      </c>
      <c r="B86" s="46">
        <v>91069.110000000015</v>
      </c>
      <c r="C86" s="60">
        <v>0.105</v>
      </c>
      <c r="D86" s="47">
        <v>155295.31875000001</v>
      </c>
      <c r="E86" s="47">
        <v>191013.24206250001</v>
      </c>
      <c r="F86" s="47" t="s">
        <v>1839</v>
      </c>
      <c r="G86" s="48">
        <v>0.1444</v>
      </c>
      <c r="H86" s="48">
        <v>0.1444</v>
      </c>
      <c r="I86" s="48">
        <v>0.1914116799486632</v>
      </c>
      <c r="K86" s="62">
        <v>0</v>
      </c>
      <c r="M86" s="64"/>
      <c r="N86" s="64"/>
    </row>
    <row r="87" spans="1:14" x14ac:dyDescent="0.25">
      <c r="A87" s="45" t="s">
        <v>155</v>
      </c>
      <c r="B87" s="46">
        <v>141664.14000000001</v>
      </c>
      <c r="C87" s="60">
        <v>0.105</v>
      </c>
      <c r="D87" s="47">
        <v>241572.33749999999</v>
      </c>
      <c r="E87" s="47">
        <v>297133.975125</v>
      </c>
      <c r="F87" s="47" t="s">
        <v>1839</v>
      </c>
      <c r="G87" s="48">
        <v>0.1469</v>
      </c>
      <c r="H87" s="48">
        <v>0.1469</v>
      </c>
      <c r="I87" s="48">
        <v>0.19332056122633681</v>
      </c>
      <c r="K87" s="62">
        <v>0</v>
      </c>
      <c r="M87" s="64"/>
      <c r="N87" s="64"/>
    </row>
    <row r="88" spans="1:14" x14ac:dyDescent="0.25">
      <c r="A88" s="45" t="s">
        <v>156</v>
      </c>
      <c r="B88" s="46">
        <v>139135.32</v>
      </c>
      <c r="C88" s="60">
        <v>0.105</v>
      </c>
      <c r="D88" s="47">
        <v>237260.07500000001</v>
      </c>
      <c r="E88" s="47">
        <v>291829.89225000003</v>
      </c>
      <c r="F88" s="47" t="s">
        <v>1839</v>
      </c>
      <c r="G88" s="48">
        <v>0.1469</v>
      </c>
      <c r="H88" s="48">
        <v>0.1469</v>
      </c>
      <c r="I88" s="48">
        <v>0.19385870323387031</v>
      </c>
      <c r="K88" s="62">
        <v>0</v>
      </c>
      <c r="M88" s="64"/>
      <c r="N88" s="64"/>
    </row>
    <row r="89" spans="1:14" x14ac:dyDescent="0.25">
      <c r="A89" s="45" t="s">
        <v>157</v>
      </c>
      <c r="B89" s="46">
        <v>61218.18</v>
      </c>
      <c r="C89" s="60">
        <v>0.105</v>
      </c>
      <c r="D89" s="47">
        <v>104392.1125</v>
      </c>
      <c r="E89" s="47">
        <v>128402.298375</v>
      </c>
      <c r="F89" s="47" t="s">
        <v>1839</v>
      </c>
      <c r="G89" s="48">
        <v>0.1411</v>
      </c>
      <c r="H89" s="48">
        <v>0.1411</v>
      </c>
      <c r="I89" s="48">
        <v>0.18795778351157441</v>
      </c>
      <c r="K89" s="62">
        <v>0</v>
      </c>
      <c r="M89" s="64"/>
      <c r="N89" s="64"/>
    </row>
    <row r="90" spans="1:14" x14ac:dyDescent="0.25">
      <c r="A90" s="45" t="s">
        <v>158</v>
      </c>
      <c r="B90" s="46">
        <v>111306.15000000001</v>
      </c>
      <c r="C90" s="60">
        <v>0.105</v>
      </c>
      <c r="D90" s="47">
        <v>189804.46875</v>
      </c>
      <c r="E90" s="47">
        <v>233459.49656249999</v>
      </c>
      <c r="F90" s="47" t="s">
        <v>1839</v>
      </c>
      <c r="G90" s="48">
        <v>0.1449</v>
      </c>
      <c r="H90" s="48">
        <v>0.1449</v>
      </c>
      <c r="I90" s="48">
        <v>0.19190929263060821</v>
      </c>
      <c r="K90" s="62">
        <v>0</v>
      </c>
      <c r="M90" s="64"/>
      <c r="N90" s="64"/>
    </row>
    <row r="91" spans="1:14" x14ac:dyDescent="0.25">
      <c r="A91" s="45" t="s">
        <v>159</v>
      </c>
      <c r="B91" s="46">
        <v>155830.23000000001</v>
      </c>
      <c r="C91" s="60">
        <v>0.105</v>
      </c>
      <c r="D91" s="47">
        <v>265729.01874999999</v>
      </c>
      <c r="E91" s="47">
        <v>326846.69306249998</v>
      </c>
      <c r="F91" s="47" t="s">
        <v>1839</v>
      </c>
      <c r="G91" s="48">
        <v>0.14649999999999999</v>
      </c>
      <c r="H91" s="48">
        <v>0.14649999999999999</v>
      </c>
      <c r="I91" s="48">
        <v>0.192057032693665</v>
      </c>
      <c r="K91" s="62">
        <v>0</v>
      </c>
      <c r="M91" s="64"/>
      <c r="N91" s="64"/>
    </row>
    <row r="92" spans="1:14" x14ac:dyDescent="0.25">
      <c r="A92" s="45" t="s">
        <v>160</v>
      </c>
      <c r="B92" s="46">
        <v>4094</v>
      </c>
      <c r="C92" s="60">
        <v>0.21</v>
      </c>
      <c r="D92" s="47" t="s">
        <v>1839</v>
      </c>
      <c r="E92" s="47" t="s">
        <v>1839</v>
      </c>
      <c r="F92" s="47" t="s">
        <v>1839</v>
      </c>
      <c r="G92" s="48">
        <v>4.3999999999999997E-2</v>
      </c>
      <c r="H92" s="48">
        <v>4.3999999999999997E-2</v>
      </c>
      <c r="I92" s="48">
        <v>6.3020969452978332E-2</v>
      </c>
      <c r="K92" s="62">
        <v>0</v>
      </c>
      <c r="M92" s="64"/>
      <c r="N92" s="64"/>
    </row>
    <row r="93" spans="1:14" x14ac:dyDescent="0.25">
      <c r="A93" s="45" t="s">
        <v>161</v>
      </c>
      <c r="B93" s="46">
        <v>30732</v>
      </c>
      <c r="C93" s="60">
        <v>0.21</v>
      </c>
      <c r="D93" s="47">
        <v>51646.32</v>
      </c>
      <c r="E93" s="47" t="s">
        <v>1839</v>
      </c>
      <c r="F93" s="47" t="s">
        <v>1839</v>
      </c>
      <c r="G93" s="48">
        <v>6.0299999999999999E-2</v>
      </c>
      <c r="H93" s="48">
        <v>6.0299999999999999E-2</v>
      </c>
      <c r="I93" s="48">
        <v>8.5313301433777064E-2</v>
      </c>
      <c r="K93" s="62">
        <v>0</v>
      </c>
      <c r="M93" s="64"/>
      <c r="N93" s="64"/>
    </row>
    <row r="94" spans="1:14" x14ac:dyDescent="0.25">
      <c r="A94" s="45" t="s">
        <v>162</v>
      </c>
      <c r="B94" s="46">
        <v>9574</v>
      </c>
      <c r="C94" s="60">
        <v>0.21</v>
      </c>
      <c r="D94" s="47">
        <v>16089.41</v>
      </c>
      <c r="E94" s="47" t="s">
        <v>1839</v>
      </c>
      <c r="F94" s="47" t="s">
        <v>1839</v>
      </c>
      <c r="G94" s="48">
        <v>5.9299999999999999E-2</v>
      </c>
      <c r="H94" s="48">
        <v>5.9299999999999999E-2</v>
      </c>
      <c r="I94" s="48">
        <v>8.9285631149321837E-2</v>
      </c>
      <c r="K94" s="62">
        <v>0</v>
      </c>
      <c r="M94" s="64"/>
      <c r="N94" s="64"/>
    </row>
    <row r="95" spans="1:14" x14ac:dyDescent="0.25">
      <c r="A95" s="45" t="s">
        <v>163</v>
      </c>
      <c r="B95" s="46">
        <v>9574</v>
      </c>
      <c r="C95" s="60">
        <v>0.21</v>
      </c>
      <c r="D95" s="47">
        <v>16089.41</v>
      </c>
      <c r="E95" s="47" t="s">
        <v>1839</v>
      </c>
      <c r="F95" s="47" t="s">
        <v>1839</v>
      </c>
      <c r="G95" s="48">
        <v>5.9299999999999999E-2</v>
      </c>
      <c r="H95" s="48">
        <v>5.9299999999999999E-2</v>
      </c>
      <c r="I95" s="48">
        <v>8.9285631149321837E-2</v>
      </c>
      <c r="K95" s="62">
        <v>0</v>
      </c>
      <c r="M95" s="64"/>
      <c r="N95" s="64"/>
    </row>
    <row r="96" spans="1:14" x14ac:dyDescent="0.25">
      <c r="A96" s="45" t="s">
        <v>164</v>
      </c>
      <c r="B96" s="46">
        <v>3787</v>
      </c>
      <c r="C96" s="60">
        <v>0.21</v>
      </c>
      <c r="D96" s="47">
        <v>6365.02</v>
      </c>
      <c r="E96" s="47" t="s">
        <v>1839</v>
      </c>
      <c r="F96" s="47" t="s">
        <v>1839</v>
      </c>
      <c r="G96" s="48">
        <v>8.4599999999999995E-2</v>
      </c>
      <c r="H96" s="48">
        <v>8.4599999999999995E-2</v>
      </c>
      <c r="I96" s="48">
        <v>0.17222241867401061</v>
      </c>
      <c r="K96" s="62">
        <v>0</v>
      </c>
      <c r="M96" s="64"/>
      <c r="N96" s="64"/>
    </row>
    <row r="97" spans="1:14" x14ac:dyDescent="0.25">
      <c r="A97" s="45" t="s">
        <v>165</v>
      </c>
      <c r="B97" s="46">
        <v>3787</v>
      </c>
      <c r="C97" s="60">
        <v>0.21</v>
      </c>
      <c r="D97" s="47">
        <v>6365.02</v>
      </c>
      <c r="E97" s="47" t="s">
        <v>1839</v>
      </c>
      <c r="F97" s="47" t="s">
        <v>1839</v>
      </c>
      <c r="G97" s="48">
        <v>8.4599999999999995E-2</v>
      </c>
      <c r="H97" s="48">
        <v>8.4599999999999995E-2</v>
      </c>
      <c r="I97" s="48">
        <v>0.17222241867401061</v>
      </c>
      <c r="K97" s="62">
        <v>0</v>
      </c>
      <c r="M97" s="64"/>
      <c r="N97" s="64"/>
    </row>
    <row r="98" spans="1:14" x14ac:dyDescent="0.25">
      <c r="A98" s="45" t="s">
        <v>166</v>
      </c>
      <c r="B98" s="46">
        <v>3787</v>
      </c>
      <c r="C98" s="60">
        <v>0.21</v>
      </c>
      <c r="D98" s="47">
        <v>6365.02</v>
      </c>
      <c r="E98" s="47" t="s">
        <v>1839</v>
      </c>
      <c r="F98" s="47" t="s">
        <v>1839</v>
      </c>
      <c r="G98" s="48">
        <v>8.4599999999999995E-2</v>
      </c>
      <c r="H98" s="48">
        <v>8.4599999999999995E-2</v>
      </c>
      <c r="I98" s="48">
        <v>0.17222241867401061</v>
      </c>
      <c r="K98" s="62">
        <v>0</v>
      </c>
      <c r="M98" s="64"/>
      <c r="N98" s="64"/>
    </row>
    <row r="99" spans="1:14" x14ac:dyDescent="0.25">
      <c r="A99" s="45" t="s">
        <v>167</v>
      </c>
      <c r="B99" s="46">
        <v>16952</v>
      </c>
      <c r="C99" s="60">
        <v>0.21</v>
      </c>
      <c r="D99" s="47">
        <v>28489.06</v>
      </c>
      <c r="E99" s="47" t="s">
        <v>1839</v>
      </c>
      <c r="F99" s="47" t="s">
        <v>1839</v>
      </c>
      <c r="G99" s="48">
        <v>6.1100000000000002E-2</v>
      </c>
      <c r="H99" s="48">
        <v>6.1100000000000002E-2</v>
      </c>
      <c r="I99" s="48">
        <v>8.909506125395257E-2</v>
      </c>
      <c r="K99" s="62">
        <v>0</v>
      </c>
      <c r="M99" s="64"/>
      <c r="N99" s="64"/>
    </row>
    <row r="100" spans="1:14" x14ac:dyDescent="0.25">
      <c r="A100" s="45" t="s">
        <v>168</v>
      </c>
      <c r="B100" s="46">
        <v>30198</v>
      </c>
      <c r="C100" s="60">
        <v>0.21</v>
      </c>
      <c r="D100" s="47">
        <v>50749.760000000002</v>
      </c>
      <c r="E100" s="47" t="s">
        <v>1839</v>
      </c>
      <c r="F100" s="47" t="s">
        <v>1839</v>
      </c>
      <c r="G100" s="48">
        <v>6.0299999999999999E-2</v>
      </c>
      <c r="H100" s="48">
        <v>6.0299999999999999E-2</v>
      </c>
      <c r="I100" s="48">
        <v>8.5331089606841021E-2</v>
      </c>
      <c r="K100" s="62">
        <v>0</v>
      </c>
      <c r="M100" s="64"/>
      <c r="N100" s="64"/>
    </row>
    <row r="101" spans="1:14" x14ac:dyDescent="0.25">
      <c r="A101" s="45" t="s">
        <v>169</v>
      </c>
      <c r="B101" s="46">
        <v>41709</v>
      </c>
      <c r="C101" s="60">
        <v>0.21</v>
      </c>
      <c r="D101" s="47">
        <v>70094.490000000005</v>
      </c>
      <c r="E101" s="47" t="s">
        <v>1839</v>
      </c>
      <c r="F101" s="47" t="s">
        <v>1839</v>
      </c>
      <c r="G101" s="48">
        <v>4.4499999999999998E-2</v>
      </c>
      <c r="H101" s="48">
        <v>4.4499999999999998E-2</v>
      </c>
      <c r="I101" s="48">
        <v>6.3524318519624784E-2</v>
      </c>
      <c r="K101" s="62">
        <v>0</v>
      </c>
      <c r="M101" s="64"/>
      <c r="N101" s="64"/>
    </row>
    <row r="102" spans="1:14" x14ac:dyDescent="0.25">
      <c r="A102" s="45" t="s">
        <v>170</v>
      </c>
      <c r="B102" s="46">
        <v>52183</v>
      </c>
      <c r="C102" s="60">
        <v>0.21</v>
      </c>
      <c r="D102" s="47">
        <v>87697.24</v>
      </c>
      <c r="E102" s="47" t="s">
        <v>1839</v>
      </c>
      <c r="F102" s="47" t="s">
        <v>1839</v>
      </c>
      <c r="G102" s="48">
        <v>4.7500000000000001E-2</v>
      </c>
      <c r="H102" s="48">
        <v>4.7500000000000001E-2</v>
      </c>
      <c r="I102" s="48">
        <v>6.7508350621597685E-2</v>
      </c>
      <c r="K102" s="62">
        <v>0</v>
      </c>
      <c r="M102" s="64"/>
      <c r="N102" s="64"/>
    </row>
    <row r="103" spans="1:14" x14ac:dyDescent="0.25">
      <c r="A103" s="45" t="s">
        <v>171</v>
      </c>
      <c r="B103" s="46">
        <v>71920</v>
      </c>
      <c r="C103" s="60">
        <v>0.21</v>
      </c>
      <c r="D103" s="47">
        <v>120865.04</v>
      </c>
      <c r="E103" s="47" t="s">
        <v>1839</v>
      </c>
      <c r="F103" s="47" t="s">
        <v>1839</v>
      </c>
      <c r="G103" s="48">
        <v>5.21E-2</v>
      </c>
      <c r="H103" s="48">
        <v>5.21E-2</v>
      </c>
      <c r="I103" s="48">
        <v>7.3122710284616727E-2</v>
      </c>
      <c r="K103" s="62">
        <v>0</v>
      </c>
      <c r="M103" s="64"/>
      <c r="N103" s="64"/>
    </row>
    <row r="104" spans="1:14" x14ac:dyDescent="0.25">
      <c r="A104" s="45" t="s">
        <v>172</v>
      </c>
      <c r="B104" s="46">
        <v>38500</v>
      </c>
      <c r="C104" s="60">
        <v>0.21</v>
      </c>
      <c r="D104" s="47" t="s">
        <v>1839</v>
      </c>
      <c r="E104" s="47" t="s">
        <v>1839</v>
      </c>
      <c r="F104" s="47" t="s">
        <v>1839</v>
      </c>
      <c r="G104" s="48">
        <v>0.15770000000000001</v>
      </c>
      <c r="H104" s="48">
        <v>0.15770000000000001</v>
      </c>
      <c r="I104" s="48">
        <v>0.20972008772886419</v>
      </c>
      <c r="K104" s="62">
        <v>0</v>
      </c>
      <c r="M104" s="64"/>
      <c r="N104" s="64"/>
    </row>
    <row r="105" spans="1:14" x14ac:dyDescent="0.25">
      <c r="A105" s="45" t="s">
        <v>173</v>
      </c>
      <c r="B105" s="46">
        <v>31500</v>
      </c>
      <c r="C105" s="60">
        <v>0.21</v>
      </c>
      <c r="D105" s="47" t="s">
        <v>1839</v>
      </c>
      <c r="E105" s="47" t="s">
        <v>1839</v>
      </c>
      <c r="F105" s="47" t="s">
        <v>1839</v>
      </c>
      <c r="G105" s="48">
        <v>0.1416</v>
      </c>
      <c r="H105" s="48">
        <v>0.1416</v>
      </c>
      <c r="I105" s="48">
        <v>0.19062339790474381</v>
      </c>
      <c r="K105" s="62">
        <v>0</v>
      </c>
      <c r="M105" s="64"/>
      <c r="N105" s="64"/>
    </row>
    <row r="106" spans="1:14" x14ac:dyDescent="0.25">
      <c r="A106" s="45" t="s">
        <v>174</v>
      </c>
      <c r="B106" s="46">
        <v>4025</v>
      </c>
      <c r="C106" s="60">
        <v>0.21</v>
      </c>
      <c r="D106" s="47" t="s">
        <v>1839</v>
      </c>
      <c r="E106" s="47" t="s">
        <v>1839</v>
      </c>
      <c r="F106" s="47" t="s">
        <v>1839</v>
      </c>
      <c r="G106" s="48">
        <v>8.9200000000000002E-2</v>
      </c>
      <c r="H106" s="48">
        <v>8.9200000000000002E-2</v>
      </c>
      <c r="I106" s="48">
        <v>0.13719192962689139</v>
      </c>
      <c r="K106" s="62">
        <v>0</v>
      </c>
      <c r="M106" s="64"/>
      <c r="N106" s="64"/>
    </row>
    <row r="107" spans="1:14" x14ac:dyDescent="0.25">
      <c r="A107" s="45" t="s">
        <v>175</v>
      </c>
      <c r="B107" s="46">
        <v>612500</v>
      </c>
      <c r="C107" s="60">
        <v>0.21</v>
      </c>
      <c r="D107" s="47" t="s">
        <v>1839</v>
      </c>
      <c r="E107" s="47" t="s">
        <v>1839</v>
      </c>
      <c r="F107" s="47" t="s">
        <v>1839</v>
      </c>
      <c r="G107" s="48">
        <v>0.09</v>
      </c>
      <c r="H107" s="48">
        <v>0.09</v>
      </c>
      <c r="I107" s="48">
        <v>0.13501558639209429</v>
      </c>
      <c r="K107" s="62">
        <v>0</v>
      </c>
      <c r="M107" s="64"/>
      <c r="N107" s="64"/>
    </row>
    <row r="108" spans="1:14" x14ac:dyDescent="0.25">
      <c r="A108" s="45" t="s">
        <v>176</v>
      </c>
      <c r="B108" s="46">
        <v>55825</v>
      </c>
      <c r="C108" s="60">
        <v>0.21</v>
      </c>
      <c r="D108" s="47" t="s">
        <v>1839</v>
      </c>
      <c r="E108" s="47" t="s">
        <v>1839</v>
      </c>
      <c r="F108" s="47" t="s">
        <v>1839</v>
      </c>
      <c r="G108" s="48">
        <v>0.16109999999999999</v>
      </c>
      <c r="H108" s="48">
        <v>0.16109999999999999</v>
      </c>
      <c r="I108" s="48">
        <v>0.2151205734591457</v>
      </c>
      <c r="K108" s="62">
        <v>0</v>
      </c>
      <c r="M108" s="64"/>
      <c r="N108" s="64"/>
    </row>
    <row r="109" spans="1:14" x14ac:dyDescent="0.25">
      <c r="A109" s="45" t="s">
        <v>177</v>
      </c>
      <c r="B109" s="46">
        <v>84700</v>
      </c>
      <c r="C109" s="60">
        <v>0.21</v>
      </c>
      <c r="D109" s="47" t="s">
        <v>1839</v>
      </c>
      <c r="E109" s="47" t="s">
        <v>1839</v>
      </c>
      <c r="F109" s="47" t="s">
        <v>1839</v>
      </c>
      <c r="G109" s="48">
        <v>0.16420000000000001</v>
      </c>
      <c r="H109" s="48">
        <v>0.16420000000000001</v>
      </c>
      <c r="I109" s="48">
        <v>0.21738395811236211</v>
      </c>
      <c r="K109" s="62">
        <v>0</v>
      </c>
      <c r="M109" s="64"/>
      <c r="N109" s="64"/>
    </row>
    <row r="110" spans="1:14" x14ac:dyDescent="0.25">
      <c r="A110" s="45" t="s">
        <v>178</v>
      </c>
      <c r="B110" s="46">
        <v>75845</v>
      </c>
      <c r="C110" s="60">
        <v>0.21</v>
      </c>
      <c r="D110" s="47" t="s">
        <v>1839</v>
      </c>
      <c r="E110" s="47" t="s">
        <v>1839</v>
      </c>
      <c r="F110" s="47" t="s">
        <v>1839</v>
      </c>
      <c r="G110" s="48">
        <v>3.5200000000000002E-2</v>
      </c>
      <c r="H110" s="48">
        <v>3.5200000000000002E-2</v>
      </c>
      <c r="I110" s="48">
        <v>4.9168367399263647E-2</v>
      </c>
      <c r="K110" s="62">
        <v>0</v>
      </c>
      <c r="M110" s="64"/>
      <c r="N110" s="64"/>
    </row>
    <row r="111" spans="1:14" x14ac:dyDescent="0.25">
      <c r="A111" s="45" t="s">
        <v>179</v>
      </c>
      <c r="B111" s="46">
        <v>76615</v>
      </c>
      <c r="C111" s="60">
        <v>0.21</v>
      </c>
      <c r="D111" s="47" t="s">
        <v>1839</v>
      </c>
      <c r="E111" s="47" t="s">
        <v>1839</v>
      </c>
      <c r="F111" s="47" t="s">
        <v>1839</v>
      </c>
      <c r="G111" s="48">
        <v>3.5099999999999999E-2</v>
      </c>
      <c r="H111" s="48">
        <v>3.5099999999999999E-2</v>
      </c>
      <c r="I111" s="48">
        <v>5.1394272654059117E-2</v>
      </c>
      <c r="K111" s="62">
        <v>0</v>
      </c>
      <c r="M111" s="64"/>
      <c r="N111" s="64"/>
    </row>
    <row r="112" spans="1:14" x14ac:dyDescent="0.25">
      <c r="A112" s="45" t="s">
        <v>180</v>
      </c>
      <c r="B112" s="46">
        <v>76615</v>
      </c>
      <c r="C112" s="60">
        <v>0.21</v>
      </c>
      <c r="D112" s="47" t="s">
        <v>1839</v>
      </c>
      <c r="E112" s="47" t="s">
        <v>1839</v>
      </c>
      <c r="F112" s="47" t="s">
        <v>1839</v>
      </c>
      <c r="G112" s="48">
        <v>3.4700000000000002E-2</v>
      </c>
      <c r="H112" s="48">
        <v>3.4700000000000002E-2</v>
      </c>
      <c r="I112" s="48">
        <v>5.0910518658232533E-2</v>
      </c>
      <c r="K112" s="62">
        <v>0</v>
      </c>
      <c r="M112" s="64"/>
      <c r="N112" s="64"/>
    </row>
    <row r="113" spans="1:14" x14ac:dyDescent="0.25">
      <c r="A113" s="45" t="s">
        <v>181</v>
      </c>
      <c r="B113" s="46">
        <v>50050</v>
      </c>
      <c r="C113" s="60">
        <v>0.21</v>
      </c>
      <c r="D113" s="47" t="s">
        <v>1839</v>
      </c>
      <c r="E113" s="47" t="s">
        <v>1839</v>
      </c>
      <c r="F113" s="47" t="s">
        <v>1839</v>
      </c>
      <c r="G113" s="48">
        <v>0.16009999999999999</v>
      </c>
      <c r="H113" s="48">
        <v>0.16009999999999999</v>
      </c>
      <c r="I113" s="48">
        <v>0.21212439444605119</v>
      </c>
      <c r="K113" s="62">
        <v>0</v>
      </c>
      <c r="M113" s="64"/>
      <c r="N113" s="64"/>
    </row>
    <row r="114" spans="1:14" x14ac:dyDescent="0.25">
      <c r="A114" s="45" t="s">
        <v>182</v>
      </c>
      <c r="B114" s="46">
        <v>51975</v>
      </c>
      <c r="C114" s="60">
        <v>0.21</v>
      </c>
      <c r="D114" s="47" t="s">
        <v>1839</v>
      </c>
      <c r="E114" s="47" t="s">
        <v>1839</v>
      </c>
      <c r="F114" s="47" t="s">
        <v>1839</v>
      </c>
      <c r="G114" s="48">
        <v>7.3300000000000004E-2</v>
      </c>
      <c r="H114" s="48">
        <v>7.3300000000000004E-2</v>
      </c>
      <c r="I114" s="48">
        <v>0.1153239844003158</v>
      </c>
      <c r="K114" s="62">
        <v>0</v>
      </c>
      <c r="M114" s="64"/>
      <c r="N114" s="64"/>
    </row>
    <row r="115" spans="1:14" x14ac:dyDescent="0.25">
      <c r="A115" s="45" t="s">
        <v>183</v>
      </c>
      <c r="B115" s="46">
        <v>58859.5</v>
      </c>
      <c r="C115" s="60">
        <v>0.21</v>
      </c>
      <c r="D115" s="47" t="s">
        <v>1839</v>
      </c>
      <c r="E115" s="47" t="s">
        <v>1839</v>
      </c>
      <c r="F115" s="47" t="s">
        <v>1839</v>
      </c>
      <c r="G115" s="48">
        <v>0.1603</v>
      </c>
      <c r="H115" s="48">
        <v>0.1603</v>
      </c>
      <c r="I115" s="48">
        <v>0.2133377517563379</v>
      </c>
      <c r="K115" s="62">
        <v>0</v>
      </c>
      <c r="M115" s="64"/>
      <c r="N115" s="64"/>
    </row>
    <row r="116" spans="1:14" x14ac:dyDescent="0.25">
      <c r="A116" s="45" t="s">
        <v>184</v>
      </c>
      <c r="B116" s="46">
        <v>77507.5</v>
      </c>
      <c r="C116" s="60">
        <v>0.21</v>
      </c>
      <c r="D116" s="47" t="s">
        <v>1839</v>
      </c>
      <c r="E116" s="47" t="s">
        <v>1839</v>
      </c>
      <c r="F116" s="47" t="s">
        <v>1839</v>
      </c>
      <c r="G116" s="48">
        <v>0.159</v>
      </c>
      <c r="H116" s="48">
        <v>0.159</v>
      </c>
      <c r="I116" s="48">
        <v>0.2100234161576503</v>
      </c>
      <c r="K116" s="62">
        <v>0</v>
      </c>
      <c r="M116" s="64"/>
      <c r="N116" s="64"/>
    </row>
    <row r="117" spans="1:14" x14ac:dyDescent="0.25">
      <c r="A117" s="45" t="s">
        <v>185</v>
      </c>
      <c r="B117" s="46">
        <v>74165</v>
      </c>
      <c r="C117" s="60">
        <v>0.21</v>
      </c>
      <c r="D117" s="47" t="s">
        <v>1839</v>
      </c>
      <c r="E117" s="47" t="s">
        <v>1839</v>
      </c>
      <c r="F117" s="47" t="s">
        <v>1839</v>
      </c>
      <c r="G117" s="48">
        <v>7.5800000000000006E-2</v>
      </c>
      <c r="H117" s="48">
        <v>7.5800000000000006E-2</v>
      </c>
      <c r="I117" s="48">
        <v>0.11780137006480849</v>
      </c>
      <c r="K117" s="62">
        <v>0</v>
      </c>
      <c r="M117" s="64"/>
      <c r="N117" s="64"/>
    </row>
    <row r="118" spans="1:14" x14ac:dyDescent="0.25">
      <c r="A118" s="45" t="s">
        <v>186</v>
      </c>
      <c r="B118" s="46">
        <v>55517</v>
      </c>
      <c r="C118" s="60">
        <v>0.21</v>
      </c>
      <c r="D118" s="47" t="s">
        <v>1839</v>
      </c>
      <c r="E118" s="47" t="s">
        <v>1839</v>
      </c>
      <c r="F118" s="47" t="s">
        <v>1839</v>
      </c>
      <c r="G118" s="48">
        <v>7.4499999999999997E-2</v>
      </c>
      <c r="H118" s="48">
        <v>7.4499999999999997E-2</v>
      </c>
      <c r="I118" s="48">
        <v>0.11749746327846811</v>
      </c>
      <c r="K118" s="62">
        <v>0</v>
      </c>
      <c r="M118" s="64"/>
      <c r="N118" s="64"/>
    </row>
    <row r="119" spans="1:14" x14ac:dyDescent="0.25">
      <c r="A119" s="45" t="s">
        <v>187</v>
      </c>
      <c r="B119" s="46">
        <v>87857</v>
      </c>
      <c r="C119" s="60">
        <v>0.21</v>
      </c>
      <c r="D119" s="47" t="s">
        <v>1839</v>
      </c>
      <c r="E119" s="47" t="s">
        <v>1839</v>
      </c>
      <c r="F119" s="47" t="s">
        <v>1839</v>
      </c>
      <c r="G119" s="48">
        <v>7.8100000000000003E-2</v>
      </c>
      <c r="H119" s="48">
        <v>7.8100000000000003E-2</v>
      </c>
      <c r="I119" s="48">
        <v>0.1210595490696853</v>
      </c>
      <c r="K119" s="62">
        <v>0</v>
      </c>
      <c r="M119" s="64"/>
      <c r="N119" s="64"/>
    </row>
    <row r="120" spans="1:14" x14ac:dyDescent="0.25">
      <c r="A120" s="45" t="s">
        <v>188</v>
      </c>
      <c r="B120" s="46">
        <v>55825</v>
      </c>
      <c r="C120" s="60">
        <v>0.21</v>
      </c>
      <c r="D120" s="47" t="s">
        <v>1839</v>
      </c>
      <c r="E120" s="47" t="s">
        <v>1839</v>
      </c>
      <c r="F120" s="47" t="s">
        <v>1839</v>
      </c>
      <c r="G120" s="48">
        <v>7.4300000000000005E-2</v>
      </c>
      <c r="H120" s="48">
        <v>7.4300000000000005E-2</v>
      </c>
      <c r="I120" s="48">
        <v>0.1163222130287131</v>
      </c>
      <c r="K120" s="62">
        <v>0</v>
      </c>
      <c r="M120" s="64"/>
      <c r="N120" s="64"/>
    </row>
    <row r="121" spans="1:14" x14ac:dyDescent="0.25">
      <c r="A121" s="45" t="s">
        <v>189</v>
      </c>
      <c r="B121" s="46">
        <v>53900</v>
      </c>
      <c r="C121" s="60">
        <v>0.21</v>
      </c>
      <c r="D121" s="47" t="s">
        <v>1839</v>
      </c>
      <c r="E121" s="47" t="s">
        <v>1839</v>
      </c>
      <c r="F121" s="47" t="s">
        <v>1839</v>
      </c>
      <c r="G121" s="48">
        <v>7.3899999999999993E-2</v>
      </c>
      <c r="H121" s="48">
        <v>7.3899999999999993E-2</v>
      </c>
      <c r="I121" s="48">
        <v>0.11594007145263389</v>
      </c>
      <c r="K121" s="62">
        <v>0</v>
      </c>
      <c r="M121" s="64"/>
      <c r="N121" s="64"/>
    </row>
    <row r="122" spans="1:14" x14ac:dyDescent="0.25">
      <c r="A122" s="45" t="s">
        <v>190</v>
      </c>
      <c r="B122" s="46">
        <v>234500</v>
      </c>
      <c r="C122" s="60">
        <v>0.21</v>
      </c>
      <c r="D122" s="47" t="s">
        <v>1839</v>
      </c>
      <c r="E122" s="47" t="s">
        <v>1839</v>
      </c>
      <c r="F122" s="47" t="s">
        <v>1839</v>
      </c>
      <c r="G122" s="48">
        <v>8.2199999999999995E-2</v>
      </c>
      <c r="H122" s="48">
        <v>8.2199999999999995E-2</v>
      </c>
      <c r="I122" s="48">
        <v>0.1251887352347045</v>
      </c>
      <c r="K122" s="62">
        <v>0</v>
      </c>
      <c r="M122" s="64"/>
      <c r="N122" s="64"/>
    </row>
    <row r="123" spans="1:14" x14ac:dyDescent="0.25">
      <c r="A123" s="45" t="s">
        <v>191</v>
      </c>
      <c r="B123" s="46">
        <v>85400</v>
      </c>
      <c r="C123" s="60">
        <v>0.21</v>
      </c>
      <c r="D123" s="47" t="s">
        <v>1839</v>
      </c>
      <c r="E123" s="47" t="s">
        <v>1839</v>
      </c>
      <c r="F123" s="47" t="s">
        <v>1839</v>
      </c>
      <c r="G123" s="48">
        <v>7.5700000000000003E-2</v>
      </c>
      <c r="H123" s="48">
        <v>7.5700000000000003E-2</v>
      </c>
      <c r="I123" s="48">
        <v>0.1177499348362164</v>
      </c>
      <c r="K123" s="62">
        <v>0</v>
      </c>
      <c r="M123" s="64"/>
      <c r="N123" s="64"/>
    </row>
    <row r="124" spans="1:14" x14ac:dyDescent="0.25">
      <c r="A124" s="45" t="s">
        <v>192</v>
      </c>
      <c r="B124" s="46">
        <v>122500</v>
      </c>
      <c r="C124" s="60">
        <v>0.21</v>
      </c>
      <c r="D124" s="47" t="s">
        <v>1839</v>
      </c>
      <c r="E124" s="47" t="s">
        <v>1839</v>
      </c>
      <c r="F124" s="47" t="s">
        <v>1839</v>
      </c>
      <c r="G124" s="48">
        <v>0.16400000000000001</v>
      </c>
      <c r="H124" s="48">
        <v>0.16400000000000001</v>
      </c>
      <c r="I124" s="48">
        <v>0.2185996434012866</v>
      </c>
      <c r="K124" s="62">
        <v>0</v>
      </c>
      <c r="M124" s="64"/>
      <c r="N124" s="64"/>
    </row>
    <row r="125" spans="1:14" x14ac:dyDescent="0.25">
      <c r="A125" s="45" t="s">
        <v>193</v>
      </c>
      <c r="B125" s="46">
        <v>59500</v>
      </c>
      <c r="C125" s="60">
        <v>0.21</v>
      </c>
      <c r="D125" s="47" t="s">
        <v>1839</v>
      </c>
      <c r="E125" s="47" t="s">
        <v>1839</v>
      </c>
      <c r="F125" s="47" t="s">
        <v>1839</v>
      </c>
      <c r="G125" s="48">
        <v>0.15939999999999999</v>
      </c>
      <c r="H125" s="48">
        <v>0.15939999999999999</v>
      </c>
      <c r="I125" s="48">
        <v>0.21191049810687329</v>
      </c>
      <c r="K125" s="62">
        <v>0</v>
      </c>
      <c r="M125" s="64"/>
      <c r="N125" s="64"/>
    </row>
    <row r="126" spans="1:14" x14ac:dyDescent="0.25">
      <c r="A126" s="45" t="s">
        <v>194</v>
      </c>
      <c r="B126" s="46">
        <v>19313</v>
      </c>
      <c r="C126" s="60">
        <v>0.21</v>
      </c>
      <c r="D126" s="47" t="s">
        <v>1839</v>
      </c>
      <c r="E126" s="47" t="s">
        <v>1839</v>
      </c>
      <c r="F126" s="47" t="s">
        <v>1839</v>
      </c>
      <c r="G126" s="48">
        <v>0.16159999999999999</v>
      </c>
      <c r="H126" s="48">
        <v>0.16159999999999999</v>
      </c>
      <c r="I126" s="48">
        <v>0.22028598844633571</v>
      </c>
      <c r="K126" s="62">
        <v>0</v>
      </c>
      <c r="M126" s="64"/>
      <c r="N126" s="64"/>
    </row>
    <row r="127" spans="1:14" x14ac:dyDescent="0.25">
      <c r="A127" s="45" t="s">
        <v>195</v>
      </c>
      <c r="B127" s="46">
        <v>19313</v>
      </c>
      <c r="C127" s="60">
        <v>0.21</v>
      </c>
      <c r="D127" s="47" t="s">
        <v>1839</v>
      </c>
      <c r="E127" s="47" t="s">
        <v>1839</v>
      </c>
      <c r="F127" s="47" t="s">
        <v>1839</v>
      </c>
      <c r="G127" s="48">
        <v>0.16</v>
      </c>
      <c r="H127" s="48">
        <v>0.16</v>
      </c>
      <c r="I127" s="48">
        <v>0.2132858385742139</v>
      </c>
      <c r="K127" s="62">
        <v>0</v>
      </c>
      <c r="M127" s="64"/>
      <c r="N127" s="64"/>
    </row>
    <row r="128" spans="1:14" x14ac:dyDescent="0.25">
      <c r="A128" s="45" t="s">
        <v>196</v>
      </c>
      <c r="B128" s="46">
        <v>19313</v>
      </c>
      <c r="C128" s="60">
        <v>0.21</v>
      </c>
      <c r="D128" s="47" t="s">
        <v>1839</v>
      </c>
      <c r="E128" s="47" t="s">
        <v>1839</v>
      </c>
      <c r="F128" s="47" t="s">
        <v>1839</v>
      </c>
      <c r="G128" s="48">
        <v>0.193</v>
      </c>
      <c r="H128" s="48">
        <v>0.193</v>
      </c>
      <c r="I128" s="48">
        <v>0.22028598844633571</v>
      </c>
      <c r="K128" s="62">
        <v>0</v>
      </c>
      <c r="M128" s="64"/>
      <c r="N128" s="64"/>
    </row>
    <row r="129" spans="1:14" x14ac:dyDescent="0.25">
      <c r="A129" s="45" t="s">
        <v>197</v>
      </c>
      <c r="B129" s="46">
        <v>33309.5</v>
      </c>
      <c r="C129" s="60">
        <v>0.21</v>
      </c>
      <c r="D129" s="47" t="s">
        <v>1839</v>
      </c>
      <c r="E129" s="47" t="s">
        <v>1839</v>
      </c>
      <c r="F129" s="47" t="s">
        <v>1839</v>
      </c>
      <c r="G129" s="48">
        <v>7.0000000000000007E-2</v>
      </c>
      <c r="H129" s="48">
        <v>7.0000000000000007E-2</v>
      </c>
      <c r="I129" s="48">
        <v>0.11296336143333981</v>
      </c>
      <c r="K129" s="62">
        <v>0</v>
      </c>
      <c r="M129" s="64"/>
      <c r="N129" s="64"/>
    </row>
    <row r="130" spans="1:14" x14ac:dyDescent="0.25">
      <c r="A130" s="45" t="s">
        <v>198</v>
      </c>
      <c r="B130" s="46">
        <v>36820</v>
      </c>
      <c r="C130" s="60">
        <v>0.21</v>
      </c>
      <c r="D130" s="47" t="s">
        <v>1839</v>
      </c>
      <c r="E130" s="47" t="s">
        <v>1839</v>
      </c>
      <c r="F130" s="47" t="s">
        <v>1839</v>
      </c>
      <c r="G130" s="48">
        <v>0.15770000000000001</v>
      </c>
      <c r="H130" s="48">
        <v>0.15770000000000001</v>
      </c>
      <c r="I130" s="48">
        <v>0.21071986022934519</v>
      </c>
      <c r="K130" s="62">
        <v>0</v>
      </c>
      <c r="M130" s="64"/>
      <c r="N130" s="64"/>
    </row>
    <row r="131" spans="1:14" x14ac:dyDescent="0.25">
      <c r="A131" s="45" t="s">
        <v>199</v>
      </c>
      <c r="B131" s="46">
        <v>104300</v>
      </c>
      <c r="C131" s="60">
        <v>0.21</v>
      </c>
      <c r="D131" s="47" t="s">
        <v>1839</v>
      </c>
      <c r="E131" s="47" t="s">
        <v>1839</v>
      </c>
      <c r="F131" s="47" t="s">
        <v>1839</v>
      </c>
      <c r="G131" s="48">
        <v>0.16450000000000001</v>
      </c>
      <c r="H131" s="48">
        <v>0.16450000000000001</v>
      </c>
      <c r="I131" s="48">
        <v>0.2174629083791759</v>
      </c>
      <c r="K131" s="62">
        <v>0</v>
      </c>
      <c r="M131" s="64"/>
      <c r="N131" s="64"/>
    </row>
    <row r="132" spans="1:14" x14ac:dyDescent="0.25">
      <c r="A132" s="45" t="s">
        <v>200</v>
      </c>
      <c r="B132" s="46">
        <v>104300</v>
      </c>
      <c r="C132" s="60">
        <v>0.21</v>
      </c>
      <c r="D132" s="47" t="s">
        <v>1839</v>
      </c>
      <c r="E132" s="47" t="s">
        <v>1839</v>
      </c>
      <c r="F132" s="47" t="s">
        <v>1839</v>
      </c>
      <c r="G132" s="48">
        <v>6.7199999999999996E-2</v>
      </c>
      <c r="H132" s="48">
        <v>6.7199999999999996E-2</v>
      </c>
      <c r="I132" s="48">
        <v>9.4892348571193982E-2</v>
      </c>
      <c r="K132" s="62">
        <v>0</v>
      </c>
      <c r="M132" s="64"/>
      <c r="N132" s="64"/>
    </row>
    <row r="133" spans="1:14" x14ac:dyDescent="0.25">
      <c r="A133" s="45" t="s">
        <v>201</v>
      </c>
      <c r="B133" s="46">
        <v>73150</v>
      </c>
      <c r="C133" s="60">
        <v>0.21</v>
      </c>
      <c r="D133" s="47" t="s">
        <v>1839</v>
      </c>
      <c r="E133" s="47" t="s">
        <v>1839</v>
      </c>
      <c r="F133" s="47" t="s">
        <v>1839</v>
      </c>
      <c r="G133" s="48">
        <v>0.15959999999999999</v>
      </c>
      <c r="H133" s="48">
        <v>0.15959999999999999</v>
      </c>
      <c r="I133" s="48">
        <v>0.21156509355156369</v>
      </c>
      <c r="K133" s="62">
        <v>0</v>
      </c>
      <c r="M133" s="64"/>
      <c r="N133" s="64"/>
    </row>
    <row r="134" spans="1:14" x14ac:dyDescent="0.25">
      <c r="A134" s="45" t="s">
        <v>202</v>
      </c>
      <c r="B134" s="46">
        <v>20629</v>
      </c>
      <c r="C134" s="60">
        <v>0.21</v>
      </c>
      <c r="D134" s="47" t="s">
        <v>1839</v>
      </c>
      <c r="E134" s="47" t="s">
        <v>1839</v>
      </c>
      <c r="F134" s="47" t="s">
        <v>1839</v>
      </c>
      <c r="G134" s="48">
        <v>0.15970000000000001</v>
      </c>
      <c r="H134" s="48">
        <v>0.15970000000000001</v>
      </c>
      <c r="I134" s="48">
        <v>0.2129859186045395</v>
      </c>
      <c r="K134" s="62">
        <v>0</v>
      </c>
      <c r="M134" s="64"/>
      <c r="N134" s="64"/>
    </row>
    <row r="135" spans="1:14" x14ac:dyDescent="0.25">
      <c r="A135" s="45" t="s">
        <v>203</v>
      </c>
      <c r="B135" s="46">
        <v>9859.5</v>
      </c>
      <c r="C135" s="60">
        <v>0.105</v>
      </c>
      <c r="D135" s="47" t="s">
        <v>1839</v>
      </c>
      <c r="E135" s="47" t="s">
        <v>1839</v>
      </c>
      <c r="F135" s="47" t="s">
        <v>1839</v>
      </c>
      <c r="G135" s="48">
        <v>0.16289999999999999</v>
      </c>
      <c r="H135" s="48">
        <v>0.16289999999999999</v>
      </c>
      <c r="I135" s="48">
        <v>0.24384901449533991</v>
      </c>
      <c r="K135" s="62">
        <v>0</v>
      </c>
      <c r="M135" s="64"/>
      <c r="N135" s="64"/>
    </row>
    <row r="136" spans="1:14" x14ac:dyDescent="0.25">
      <c r="A136" s="45" t="s">
        <v>204</v>
      </c>
      <c r="B136" s="46">
        <v>11917.5</v>
      </c>
      <c r="C136" s="60">
        <v>0.105</v>
      </c>
      <c r="D136" s="47" t="s">
        <v>1839</v>
      </c>
      <c r="E136" s="47" t="s">
        <v>1839</v>
      </c>
      <c r="F136" s="47" t="s">
        <v>1839</v>
      </c>
      <c r="G136" s="48">
        <v>9.1999999999999998E-2</v>
      </c>
      <c r="H136" s="48">
        <v>9.1999999999999998E-2</v>
      </c>
      <c r="I136" s="48">
        <v>0.14601535511320859</v>
      </c>
      <c r="K136" s="62">
        <v>0</v>
      </c>
      <c r="M136" s="64"/>
      <c r="N136" s="64"/>
    </row>
    <row r="137" spans="1:14" x14ac:dyDescent="0.25">
      <c r="A137" s="45" t="s">
        <v>205</v>
      </c>
      <c r="B137" s="46">
        <v>23310</v>
      </c>
      <c r="C137" s="60">
        <v>0.21</v>
      </c>
      <c r="D137" s="47" t="s">
        <v>1839</v>
      </c>
      <c r="E137" s="47" t="s">
        <v>1839</v>
      </c>
      <c r="F137" s="47" t="s">
        <v>1839</v>
      </c>
      <c r="G137" s="48">
        <v>0.16980000000000001</v>
      </c>
      <c r="H137" s="48">
        <v>0.16980000000000001</v>
      </c>
      <c r="I137" s="48">
        <v>0.23341069155482319</v>
      </c>
      <c r="K137" s="62">
        <v>0</v>
      </c>
      <c r="M137" s="64"/>
      <c r="N137" s="64"/>
    </row>
    <row r="138" spans="1:14" x14ac:dyDescent="0.25">
      <c r="A138" s="45" t="s">
        <v>206</v>
      </c>
      <c r="B138" s="46">
        <v>74973.5</v>
      </c>
      <c r="C138" s="60">
        <v>0.21</v>
      </c>
      <c r="D138" s="47" t="s">
        <v>1839</v>
      </c>
      <c r="E138" s="47" t="s">
        <v>1839</v>
      </c>
      <c r="F138" s="47" t="s">
        <v>1839</v>
      </c>
      <c r="G138" s="48">
        <v>5.1700000000000003E-2</v>
      </c>
      <c r="H138" s="48">
        <v>5.1700000000000003E-2</v>
      </c>
      <c r="I138" s="48">
        <v>7.3695945685100656E-2</v>
      </c>
      <c r="K138" s="62">
        <v>0</v>
      </c>
      <c r="M138" s="64"/>
      <c r="N138" s="64"/>
    </row>
    <row r="139" spans="1:14" x14ac:dyDescent="0.25">
      <c r="A139" s="45" t="s">
        <v>207</v>
      </c>
      <c r="B139" s="46">
        <v>287000</v>
      </c>
      <c r="C139" s="60">
        <v>0.21</v>
      </c>
      <c r="D139" s="47" t="s">
        <v>1839</v>
      </c>
      <c r="E139" s="47" t="s">
        <v>1839</v>
      </c>
      <c r="F139" s="47" t="s">
        <v>1839</v>
      </c>
      <c r="G139" s="48">
        <v>0.15670000000000001</v>
      </c>
      <c r="H139" s="48">
        <v>0.15670000000000001</v>
      </c>
      <c r="I139" s="48">
        <v>0.2057469047544786</v>
      </c>
      <c r="K139" s="62">
        <v>0</v>
      </c>
      <c r="M139" s="64"/>
      <c r="N139" s="64"/>
    </row>
    <row r="140" spans="1:14" x14ac:dyDescent="0.25">
      <c r="A140" s="45" t="s">
        <v>208</v>
      </c>
      <c r="B140" s="46">
        <v>82250</v>
      </c>
      <c r="C140" s="60">
        <v>0.21</v>
      </c>
      <c r="D140" s="47" t="s">
        <v>1839</v>
      </c>
      <c r="E140" s="47" t="s">
        <v>1839</v>
      </c>
      <c r="F140" s="47" t="s">
        <v>1839</v>
      </c>
      <c r="G140" s="48">
        <v>0.15959999999999999</v>
      </c>
      <c r="H140" s="48">
        <v>0.15959999999999999</v>
      </c>
      <c r="I140" s="48">
        <v>0.21156770489715029</v>
      </c>
      <c r="K140" s="62">
        <v>0</v>
      </c>
      <c r="M140" s="64"/>
      <c r="N140" s="64"/>
    </row>
    <row r="141" spans="1:14" x14ac:dyDescent="0.25">
      <c r="A141" s="45" t="s">
        <v>209</v>
      </c>
      <c r="B141" s="46">
        <v>4441.5</v>
      </c>
      <c r="C141" s="60">
        <v>0.21</v>
      </c>
      <c r="D141" s="47" t="s">
        <v>1839</v>
      </c>
      <c r="E141" s="47" t="s">
        <v>1839</v>
      </c>
      <c r="F141" s="47" t="s">
        <v>1839</v>
      </c>
      <c r="G141" s="48">
        <v>0.17219999999999999</v>
      </c>
      <c r="H141" s="48">
        <v>0.17219999999999999</v>
      </c>
      <c r="I141" s="48">
        <v>0.2478228129658144</v>
      </c>
      <c r="K141" s="62">
        <v>0</v>
      </c>
      <c r="M141" s="64"/>
      <c r="N141" s="64"/>
    </row>
    <row r="142" spans="1:14" x14ac:dyDescent="0.25">
      <c r="A142" s="45" t="s">
        <v>210</v>
      </c>
      <c r="B142" s="46">
        <v>4441.5</v>
      </c>
      <c r="C142" s="60">
        <v>0.21</v>
      </c>
      <c r="D142" s="47" t="s">
        <v>1839</v>
      </c>
      <c r="E142" s="47" t="s">
        <v>1839</v>
      </c>
      <c r="F142" s="47" t="s">
        <v>1839</v>
      </c>
      <c r="G142" s="48">
        <v>0.17219999999999999</v>
      </c>
      <c r="H142" s="48">
        <v>0.17219999999999999</v>
      </c>
      <c r="I142" s="48">
        <v>0.2478228129658144</v>
      </c>
      <c r="K142" s="62">
        <v>0</v>
      </c>
      <c r="M142" s="64"/>
      <c r="N142" s="64"/>
    </row>
    <row r="143" spans="1:14" x14ac:dyDescent="0.25">
      <c r="A143" s="45" t="s">
        <v>211</v>
      </c>
      <c r="B143" s="46">
        <v>6895</v>
      </c>
      <c r="C143" s="60">
        <v>0.21</v>
      </c>
      <c r="D143" s="47" t="s">
        <v>1839</v>
      </c>
      <c r="E143" s="47" t="s">
        <v>1839</v>
      </c>
      <c r="F143" s="47" t="s">
        <v>1839</v>
      </c>
      <c r="G143" s="48">
        <v>9.3100000000000002E-2</v>
      </c>
      <c r="H143" s="48">
        <v>9.3100000000000002E-2</v>
      </c>
      <c r="I143" s="48">
        <v>0.15507905964559771</v>
      </c>
      <c r="K143" s="62">
        <v>0</v>
      </c>
      <c r="M143" s="64"/>
      <c r="N143" s="64"/>
    </row>
    <row r="144" spans="1:14" x14ac:dyDescent="0.25">
      <c r="A144" s="45" t="s">
        <v>212</v>
      </c>
      <c r="B144" s="46">
        <v>10958.5</v>
      </c>
      <c r="C144" s="60">
        <v>0.21</v>
      </c>
      <c r="D144" s="47" t="s">
        <v>1839</v>
      </c>
      <c r="E144" s="47" t="s">
        <v>1839</v>
      </c>
      <c r="F144" s="47" t="s">
        <v>1839</v>
      </c>
      <c r="G144" s="48">
        <v>9.6000000000000002E-2</v>
      </c>
      <c r="H144" s="48">
        <v>9.6000000000000002E-2</v>
      </c>
      <c r="I144" s="48">
        <v>0.15402643138826</v>
      </c>
      <c r="K144" s="62">
        <v>0</v>
      </c>
      <c r="M144" s="64"/>
      <c r="N144" s="64"/>
    </row>
    <row r="145" spans="1:14" x14ac:dyDescent="0.25">
      <c r="A145" s="45" t="s">
        <v>213</v>
      </c>
      <c r="B145" s="46">
        <v>9467.5</v>
      </c>
      <c r="C145" s="60">
        <v>0.21</v>
      </c>
      <c r="D145" s="47" t="s">
        <v>1839</v>
      </c>
      <c r="E145" s="47" t="s">
        <v>1839</v>
      </c>
      <c r="F145" s="47" t="s">
        <v>1839</v>
      </c>
      <c r="G145" s="48">
        <v>0.10290000000000001</v>
      </c>
      <c r="H145" s="48">
        <v>0.10290000000000001</v>
      </c>
      <c r="I145" s="48">
        <v>0.16590486662029499</v>
      </c>
      <c r="K145" s="62">
        <v>0</v>
      </c>
      <c r="M145" s="64"/>
      <c r="N145" s="64"/>
    </row>
    <row r="146" spans="1:14" x14ac:dyDescent="0.25">
      <c r="A146" s="45" t="s">
        <v>214</v>
      </c>
      <c r="B146" s="46">
        <v>4396</v>
      </c>
      <c r="C146" s="60">
        <v>0.21</v>
      </c>
      <c r="D146" s="47" t="s">
        <v>1839</v>
      </c>
      <c r="E146" s="47" t="s">
        <v>1839</v>
      </c>
      <c r="F146" s="47" t="s">
        <v>1839</v>
      </c>
      <c r="G146" s="48">
        <v>0.17080000000000001</v>
      </c>
      <c r="H146" s="48">
        <v>0.17080000000000001</v>
      </c>
      <c r="I146" s="48">
        <v>0.24669989251039581</v>
      </c>
      <c r="K146" s="62">
        <v>0</v>
      </c>
      <c r="M146" s="64"/>
      <c r="N146" s="64"/>
    </row>
    <row r="147" spans="1:14" x14ac:dyDescent="0.25">
      <c r="A147" s="45" t="s">
        <v>215</v>
      </c>
      <c r="B147" s="46">
        <v>5596.5</v>
      </c>
      <c r="C147" s="60">
        <v>0.21</v>
      </c>
      <c r="D147" s="47" t="s">
        <v>1839</v>
      </c>
      <c r="E147" s="47" t="s">
        <v>1839</v>
      </c>
      <c r="F147" s="47" t="s">
        <v>1839</v>
      </c>
      <c r="G147" s="48">
        <v>0.16830000000000001</v>
      </c>
      <c r="H147" s="48">
        <v>0.16830000000000001</v>
      </c>
      <c r="I147" s="48">
        <v>0.25453682289977297</v>
      </c>
      <c r="K147" s="62">
        <v>0</v>
      </c>
      <c r="M147" s="64"/>
      <c r="N147" s="64"/>
    </row>
    <row r="148" spans="1:14" x14ac:dyDescent="0.25">
      <c r="A148" s="45" t="s">
        <v>216</v>
      </c>
      <c r="B148" s="46">
        <v>2957.5</v>
      </c>
      <c r="C148" s="60">
        <v>0.21</v>
      </c>
      <c r="D148" s="47" t="s">
        <v>1839</v>
      </c>
      <c r="E148" s="47" t="s">
        <v>1839</v>
      </c>
      <c r="F148" s="47" t="s">
        <v>1839</v>
      </c>
      <c r="G148" s="48">
        <v>8.3900000000000002E-2</v>
      </c>
      <c r="H148" s="48">
        <v>8.3900000000000002E-2</v>
      </c>
      <c r="I148" s="48">
        <v>0.13192185051494151</v>
      </c>
      <c r="K148" s="62">
        <v>0</v>
      </c>
      <c r="M148" s="64"/>
      <c r="N148" s="64"/>
    </row>
    <row r="149" spans="1:14" x14ac:dyDescent="0.25">
      <c r="A149" s="45" t="s">
        <v>217</v>
      </c>
      <c r="B149" s="46">
        <v>5015.5</v>
      </c>
      <c r="C149" s="60">
        <v>0.21</v>
      </c>
      <c r="D149" s="47" t="s">
        <v>1839</v>
      </c>
      <c r="E149" s="47" t="s">
        <v>1839</v>
      </c>
      <c r="F149" s="47" t="s">
        <v>1839</v>
      </c>
      <c r="G149" s="48">
        <v>0.17460000000000001</v>
      </c>
      <c r="H149" s="48">
        <v>0.17460000000000001</v>
      </c>
      <c r="I149" s="48">
        <v>0.25962054082684383</v>
      </c>
      <c r="K149" s="62">
        <v>0</v>
      </c>
      <c r="M149" s="64"/>
      <c r="N149" s="64"/>
    </row>
    <row r="150" spans="1:14" x14ac:dyDescent="0.25">
      <c r="A150" s="45" t="s">
        <v>218</v>
      </c>
      <c r="B150" s="46">
        <v>5586</v>
      </c>
      <c r="C150" s="60">
        <v>0.21</v>
      </c>
      <c r="D150" s="47" t="s">
        <v>1839</v>
      </c>
      <c r="E150" s="47" t="s">
        <v>1839</v>
      </c>
      <c r="F150" s="47" t="s">
        <v>1839</v>
      </c>
      <c r="G150" s="48">
        <v>0.16830000000000001</v>
      </c>
      <c r="H150" s="48">
        <v>0.16830000000000001</v>
      </c>
      <c r="I150" s="48">
        <v>0.25455071962200748</v>
      </c>
      <c r="K150" s="62">
        <v>0</v>
      </c>
      <c r="M150" s="64"/>
      <c r="N150" s="64"/>
    </row>
    <row r="151" spans="1:14" x14ac:dyDescent="0.25">
      <c r="A151" s="45" t="s">
        <v>219</v>
      </c>
      <c r="B151" s="46">
        <v>26600</v>
      </c>
      <c r="C151" s="60">
        <v>0.21</v>
      </c>
      <c r="D151" s="47" t="s">
        <v>1839</v>
      </c>
      <c r="E151" s="47" t="s">
        <v>1839</v>
      </c>
      <c r="F151" s="47" t="s">
        <v>1839</v>
      </c>
      <c r="G151" s="48">
        <v>0.16350000000000001</v>
      </c>
      <c r="H151" s="48">
        <v>0.16350000000000001</v>
      </c>
      <c r="I151" s="48">
        <v>0.21948630806041619</v>
      </c>
      <c r="K151" s="62">
        <v>0</v>
      </c>
      <c r="M151" s="64"/>
      <c r="N151" s="64"/>
    </row>
    <row r="152" spans="1:14" x14ac:dyDescent="0.25">
      <c r="A152" s="45" t="s">
        <v>220</v>
      </c>
      <c r="B152" s="46">
        <v>26600</v>
      </c>
      <c r="C152" s="60">
        <v>0.21</v>
      </c>
      <c r="D152" s="47" t="s">
        <v>1839</v>
      </c>
      <c r="E152" s="47" t="s">
        <v>1839</v>
      </c>
      <c r="F152" s="47" t="s">
        <v>1839</v>
      </c>
      <c r="G152" s="48">
        <v>0.1678</v>
      </c>
      <c r="H152" s="48">
        <v>0.1678</v>
      </c>
      <c r="I152" s="48">
        <v>0.22680150860570741</v>
      </c>
      <c r="K152" s="62">
        <v>0</v>
      </c>
      <c r="M152" s="64"/>
      <c r="N152" s="64"/>
    </row>
    <row r="153" spans="1:14" x14ac:dyDescent="0.25">
      <c r="A153" s="45" t="s">
        <v>221</v>
      </c>
      <c r="B153" s="46">
        <v>143500</v>
      </c>
      <c r="C153" s="60">
        <v>0.21</v>
      </c>
      <c r="D153" s="47" t="s">
        <v>1839</v>
      </c>
      <c r="E153" s="47" t="s">
        <v>1839</v>
      </c>
      <c r="F153" s="47" t="s">
        <v>1839</v>
      </c>
      <c r="G153" s="48">
        <v>0.1636</v>
      </c>
      <c r="H153" s="48">
        <v>0.1636</v>
      </c>
      <c r="I153" s="48">
        <v>0.2171272788056271</v>
      </c>
      <c r="K153" s="62">
        <v>0</v>
      </c>
      <c r="M153" s="64"/>
      <c r="N153" s="64"/>
    </row>
    <row r="154" spans="1:14" x14ac:dyDescent="0.25">
      <c r="A154" s="45" t="s">
        <v>222</v>
      </c>
      <c r="B154" s="46">
        <v>38500</v>
      </c>
      <c r="C154" s="60">
        <v>0.21</v>
      </c>
      <c r="D154" s="47" t="s">
        <v>1839</v>
      </c>
      <c r="E154" s="47" t="s">
        <v>1839</v>
      </c>
      <c r="F154" s="47" t="s">
        <v>1839</v>
      </c>
      <c r="G154" s="48">
        <v>6.83E-2</v>
      </c>
      <c r="H154" s="48">
        <v>6.83E-2</v>
      </c>
      <c r="I154" s="48">
        <v>0.1092580083861292</v>
      </c>
      <c r="K154" s="62">
        <v>0</v>
      </c>
      <c r="M154" s="64"/>
      <c r="N154" s="64"/>
    </row>
    <row r="155" spans="1:14" x14ac:dyDescent="0.25">
      <c r="A155" s="45" t="s">
        <v>223</v>
      </c>
      <c r="B155" s="46">
        <v>12390</v>
      </c>
      <c r="C155" s="60">
        <v>0.21</v>
      </c>
      <c r="D155" s="47" t="s">
        <v>1839</v>
      </c>
      <c r="E155" s="47" t="s">
        <v>1839</v>
      </c>
      <c r="F155" s="47" t="s">
        <v>1839</v>
      </c>
      <c r="G155" s="48">
        <v>3.9E-2</v>
      </c>
      <c r="H155" s="48">
        <v>3.9E-2</v>
      </c>
      <c r="I155" s="48">
        <v>5.802014939357087E-2</v>
      </c>
      <c r="K155" s="62">
        <v>0</v>
      </c>
      <c r="M155" s="64"/>
      <c r="N155" s="64"/>
    </row>
    <row r="156" spans="1:14" x14ac:dyDescent="0.25">
      <c r="A156" s="45" t="s">
        <v>224</v>
      </c>
      <c r="B156" s="46">
        <v>12390</v>
      </c>
      <c r="C156" s="60">
        <v>0.21</v>
      </c>
      <c r="D156" s="47" t="s">
        <v>1839</v>
      </c>
      <c r="E156" s="47" t="s">
        <v>1839</v>
      </c>
      <c r="F156" s="47" t="s">
        <v>1839</v>
      </c>
      <c r="G156" s="48">
        <v>8.9300000000000004E-2</v>
      </c>
      <c r="H156" s="48">
        <v>8.9300000000000004E-2</v>
      </c>
      <c r="I156" s="48">
        <v>0.14228583672868919</v>
      </c>
      <c r="K156" s="62">
        <v>0</v>
      </c>
      <c r="M156" s="64"/>
      <c r="N156" s="64"/>
    </row>
    <row r="157" spans="1:14" x14ac:dyDescent="0.25">
      <c r="A157" s="45" t="s">
        <v>225</v>
      </c>
      <c r="B157" s="46">
        <v>12390</v>
      </c>
      <c r="C157" s="60">
        <v>0.21</v>
      </c>
      <c r="D157" s="47" t="s">
        <v>1839</v>
      </c>
      <c r="E157" s="47" t="s">
        <v>1839</v>
      </c>
      <c r="F157" s="47" t="s">
        <v>1839</v>
      </c>
      <c r="G157" s="48">
        <v>8.4000000000000005E-2</v>
      </c>
      <c r="H157" s="48">
        <v>8.4000000000000005E-2</v>
      </c>
      <c r="I157" s="48">
        <v>0.13501977061917089</v>
      </c>
      <c r="K157" s="62">
        <v>0</v>
      </c>
      <c r="M157" s="64"/>
      <c r="N157" s="64"/>
    </row>
    <row r="158" spans="1:14" x14ac:dyDescent="0.25">
      <c r="A158" s="45" t="s">
        <v>226</v>
      </c>
      <c r="B158" s="46">
        <v>12390</v>
      </c>
      <c r="C158" s="60">
        <v>0.21</v>
      </c>
      <c r="D158" s="47" t="s">
        <v>1839</v>
      </c>
      <c r="E158" s="47" t="s">
        <v>1839</v>
      </c>
      <c r="F158" s="47" t="s">
        <v>1839</v>
      </c>
      <c r="G158" s="48">
        <v>8.9300000000000004E-2</v>
      </c>
      <c r="H158" s="48">
        <v>8.9300000000000004E-2</v>
      </c>
      <c r="I158" s="48">
        <v>0.14228583672868919</v>
      </c>
      <c r="K158" s="62">
        <v>0</v>
      </c>
      <c r="M158" s="64"/>
      <c r="N158" s="64"/>
    </row>
    <row r="159" spans="1:14" x14ac:dyDescent="0.25">
      <c r="A159" s="45" t="s">
        <v>227</v>
      </c>
      <c r="B159" s="46">
        <v>12390</v>
      </c>
      <c r="C159" s="60">
        <v>0.21</v>
      </c>
      <c r="D159" s="47" t="s">
        <v>1839</v>
      </c>
      <c r="E159" s="47" t="s">
        <v>1839</v>
      </c>
      <c r="F159" s="47" t="s">
        <v>1839</v>
      </c>
      <c r="G159" s="48">
        <v>0.16070000000000001</v>
      </c>
      <c r="H159" s="48">
        <v>0.16070000000000001</v>
      </c>
      <c r="I159" s="48">
        <v>0.22272099927174319</v>
      </c>
      <c r="K159" s="62">
        <v>0</v>
      </c>
      <c r="M159" s="64"/>
      <c r="N159" s="64"/>
    </row>
    <row r="160" spans="1:14" x14ac:dyDescent="0.25">
      <c r="A160" s="45" t="s">
        <v>228</v>
      </c>
      <c r="B160" s="46">
        <v>55695.5</v>
      </c>
      <c r="C160" s="60">
        <v>0.21</v>
      </c>
      <c r="D160" s="47" t="s">
        <v>1839</v>
      </c>
      <c r="E160" s="47" t="s">
        <v>1839</v>
      </c>
      <c r="F160" s="47" t="s">
        <v>1839</v>
      </c>
      <c r="G160" s="48">
        <v>0.15720000000000001</v>
      </c>
      <c r="H160" s="48">
        <v>0.15720000000000001</v>
      </c>
      <c r="I160" s="48">
        <v>0.2082205154974206</v>
      </c>
      <c r="K160" s="62">
        <v>0</v>
      </c>
      <c r="M160" s="64"/>
      <c r="N160" s="64"/>
    </row>
    <row r="161" spans="1:14" x14ac:dyDescent="0.25">
      <c r="A161" s="45" t="s">
        <v>229</v>
      </c>
      <c r="B161" s="46">
        <v>62377</v>
      </c>
      <c r="C161" s="60">
        <v>0.21</v>
      </c>
      <c r="D161" s="47" t="s">
        <v>1839</v>
      </c>
      <c r="E161" s="47" t="s">
        <v>1839</v>
      </c>
      <c r="F161" s="47" t="s">
        <v>1839</v>
      </c>
      <c r="G161" s="48">
        <v>0.15709999999999999</v>
      </c>
      <c r="H161" s="48">
        <v>0.15709999999999999</v>
      </c>
      <c r="I161" s="48">
        <v>0.2081202205442457</v>
      </c>
      <c r="K161" s="62">
        <v>0</v>
      </c>
      <c r="M161" s="64"/>
      <c r="N161" s="64"/>
    </row>
    <row r="162" spans="1:14" x14ac:dyDescent="0.25">
      <c r="A162" s="45" t="s">
        <v>230</v>
      </c>
      <c r="B162" s="46">
        <v>12120.5</v>
      </c>
      <c r="C162" s="60">
        <v>0.21</v>
      </c>
      <c r="D162" s="47" t="s">
        <v>1839</v>
      </c>
      <c r="E162" s="47" t="s">
        <v>1839</v>
      </c>
      <c r="F162" s="47" t="s">
        <v>1839</v>
      </c>
      <c r="G162" s="48">
        <v>0.1608</v>
      </c>
      <c r="H162" s="48">
        <v>0.1608</v>
      </c>
      <c r="I162" s="48">
        <v>0.22282008706440259</v>
      </c>
      <c r="K162" s="62">
        <v>0</v>
      </c>
      <c r="M162" s="64"/>
      <c r="N162" s="64"/>
    </row>
    <row r="163" spans="1:14" x14ac:dyDescent="0.25">
      <c r="A163" s="45" t="s">
        <v>231</v>
      </c>
      <c r="B163" s="46">
        <v>12120.5</v>
      </c>
      <c r="C163" s="60">
        <v>0.21</v>
      </c>
      <c r="D163" s="47" t="s">
        <v>1839</v>
      </c>
      <c r="E163" s="47" t="s">
        <v>1839</v>
      </c>
      <c r="F163" s="47" t="s">
        <v>1839</v>
      </c>
      <c r="G163" s="48">
        <v>8.1000000000000003E-2</v>
      </c>
      <c r="H163" s="48">
        <v>8.1000000000000003E-2</v>
      </c>
      <c r="I163" s="48">
        <v>0.1180193556242846</v>
      </c>
      <c r="K163" s="62">
        <v>0</v>
      </c>
      <c r="M163" s="64"/>
      <c r="N163" s="64"/>
    </row>
    <row r="164" spans="1:14" x14ac:dyDescent="0.25">
      <c r="A164" s="45" t="s">
        <v>232</v>
      </c>
      <c r="B164" s="46">
        <v>13090</v>
      </c>
      <c r="C164" s="60">
        <v>0.21</v>
      </c>
      <c r="D164" s="47" t="s">
        <v>1839</v>
      </c>
      <c r="E164" s="47" t="s">
        <v>1839</v>
      </c>
      <c r="F164" s="47" t="s">
        <v>1839</v>
      </c>
      <c r="G164" s="48">
        <v>0.16039999999999999</v>
      </c>
      <c r="H164" s="48">
        <v>0.16039999999999999</v>
      </c>
      <c r="I164" s="48">
        <v>0.22142010491630579</v>
      </c>
      <c r="K164" s="62">
        <v>0</v>
      </c>
      <c r="M164" s="64"/>
      <c r="N164" s="64"/>
    </row>
    <row r="165" spans="1:14" x14ac:dyDescent="0.25">
      <c r="A165" s="45" t="s">
        <v>233</v>
      </c>
      <c r="B165" s="46">
        <v>13090</v>
      </c>
      <c r="C165" s="60">
        <v>0.21</v>
      </c>
      <c r="D165" s="47" t="s">
        <v>1839</v>
      </c>
      <c r="E165" s="47" t="s">
        <v>1839</v>
      </c>
      <c r="F165" s="47" t="s">
        <v>1839</v>
      </c>
      <c r="G165" s="48">
        <v>0.16039999999999999</v>
      </c>
      <c r="H165" s="48">
        <v>0.16039999999999999</v>
      </c>
      <c r="I165" s="48">
        <v>0.22142010491630579</v>
      </c>
      <c r="K165" s="62">
        <v>0</v>
      </c>
      <c r="M165" s="64"/>
      <c r="N165" s="64"/>
    </row>
    <row r="166" spans="1:14" x14ac:dyDescent="0.25">
      <c r="A166" s="45" t="s">
        <v>234</v>
      </c>
      <c r="B166" s="46">
        <v>13090</v>
      </c>
      <c r="C166" s="60">
        <v>0.21</v>
      </c>
      <c r="D166" s="47" t="s">
        <v>1839</v>
      </c>
      <c r="E166" s="47" t="s">
        <v>1839</v>
      </c>
      <c r="F166" s="47" t="s">
        <v>1839</v>
      </c>
      <c r="G166" s="48">
        <v>3.5999999999999997E-2</v>
      </c>
      <c r="H166" s="48">
        <v>3.5999999999999997E-2</v>
      </c>
      <c r="I166" s="48">
        <v>5.402039588063396E-2</v>
      </c>
      <c r="K166" s="62">
        <v>0</v>
      </c>
      <c r="M166" s="64"/>
      <c r="N166" s="64"/>
    </row>
    <row r="167" spans="1:14" x14ac:dyDescent="0.25">
      <c r="A167" s="45" t="s">
        <v>235</v>
      </c>
      <c r="B167" s="46">
        <v>13090</v>
      </c>
      <c r="C167" s="60">
        <v>0.21</v>
      </c>
      <c r="D167" s="47" t="s">
        <v>1839</v>
      </c>
      <c r="E167" s="47" t="s">
        <v>1839</v>
      </c>
      <c r="F167" s="47" t="s">
        <v>1839</v>
      </c>
      <c r="G167" s="48">
        <v>0.16039999999999999</v>
      </c>
      <c r="H167" s="48">
        <v>0.16039999999999999</v>
      </c>
      <c r="I167" s="48">
        <v>0.22142010491630579</v>
      </c>
      <c r="K167" s="62">
        <v>0</v>
      </c>
      <c r="M167" s="64"/>
      <c r="N167" s="64"/>
    </row>
    <row r="168" spans="1:14" x14ac:dyDescent="0.25">
      <c r="A168" s="45" t="s">
        <v>236</v>
      </c>
      <c r="B168" s="46">
        <v>13090</v>
      </c>
      <c r="C168" s="60">
        <v>0.21</v>
      </c>
      <c r="D168" s="47" t="s">
        <v>1839</v>
      </c>
      <c r="E168" s="47" t="s">
        <v>1839</v>
      </c>
      <c r="F168" s="47" t="s">
        <v>1839</v>
      </c>
      <c r="G168" s="48">
        <v>0.16569999999999999</v>
      </c>
      <c r="H168" s="48">
        <v>0.16569999999999999</v>
      </c>
      <c r="I168" s="48">
        <v>0.22768560988426079</v>
      </c>
      <c r="K168" s="62">
        <v>0</v>
      </c>
      <c r="M168" s="64"/>
      <c r="N168" s="64"/>
    </row>
    <row r="169" spans="1:14" x14ac:dyDescent="0.25">
      <c r="A169" s="45" t="s">
        <v>237</v>
      </c>
      <c r="B169" s="46">
        <v>9362.5</v>
      </c>
      <c r="C169" s="60">
        <v>0.21</v>
      </c>
      <c r="D169" s="47" t="s">
        <v>1839</v>
      </c>
      <c r="E169" s="47" t="s">
        <v>1839</v>
      </c>
      <c r="F169" s="47" t="s">
        <v>1839</v>
      </c>
      <c r="G169" s="48">
        <v>0.16200000000000001</v>
      </c>
      <c r="H169" s="48">
        <v>0.16200000000000001</v>
      </c>
      <c r="I169" s="48">
        <v>0.22801955617667971</v>
      </c>
      <c r="K169" s="62">
        <v>0</v>
      </c>
      <c r="M169" s="64"/>
      <c r="N169" s="64"/>
    </row>
    <row r="170" spans="1:14" x14ac:dyDescent="0.25">
      <c r="A170" s="45" t="s">
        <v>238</v>
      </c>
      <c r="B170" s="46">
        <v>6965</v>
      </c>
      <c r="C170" s="60">
        <v>0.21</v>
      </c>
      <c r="D170" s="47" t="s">
        <v>1839</v>
      </c>
      <c r="E170" s="47" t="s">
        <v>1839</v>
      </c>
      <c r="F170" s="47" t="s">
        <v>1839</v>
      </c>
      <c r="G170" s="48">
        <v>0.16889999999999999</v>
      </c>
      <c r="H170" s="48">
        <v>0.16889999999999999</v>
      </c>
      <c r="I170" s="48">
        <v>0.24188639301333439</v>
      </c>
      <c r="K170" s="62">
        <v>0</v>
      </c>
      <c r="M170" s="64"/>
      <c r="N170" s="64"/>
    </row>
    <row r="171" spans="1:14" x14ac:dyDescent="0.25">
      <c r="A171" s="45" t="s">
        <v>239</v>
      </c>
      <c r="B171" s="46">
        <v>13198.5</v>
      </c>
      <c r="C171" s="60">
        <v>0.21</v>
      </c>
      <c r="D171" s="47" t="s">
        <v>1839</v>
      </c>
      <c r="E171" s="47" t="s">
        <v>1839</v>
      </c>
      <c r="F171" s="47" t="s">
        <v>1839</v>
      </c>
      <c r="G171" s="48">
        <v>0.16039999999999999</v>
      </c>
      <c r="H171" s="48">
        <v>0.16039999999999999</v>
      </c>
      <c r="I171" s="48">
        <v>0.22141917310916931</v>
      </c>
      <c r="K171" s="62">
        <v>0</v>
      </c>
      <c r="M171" s="64"/>
      <c r="N171" s="64"/>
    </row>
    <row r="172" spans="1:14" x14ac:dyDescent="0.25">
      <c r="A172" s="45" t="s">
        <v>240</v>
      </c>
      <c r="B172" s="46">
        <v>13198.5</v>
      </c>
      <c r="C172" s="60">
        <v>0.21</v>
      </c>
      <c r="D172" s="47" t="s">
        <v>1839</v>
      </c>
      <c r="E172" s="47" t="s">
        <v>1839</v>
      </c>
      <c r="F172" s="47" t="s">
        <v>1839</v>
      </c>
      <c r="G172" s="48">
        <v>0.16569999999999999</v>
      </c>
      <c r="H172" s="48">
        <v>0.16569999999999999</v>
      </c>
      <c r="I172" s="48">
        <v>0.22768514947471619</v>
      </c>
      <c r="K172" s="62">
        <v>0</v>
      </c>
      <c r="M172" s="64"/>
      <c r="N172" s="64"/>
    </row>
    <row r="173" spans="1:14" x14ac:dyDescent="0.25">
      <c r="A173" s="45" t="s">
        <v>241</v>
      </c>
      <c r="B173" s="46">
        <v>13198.5</v>
      </c>
      <c r="C173" s="60">
        <v>0.21</v>
      </c>
      <c r="D173" s="47" t="s">
        <v>1839</v>
      </c>
      <c r="E173" s="47" t="s">
        <v>1839</v>
      </c>
      <c r="F173" s="47" t="s">
        <v>1839</v>
      </c>
      <c r="G173" s="48">
        <v>3.5999999999999997E-2</v>
      </c>
      <c r="H173" s="48">
        <v>3.5999999999999997E-2</v>
      </c>
      <c r="I173" s="48">
        <v>5.4020166745741241E-2</v>
      </c>
      <c r="K173" s="62">
        <v>0</v>
      </c>
      <c r="M173" s="64"/>
      <c r="N173" s="64"/>
    </row>
    <row r="174" spans="1:14" x14ac:dyDescent="0.25">
      <c r="A174" s="45" t="s">
        <v>242</v>
      </c>
      <c r="B174" s="46">
        <v>13198.5</v>
      </c>
      <c r="C174" s="60">
        <v>0.21</v>
      </c>
      <c r="D174" s="47" t="s">
        <v>1839</v>
      </c>
      <c r="E174" s="47" t="s">
        <v>1839</v>
      </c>
      <c r="F174" s="47" t="s">
        <v>1839</v>
      </c>
      <c r="G174" s="48">
        <v>0.16039999999999999</v>
      </c>
      <c r="H174" s="48">
        <v>0.16039999999999999</v>
      </c>
      <c r="I174" s="48">
        <v>0.22141917310916931</v>
      </c>
      <c r="K174" s="62">
        <v>0</v>
      </c>
      <c r="M174" s="64"/>
      <c r="N174" s="64"/>
    </row>
    <row r="175" spans="1:14" x14ac:dyDescent="0.25">
      <c r="A175" s="45" t="s">
        <v>243</v>
      </c>
      <c r="B175" s="46">
        <v>13198.5</v>
      </c>
      <c r="C175" s="60">
        <v>0.21</v>
      </c>
      <c r="D175" s="47" t="s">
        <v>1839</v>
      </c>
      <c r="E175" s="47" t="s">
        <v>1839</v>
      </c>
      <c r="F175" s="47" t="s">
        <v>1839</v>
      </c>
      <c r="G175" s="48">
        <v>0.16039999999999999</v>
      </c>
      <c r="H175" s="48">
        <v>0.16039999999999999</v>
      </c>
      <c r="I175" s="48">
        <v>0.22141917310916931</v>
      </c>
      <c r="K175" s="62">
        <v>0</v>
      </c>
      <c r="M175" s="64"/>
      <c r="N175" s="64"/>
    </row>
    <row r="176" spans="1:14" x14ac:dyDescent="0.25">
      <c r="A176" s="45" t="s">
        <v>244</v>
      </c>
      <c r="B176" s="46">
        <v>3892</v>
      </c>
      <c r="C176" s="60">
        <v>0.21</v>
      </c>
      <c r="D176" s="47" t="s">
        <v>1839</v>
      </c>
      <c r="E176" s="47" t="s">
        <v>1839</v>
      </c>
      <c r="F176" s="47" t="s">
        <v>1839</v>
      </c>
      <c r="G176" s="48">
        <v>0.16800000000000001</v>
      </c>
      <c r="H176" s="48">
        <v>0.16800000000000001</v>
      </c>
      <c r="I176" s="48">
        <v>0.24673816532273199</v>
      </c>
      <c r="K176" s="62">
        <v>0</v>
      </c>
      <c r="M176" s="64"/>
      <c r="N176" s="64"/>
    </row>
    <row r="177" spans="1:14" x14ac:dyDescent="0.25">
      <c r="A177" s="45" t="s">
        <v>245</v>
      </c>
      <c r="B177" s="46">
        <v>3892</v>
      </c>
      <c r="C177" s="60">
        <v>0.21</v>
      </c>
      <c r="D177" s="47" t="s">
        <v>1839</v>
      </c>
      <c r="E177" s="47" t="s">
        <v>1839</v>
      </c>
      <c r="F177" s="47" t="s">
        <v>1839</v>
      </c>
      <c r="G177" s="48">
        <v>0.158</v>
      </c>
      <c r="H177" s="48">
        <v>0.158</v>
      </c>
      <c r="K177" s="62">
        <v>0</v>
      </c>
      <c r="M177" s="64"/>
      <c r="N177" s="64"/>
    </row>
    <row r="178" spans="1:14" x14ac:dyDescent="0.25">
      <c r="A178" s="45" t="s">
        <v>246</v>
      </c>
      <c r="B178" s="46">
        <v>21504</v>
      </c>
      <c r="C178" s="60">
        <v>0.21</v>
      </c>
      <c r="D178" s="47" t="s">
        <v>1839</v>
      </c>
      <c r="E178" s="47" t="s">
        <v>1839</v>
      </c>
      <c r="F178" s="47" t="s">
        <v>1839</v>
      </c>
      <c r="G178" s="48">
        <v>0.15989999999999999</v>
      </c>
      <c r="H178" s="48">
        <v>0.15989999999999999</v>
      </c>
      <c r="I178" s="48">
        <v>0.21615889292237539</v>
      </c>
      <c r="K178" s="62">
        <v>0</v>
      </c>
      <c r="M178" s="64"/>
      <c r="N178" s="64"/>
    </row>
    <row r="179" spans="1:14" x14ac:dyDescent="0.25">
      <c r="A179" s="45" t="s">
        <v>247</v>
      </c>
      <c r="B179" s="46">
        <v>13720</v>
      </c>
      <c r="C179" s="60">
        <v>0.21</v>
      </c>
      <c r="D179" s="47" t="s">
        <v>1839</v>
      </c>
      <c r="E179" s="47" t="s">
        <v>1839</v>
      </c>
      <c r="F179" s="47" t="s">
        <v>1839</v>
      </c>
      <c r="G179" s="48">
        <v>0.1618</v>
      </c>
      <c r="H179" s="48">
        <v>0.1618</v>
      </c>
      <c r="I179" s="48">
        <v>0.22320112151436269</v>
      </c>
      <c r="K179" s="62">
        <v>0</v>
      </c>
      <c r="M179" s="64"/>
      <c r="N179" s="64"/>
    </row>
    <row r="180" spans="1:14" x14ac:dyDescent="0.25">
      <c r="A180" s="45" t="s">
        <v>248</v>
      </c>
      <c r="B180" s="46">
        <v>11917.5</v>
      </c>
      <c r="C180" s="60">
        <v>0.105</v>
      </c>
      <c r="D180" s="47" t="s">
        <v>1839</v>
      </c>
      <c r="E180" s="47" t="s">
        <v>1839</v>
      </c>
      <c r="F180" s="47" t="s">
        <v>1839</v>
      </c>
      <c r="G180" s="48">
        <v>9.1999999999999998E-2</v>
      </c>
      <c r="H180" s="48">
        <v>9.1999999999999998E-2</v>
      </c>
      <c r="I180" s="48">
        <v>0.14601535511320859</v>
      </c>
      <c r="K180" s="62">
        <v>0</v>
      </c>
      <c r="M180" s="64"/>
      <c r="N180" s="64"/>
    </row>
    <row r="181" spans="1:14" x14ac:dyDescent="0.25">
      <c r="A181" s="45" t="s">
        <v>249</v>
      </c>
      <c r="B181" s="46">
        <v>9859.5</v>
      </c>
      <c r="C181" s="60">
        <v>0.105</v>
      </c>
      <c r="D181" s="47" t="s">
        <v>1839</v>
      </c>
      <c r="E181" s="47" t="s">
        <v>1839</v>
      </c>
      <c r="F181" s="47" t="s">
        <v>1839</v>
      </c>
      <c r="G181" s="48">
        <v>4.9200000000000001E-2</v>
      </c>
      <c r="H181" s="48">
        <v>4.9200000000000001E-2</v>
      </c>
      <c r="I181" s="48">
        <v>8.6150943128029456E-2</v>
      </c>
      <c r="K181" s="62">
        <v>0</v>
      </c>
      <c r="M181" s="64"/>
      <c r="N181" s="64"/>
    </row>
    <row r="182" spans="1:14" x14ac:dyDescent="0.25">
      <c r="A182" s="45" t="s">
        <v>250</v>
      </c>
      <c r="B182" s="46">
        <v>133000</v>
      </c>
      <c r="C182" s="60">
        <v>0.21</v>
      </c>
      <c r="D182" s="47" t="s">
        <v>1839</v>
      </c>
      <c r="E182" s="47" t="s">
        <v>1839</v>
      </c>
      <c r="F182" s="47" t="s">
        <v>1839</v>
      </c>
      <c r="G182" s="48">
        <v>8.3699999999999997E-2</v>
      </c>
      <c r="H182" s="48">
        <v>8.3699999999999997E-2</v>
      </c>
      <c r="I182" s="48">
        <v>0.1277310059723627</v>
      </c>
      <c r="K182" s="62">
        <v>0</v>
      </c>
      <c r="M182" s="64"/>
      <c r="N182" s="64"/>
    </row>
    <row r="183" spans="1:14" x14ac:dyDescent="0.25">
      <c r="A183" s="45" t="s">
        <v>251</v>
      </c>
      <c r="B183" s="46">
        <v>6804</v>
      </c>
      <c r="C183" s="60">
        <v>0.21</v>
      </c>
      <c r="D183" s="47" t="s">
        <v>1839</v>
      </c>
      <c r="E183" s="47" t="s">
        <v>1839</v>
      </c>
      <c r="F183" s="47" t="s">
        <v>1839</v>
      </c>
      <c r="G183" s="48">
        <v>9.3100000000000002E-2</v>
      </c>
      <c r="H183" s="48">
        <v>9.3100000000000002E-2</v>
      </c>
      <c r="I183" s="48">
        <v>0.15514674196732459</v>
      </c>
      <c r="K183" s="62">
        <v>0</v>
      </c>
      <c r="M183" s="64"/>
      <c r="N183" s="64"/>
    </row>
    <row r="184" spans="1:14" x14ac:dyDescent="0.25">
      <c r="A184" s="45" t="s">
        <v>252</v>
      </c>
      <c r="B184" s="46">
        <v>124964</v>
      </c>
      <c r="C184" s="60">
        <v>0.21</v>
      </c>
      <c r="D184" s="47" t="s">
        <v>1839</v>
      </c>
      <c r="E184" s="47" t="s">
        <v>1839</v>
      </c>
      <c r="F184" s="47" t="s">
        <v>1839</v>
      </c>
      <c r="G184" s="48">
        <v>8.5900000000000004E-2</v>
      </c>
      <c r="H184" s="48">
        <v>8.5900000000000004E-2</v>
      </c>
      <c r="I184" s="48">
        <v>0.12993207252398581</v>
      </c>
      <c r="K184" s="62">
        <v>0</v>
      </c>
      <c r="M184" s="64"/>
      <c r="N184" s="64"/>
    </row>
    <row r="185" spans="1:14" x14ac:dyDescent="0.25">
      <c r="A185" s="45" t="s">
        <v>253</v>
      </c>
      <c r="B185" s="46">
        <v>20629</v>
      </c>
      <c r="C185" s="60">
        <v>0.21</v>
      </c>
      <c r="D185" s="47" t="s">
        <v>1839</v>
      </c>
      <c r="E185" s="47" t="s">
        <v>1839</v>
      </c>
      <c r="F185" s="47" t="s">
        <v>1839</v>
      </c>
      <c r="G185" s="48">
        <v>4.2099999999999999E-2</v>
      </c>
      <c r="H185" s="48">
        <v>4.2099999999999999E-2</v>
      </c>
      <c r="I185" s="48">
        <v>6.1695661741610397E-2</v>
      </c>
      <c r="K185" s="62">
        <v>0</v>
      </c>
      <c r="M185" s="64"/>
      <c r="N185" s="64"/>
    </row>
    <row r="186" spans="1:14" x14ac:dyDescent="0.25">
      <c r="A186" s="45" t="s">
        <v>254</v>
      </c>
      <c r="B186" s="46">
        <v>13464.5</v>
      </c>
      <c r="C186" s="60">
        <v>0.21</v>
      </c>
      <c r="D186" s="47" t="s">
        <v>1839</v>
      </c>
      <c r="E186" s="47" t="s">
        <v>1839</v>
      </c>
      <c r="F186" s="47" t="s">
        <v>1839</v>
      </c>
      <c r="G186" s="48">
        <v>3.5999999999999997E-2</v>
      </c>
      <c r="H186" s="48">
        <v>3.5999999999999997E-2</v>
      </c>
      <c r="I186" s="48">
        <v>5.4020196964137762E-2</v>
      </c>
      <c r="K186" s="62">
        <v>0</v>
      </c>
      <c r="M186" s="64"/>
      <c r="N186" s="64"/>
    </row>
    <row r="187" spans="1:14" x14ac:dyDescent="0.25">
      <c r="A187" s="45" t="s">
        <v>255</v>
      </c>
      <c r="B187" s="46">
        <v>2681</v>
      </c>
      <c r="C187" s="60">
        <v>0.21</v>
      </c>
      <c r="D187" s="47" t="s">
        <v>1839</v>
      </c>
      <c r="E187" s="47" t="s">
        <v>1839</v>
      </c>
      <c r="F187" s="47" t="s">
        <v>1839</v>
      </c>
      <c r="G187" s="48">
        <v>0.16109999999999999</v>
      </c>
      <c r="H187" s="48">
        <v>0.16109999999999999</v>
      </c>
      <c r="I187" s="48">
        <v>0.21912169547754651</v>
      </c>
      <c r="K187" s="62">
        <v>0</v>
      </c>
      <c r="M187" s="64"/>
      <c r="N187" s="64"/>
    </row>
    <row r="188" spans="1:14" x14ac:dyDescent="0.25">
      <c r="A188" s="45" t="s">
        <v>256</v>
      </c>
      <c r="B188" s="46">
        <v>20198.5</v>
      </c>
      <c r="C188" s="60">
        <v>0.21</v>
      </c>
      <c r="D188" s="47" t="s">
        <v>1839</v>
      </c>
      <c r="E188" s="47" t="s">
        <v>1839</v>
      </c>
      <c r="F188" s="47" t="s">
        <v>1839</v>
      </c>
      <c r="G188" s="48">
        <v>0.10730000000000001</v>
      </c>
      <c r="H188" s="48">
        <v>0.10730000000000001</v>
      </c>
      <c r="I188" s="48">
        <v>0.1493195853633357</v>
      </c>
      <c r="K188" s="62">
        <v>0</v>
      </c>
      <c r="M188" s="64"/>
      <c r="N188" s="64"/>
    </row>
    <row r="189" spans="1:14" x14ac:dyDescent="0.25">
      <c r="A189" s="45" t="s">
        <v>257</v>
      </c>
      <c r="B189" s="46">
        <v>20198.5</v>
      </c>
      <c r="C189" s="60">
        <v>0.21</v>
      </c>
      <c r="D189" s="47" t="s">
        <v>1839</v>
      </c>
      <c r="E189" s="47" t="s">
        <v>1839</v>
      </c>
      <c r="F189" s="47" t="s">
        <v>1839</v>
      </c>
      <c r="G189" s="48">
        <v>0.1646</v>
      </c>
      <c r="H189" s="48">
        <v>0.1646</v>
      </c>
      <c r="I189" s="48">
        <v>0.22258583441457319</v>
      </c>
      <c r="K189" s="62">
        <v>0</v>
      </c>
      <c r="M189" s="64"/>
      <c r="N189" s="64"/>
    </row>
    <row r="190" spans="1:14" x14ac:dyDescent="0.25">
      <c r="A190" s="45" t="s">
        <v>258</v>
      </c>
      <c r="B190" s="46">
        <v>9121</v>
      </c>
      <c r="C190" s="60">
        <v>0.21</v>
      </c>
      <c r="D190" s="47" t="s">
        <v>1839</v>
      </c>
      <c r="E190" s="47" t="s">
        <v>1839</v>
      </c>
      <c r="F190" s="47" t="s">
        <v>1839</v>
      </c>
      <c r="G190" s="48">
        <v>3.5299999999999998E-2</v>
      </c>
      <c r="H190" s="48">
        <v>3.5299999999999998E-2</v>
      </c>
      <c r="I190" s="48">
        <v>5.4285656917399658E-2</v>
      </c>
      <c r="K190" s="62">
        <v>0</v>
      </c>
      <c r="M190" s="64"/>
      <c r="N190" s="64"/>
    </row>
    <row r="191" spans="1:14" x14ac:dyDescent="0.25">
      <c r="A191" s="45" t="s">
        <v>259</v>
      </c>
      <c r="B191" s="46">
        <v>3454.5</v>
      </c>
      <c r="C191" s="60">
        <v>0.21</v>
      </c>
      <c r="D191" s="47" t="s">
        <v>1839</v>
      </c>
      <c r="E191" s="47" t="s">
        <v>1839</v>
      </c>
      <c r="F191" s="47" t="s">
        <v>1839</v>
      </c>
      <c r="G191" s="48">
        <v>8.9200000000000002E-2</v>
      </c>
      <c r="H191" s="48">
        <v>8.9200000000000002E-2</v>
      </c>
      <c r="I191" s="48">
        <v>0.13818245888543379</v>
      </c>
      <c r="K191" s="62">
        <v>0</v>
      </c>
      <c r="M191" s="64"/>
      <c r="N191" s="64"/>
    </row>
    <row r="192" spans="1:14" x14ac:dyDescent="0.25">
      <c r="A192" s="45" t="s">
        <v>260</v>
      </c>
      <c r="B192" s="46">
        <v>5194</v>
      </c>
      <c r="C192" s="60">
        <v>0.21</v>
      </c>
      <c r="D192" s="47" t="s">
        <v>1839</v>
      </c>
      <c r="E192" s="47" t="s">
        <v>1839</v>
      </c>
      <c r="F192" s="47" t="s">
        <v>1839</v>
      </c>
      <c r="G192" s="48">
        <v>9.4200000000000006E-2</v>
      </c>
      <c r="H192" s="48">
        <v>9.4200000000000006E-2</v>
      </c>
      <c r="I192" s="48">
        <v>0.16978916771214311</v>
      </c>
      <c r="K192" s="62">
        <v>0</v>
      </c>
      <c r="M192" s="64"/>
      <c r="N192" s="64"/>
    </row>
    <row r="193" spans="1:14" x14ac:dyDescent="0.25">
      <c r="A193" s="45" t="s">
        <v>261</v>
      </c>
      <c r="B193" s="46">
        <v>17500</v>
      </c>
      <c r="C193" s="60">
        <v>0.21</v>
      </c>
      <c r="D193" s="47" t="s">
        <v>1839</v>
      </c>
      <c r="E193" s="47" t="s">
        <v>1839</v>
      </c>
      <c r="F193" s="47" t="s">
        <v>1839</v>
      </c>
      <c r="G193" s="48">
        <v>0.16250000000000001</v>
      </c>
      <c r="H193" s="48">
        <v>0.16250000000000001</v>
      </c>
      <c r="I193" s="48">
        <v>0.2222867648304632</v>
      </c>
      <c r="K193" s="62">
        <v>0</v>
      </c>
      <c r="M193" s="64"/>
      <c r="N193" s="64"/>
    </row>
    <row r="194" spans="1:14" x14ac:dyDescent="0.25">
      <c r="A194" s="45" t="s">
        <v>262</v>
      </c>
      <c r="B194" s="46">
        <v>17500</v>
      </c>
      <c r="C194" s="60">
        <v>0.21</v>
      </c>
      <c r="D194" s="47" t="s">
        <v>1839</v>
      </c>
      <c r="E194" s="47" t="s">
        <v>1839</v>
      </c>
      <c r="F194" s="47" t="s">
        <v>1839</v>
      </c>
      <c r="G194" s="48">
        <v>4.2599999999999999E-2</v>
      </c>
      <c r="H194" s="48">
        <v>4.2599999999999999E-2</v>
      </c>
      <c r="I194" s="48">
        <v>6.3309487493835193E-2</v>
      </c>
      <c r="K194" s="62">
        <v>0</v>
      </c>
      <c r="M194" s="64"/>
      <c r="N194" s="64"/>
    </row>
    <row r="195" spans="1:14" x14ac:dyDescent="0.25">
      <c r="A195" s="45" t="s">
        <v>263</v>
      </c>
      <c r="B195" s="46">
        <v>30800</v>
      </c>
      <c r="C195" s="60">
        <v>0.21</v>
      </c>
      <c r="D195" s="47" t="s">
        <v>1839</v>
      </c>
      <c r="E195" s="47" t="s">
        <v>1839</v>
      </c>
      <c r="F195" s="47" t="s">
        <v>1839</v>
      </c>
      <c r="G195" s="48">
        <v>8.9399999999999993E-2</v>
      </c>
      <c r="H195" s="48">
        <v>8.9399999999999993E-2</v>
      </c>
      <c r="I195" s="48">
        <v>0.13839531225711901</v>
      </c>
      <c r="K195" s="62">
        <v>0</v>
      </c>
      <c r="M195" s="64"/>
      <c r="N195" s="64"/>
    </row>
    <row r="196" spans="1:14" x14ac:dyDescent="0.25">
      <c r="A196" s="45" t="s">
        <v>264</v>
      </c>
      <c r="B196" s="46">
        <v>22750</v>
      </c>
      <c r="C196" s="60">
        <v>0.21</v>
      </c>
      <c r="D196" s="47" t="s">
        <v>1839</v>
      </c>
      <c r="E196" s="47" t="s">
        <v>1839</v>
      </c>
      <c r="F196" s="47" t="s">
        <v>1839</v>
      </c>
      <c r="G196" s="48">
        <v>0.16639999999999999</v>
      </c>
      <c r="H196" s="48">
        <v>0.16639999999999999</v>
      </c>
      <c r="I196" s="48">
        <v>0.23334597173616331</v>
      </c>
      <c r="K196" s="62">
        <v>0</v>
      </c>
      <c r="M196" s="64"/>
      <c r="N196" s="64"/>
    </row>
    <row r="197" spans="1:14" x14ac:dyDescent="0.25">
      <c r="A197" s="45" t="s">
        <v>265</v>
      </c>
      <c r="B197" s="46">
        <v>21175</v>
      </c>
      <c r="C197" s="60">
        <v>0.21</v>
      </c>
      <c r="D197" s="47" t="s">
        <v>1839</v>
      </c>
      <c r="E197" s="47" t="s">
        <v>1839</v>
      </c>
      <c r="F197" s="47" t="s">
        <v>1839</v>
      </c>
      <c r="G197" s="48">
        <v>0.15989999999999999</v>
      </c>
      <c r="H197" s="48">
        <v>0.15989999999999999</v>
      </c>
      <c r="I197" s="48">
        <v>0.21617652315940511</v>
      </c>
      <c r="K197" s="62">
        <v>0</v>
      </c>
      <c r="M197" s="64"/>
      <c r="N197" s="64"/>
    </row>
    <row r="198" spans="1:14" x14ac:dyDescent="0.25">
      <c r="A198" s="45" t="s">
        <v>266</v>
      </c>
      <c r="B198" s="46">
        <v>19250</v>
      </c>
      <c r="C198" s="60">
        <v>0.21</v>
      </c>
      <c r="D198" s="47" t="s">
        <v>1839</v>
      </c>
      <c r="E198" s="47" t="s">
        <v>1839</v>
      </c>
      <c r="F198" s="47" t="s">
        <v>1839</v>
      </c>
      <c r="G198" s="48">
        <v>9.2499999999999999E-2</v>
      </c>
      <c r="H198" s="48">
        <v>9.2499999999999999E-2</v>
      </c>
      <c r="I198" s="48">
        <v>0.14549987485585031</v>
      </c>
      <c r="K198" s="62">
        <v>0</v>
      </c>
      <c r="M198" s="64"/>
      <c r="N198" s="64"/>
    </row>
    <row r="199" spans="1:14" x14ac:dyDescent="0.25">
      <c r="A199" s="45" t="s">
        <v>267</v>
      </c>
      <c r="B199" s="46">
        <v>16730</v>
      </c>
      <c r="C199" s="60">
        <v>0.21</v>
      </c>
      <c r="D199" s="47" t="s">
        <v>1839</v>
      </c>
      <c r="E199" s="47" t="s">
        <v>1839</v>
      </c>
      <c r="F199" s="47" t="s">
        <v>1839</v>
      </c>
      <c r="G199" s="48">
        <v>9.2200000000000004E-2</v>
      </c>
      <c r="H199" s="48">
        <v>9.2200000000000004E-2</v>
      </c>
      <c r="I199" s="48">
        <v>0.1451960490598963</v>
      </c>
      <c r="K199" s="62">
        <v>0</v>
      </c>
      <c r="M199" s="64"/>
      <c r="N199" s="64"/>
    </row>
    <row r="200" spans="1:14" x14ac:dyDescent="0.25">
      <c r="A200" s="45" t="s">
        <v>268</v>
      </c>
      <c r="B200" s="46">
        <v>26950</v>
      </c>
      <c r="C200" s="60">
        <v>0.21</v>
      </c>
      <c r="D200" s="47" t="s">
        <v>1839</v>
      </c>
      <c r="E200" s="47" t="s">
        <v>1839</v>
      </c>
      <c r="F200" s="47" t="s">
        <v>1839</v>
      </c>
      <c r="G200" s="48">
        <v>8.9300000000000004E-2</v>
      </c>
      <c r="H200" s="48">
        <v>8.9300000000000004E-2</v>
      </c>
      <c r="I200" s="48">
        <v>0.13832454702052199</v>
      </c>
      <c r="K200" s="62">
        <v>0</v>
      </c>
      <c r="M200" s="64"/>
      <c r="N200" s="64"/>
    </row>
    <row r="201" spans="1:14" x14ac:dyDescent="0.25">
      <c r="A201" s="45" t="s">
        <v>269</v>
      </c>
      <c r="B201" s="46">
        <v>217000</v>
      </c>
      <c r="C201" s="60">
        <v>0.21</v>
      </c>
      <c r="D201" s="47" t="s">
        <v>1839</v>
      </c>
      <c r="E201" s="47" t="s">
        <v>1839</v>
      </c>
      <c r="F201" s="47" t="s">
        <v>1839</v>
      </c>
      <c r="G201" s="48">
        <v>0.16300000000000001</v>
      </c>
      <c r="H201" s="48">
        <v>0.16300000000000001</v>
      </c>
      <c r="I201" s="48">
        <v>0.21528130136314749</v>
      </c>
      <c r="K201" s="62">
        <v>0</v>
      </c>
      <c r="M201" s="64"/>
      <c r="N201" s="64"/>
    </row>
    <row r="202" spans="1:14" x14ac:dyDescent="0.25">
      <c r="A202" s="45" t="s">
        <v>270</v>
      </c>
      <c r="B202" s="46">
        <v>112000</v>
      </c>
      <c r="C202" s="60">
        <v>0.21</v>
      </c>
      <c r="D202" s="47" t="s">
        <v>1839</v>
      </c>
      <c r="E202" s="47" t="s">
        <v>1839</v>
      </c>
      <c r="F202" s="47" t="s">
        <v>1839</v>
      </c>
      <c r="G202" s="48">
        <v>0.15809999999999999</v>
      </c>
      <c r="H202" s="48">
        <v>0.15809999999999999</v>
      </c>
      <c r="I202" s="48">
        <v>0.2081045784855643</v>
      </c>
      <c r="K202" s="62">
        <v>0</v>
      </c>
      <c r="M202" s="64"/>
      <c r="N202" s="64"/>
    </row>
    <row r="203" spans="1:14" x14ac:dyDescent="0.25">
      <c r="A203" s="45" t="s">
        <v>271</v>
      </c>
      <c r="B203" s="46">
        <v>80850</v>
      </c>
      <c r="C203" s="60">
        <v>0.21</v>
      </c>
      <c r="D203" s="47" t="s">
        <v>1839</v>
      </c>
      <c r="E203" s="47" t="s">
        <v>1839</v>
      </c>
      <c r="F203" s="47" t="s">
        <v>1839</v>
      </c>
      <c r="G203" s="48">
        <v>8.0299999999999996E-2</v>
      </c>
      <c r="H203" s="48">
        <v>8.0299999999999996E-2</v>
      </c>
      <c r="I203" s="48">
        <v>0.1233145094887098</v>
      </c>
      <c r="K203" s="62">
        <v>0</v>
      </c>
      <c r="M203" s="64"/>
      <c r="N203" s="64"/>
    </row>
    <row r="204" spans="1:14" x14ac:dyDescent="0.25">
      <c r="A204" s="45" t="s">
        <v>272</v>
      </c>
      <c r="B204" s="46">
        <v>49350</v>
      </c>
      <c r="C204" s="60">
        <v>0.21</v>
      </c>
      <c r="D204" s="47" t="s">
        <v>1839</v>
      </c>
      <c r="E204" s="47" t="s">
        <v>1839</v>
      </c>
      <c r="F204" s="47" t="s">
        <v>1839</v>
      </c>
      <c r="G204" s="48">
        <v>0.1573</v>
      </c>
      <c r="H204" s="48">
        <v>0.1573</v>
      </c>
      <c r="I204" s="48">
        <v>0.20832069245032581</v>
      </c>
      <c r="K204" s="62">
        <v>0</v>
      </c>
      <c r="M204" s="64"/>
      <c r="N204" s="64"/>
    </row>
    <row r="205" spans="1:14" x14ac:dyDescent="0.25">
      <c r="A205" s="45" t="s">
        <v>273</v>
      </c>
      <c r="B205" s="46">
        <v>885.5</v>
      </c>
      <c r="C205" s="60">
        <v>0.21</v>
      </c>
      <c r="D205" s="47" t="s">
        <v>1839</v>
      </c>
      <c r="E205" s="47" t="s">
        <v>1839</v>
      </c>
      <c r="F205" s="47" t="s">
        <v>1839</v>
      </c>
      <c r="G205" s="48">
        <v>0.1681</v>
      </c>
      <c r="H205" s="48">
        <v>0.1681</v>
      </c>
      <c r="I205" s="48">
        <v>0.24514134460463269</v>
      </c>
      <c r="K205" s="62">
        <v>0</v>
      </c>
      <c r="M205" s="64"/>
      <c r="N205" s="64"/>
    </row>
    <row r="206" spans="1:14" x14ac:dyDescent="0.25">
      <c r="A206" s="45" t="s">
        <v>274</v>
      </c>
      <c r="B206" s="46">
        <v>1015</v>
      </c>
      <c r="C206" s="60">
        <v>0.21</v>
      </c>
      <c r="D206" s="47" t="s">
        <v>1839</v>
      </c>
      <c r="E206" s="47" t="s">
        <v>1839</v>
      </c>
      <c r="F206" s="47" t="s">
        <v>1839</v>
      </c>
      <c r="G206" s="48">
        <v>0.1721</v>
      </c>
      <c r="H206" s="48">
        <v>0.1721</v>
      </c>
      <c r="I206" s="48">
        <v>0.24709317966989019</v>
      </c>
      <c r="K206" s="62">
        <v>0</v>
      </c>
      <c r="M206" s="64"/>
      <c r="N206" s="64"/>
    </row>
    <row r="207" spans="1:14" x14ac:dyDescent="0.25">
      <c r="A207" s="45" t="s">
        <v>275</v>
      </c>
      <c r="B207" s="46">
        <v>7717.5</v>
      </c>
      <c r="C207" s="60">
        <v>0.105</v>
      </c>
      <c r="D207" s="47" t="s">
        <v>1839</v>
      </c>
      <c r="E207" s="47" t="s">
        <v>1839</v>
      </c>
      <c r="F207" s="47" t="s">
        <v>1839</v>
      </c>
      <c r="G207" s="48">
        <v>9.3299999999999994E-2</v>
      </c>
      <c r="H207" s="48">
        <v>9.3299999999999994E-2</v>
      </c>
      <c r="I207" s="48">
        <v>0.1533045310092252</v>
      </c>
      <c r="K207" s="62">
        <v>0</v>
      </c>
      <c r="M207" s="64"/>
      <c r="N207" s="64"/>
    </row>
    <row r="208" spans="1:14" x14ac:dyDescent="0.25">
      <c r="A208" s="45" t="s">
        <v>276</v>
      </c>
      <c r="B208" s="46">
        <v>232.56</v>
      </c>
      <c r="C208" s="60">
        <v>0.21</v>
      </c>
      <c r="D208" s="47" t="s">
        <v>1839</v>
      </c>
      <c r="E208" s="47" t="s">
        <v>1839</v>
      </c>
      <c r="F208" s="47" t="s">
        <v>1839</v>
      </c>
      <c r="G208" s="48">
        <v>0.13619999999999999</v>
      </c>
      <c r="H208" s="48">
        <v>0.13619999999999999</v>
      </c>
      <c r="I208" s="48">
        <v>0.36331039767817258</v>
      </c>
      <c r="K208" s="62">
        <v>0</v>
      </c>
      <c r="M208" s="64"/>
      <c r="N208" s="64"/>
    </row>
    <row r="209" spans="1:14" x14ac:dyDescent="0.25">
      <c r="A209" s="45" t="s">
        <v>277</v>
      </c>
      <c r="B209" s="46">
        <v>296.69</v>
      </c>
      <c r="C209" s="60">
        <v>0.21</v>
      </c>
      <c r="D209" s="47" t="s">
        <v>1839</v>
      </c>
      <c r="E209" s="47" t="s">
        <v>1839</v>
      </c>
      <c r="F209" s="47" t="s">
        <v>1839</v>
      </c>
      <c r="G209" s="48">
        <v>0.14530000000000001</v>
      </c>
      <c r="H209" s="48">
        <v>0.14530000000000001</v>
      </c>
      <c r="I209" s="48">
        <v>0.33429188483493277</v>
      </c>
      <c r="K209" s="62">
        <v>0</v>
      </c>
      <c r="M209" s="64"/>
      <c r="N209" s="64"/>
    </row>
    <row r="210" spans="1:14" x14ac:dyDescent="0.25">
      <c r="A210" s="45" t="s">
        <v>278</v>
      </c>
      <c r="B210" s="46">
        <v>2895.8900000000003</v>
      </c>
      <c r="C210" s="60">
        <v>0.21</v>
      </c>
      <c r="D210" s="47" t="s">
        <v>1839</v>
      </c>
      <c r="E210" s="47" t="s">
        <v>1839</v>
      </c>
      <c r="F210" s="47" t="s">
        <v>1839</v>
      </c>
      <c r="G210" s="48">
        <v>0.114</v>
      </c>
      <c r="H210" s="48">
        <v>0.114</v>
      </c>
      <c r="I210" s="48">
        <v>0.15902240185624919</v>
      </c>
      <c r="K210" s="62">
        <v>0</v>
      </c>
      <c r="M210" s="64"/>
      <c r="N210" s="64"/>
    </row>
    <row r="211" spans="1:14" x14ac:dyDescent="0.25">
      <c r="A211" s="45" t="s">
        <v>279</v>
      </c>
      <c r="B211" s="46">
        <v>4430.6099999999997</v>
      </c>
      <c r="C211" s="60">
        <v>0.21</v>
      </c>
      <c r="D211" s="47" t="s">
        <v>1839</v>
      </c>
      <c r="E211" s="47" t="s">
        <v>1839</v>
      </c>
      <c r="F211" s="47" t="s">
        <v>1839</v>
      </c>
      <c r="G211" s="48">
        <v>0.16789999999999999</v>
      </c>
      <c r="H211" s="48">
        <v>0.16789999999999999</v>
      </c>
      <c r="I211" s="48">
        <v>0.2437651420893833</v>
      </c>
      <c r="K211" s="62">
        <v>0</v>
      </c>
      <c r="M211" s="64"/>
      <c r="N211" s="64"/>
    </row>
    <row r="212" spans="1:14" x14ac:dyDescent="0.25">
      <c r="A212" s="45" t="s">
        <v>280</v>
      </c>
      <c r="B212" s="46">
        <v>1576.62</v>
      </c>
      <c r="C212" s="60">
        <v>0.21</v>
      </c>
      <c r="D212" s="47" t="s">
        <v>1839</v>
      </c>
      <c r="E212" s="47" t="s">
        <v>1839</v>
      </c>
      <c r="F212" s="47" t="s">
        <v>1839</v>
      </c>
      <c r="G212" s="48">
        <v>3.6299999999999999E-2</v>
      </c>
      <c r="H212" s="48">
        <v>3.6299999999999999E-2</v>
      </c>
      <c r="I212" s="48">
        <v>5.5277810680540503E-2</v>
      </c>
      <c r="K212" s="62">
        <v>0</v>
      </c>
      <c r="M212" s="64"/>
      <c r="N212" s="64"/>
    </row>
    <row r="213" spans="1:14" x14ac:dyDescent="0.25">
      <c r="A213" s="45" t="s">
        <v>281</v>
      </c>
      <c r="B213" s="46">
        <v>1085</v>
      </c>
      <c r="C213" s="60">
        <v>0.21</v>
      </c>
      <c r="D213" s="47" t="s">
        <v>1839</v>
      </c>
      <c r="E213" s="47" t="s">
        <v>1839</v>
      </c>
      <c r="F213" s="47" t="s">
        <v>1839</v>
      </c>
      <c r="G213" s="48">
        <v>8.2000000000000003E-2</v>
      </c>
      <c r="H213" s="48">
        <v>8.2000000000000003E-2</v>
      </c>
      <c r="I213" s="48">
        <v>0.12701975595241599</v>
      </c>
      <c r="K213" s="62">
        <v>0</v>
      </c>
      <c r="M213" s="64"/>
      <c r="N213" s="64"/>
    </row>
    <row r="214" spans="1:14" x14ac:dyDescent="0.25">
      <c r="A214" s="45" t="s">
        <v>282</v>
      </c>
      <c r="B214" s="46">
        <v>5594.27</v>
      </c>
      <c r="C214" s="60">
        <v>0.21</v>
      </c>
      <c r="D214" s="47" t="s">
        <v>1839</v>
      </c>
      <c r="E214" s="47" t="s">
        <v>1839</v>
      </c>
      <c r="F214" s="47" t="s">
        <v>1839</v>
      </c>
      <c r="G214" s="48">
        <v>7.7700000000000005E-2</v>
      </c>
      <c r="H214" s="48">
        <v>7.7700000000000005E-2</v>
      </c>
      <c r="I214" s="48">
        <v>0.1466643140607414</v>
      </c>
      <c r="K214" s="62">
        <v>0</v>
      </c>
      <c r="M214" s="64"/>
      <c r="N214" s="64"/>
    </row>
    <row r="215" spans="1:14" x14ac:dyDescent="0.25">
      <c r="A215" s="45" t="s">
        <v>283</v>
      </c>
      <c r="B215" s="46">
        <v>3873.15</v>
      </c>
      <c r="C215" s="60">
        <v>0.21</v>
      </c>
      <c r="D215" s="47" t="s">
        <v>1839</v>
      </c>
      <c r="E215" s="47" t="s">
        <v>1839</v>
      </c>
      <c r="F215" s="47" t="s">
        <v>1839</v>
      </c>
      <c r="G215" s="48">
        <v>7.2300000000000003E-2</v>
      </c>
      <c r="H215" s="48">
        <v>7.2300000000000003E-2</v>
      </c>
      <c r="I215" s="48">
        <v>0.1022839138547124</v>
      </c>
      <c r="K215" s="62">
        <v>0</v>
      </c>
      <c r="M215" s="64"/>
      <c r="N215" s="64"/>
    </row>
    <row r="216" spans="1:14" x14ac:dyDescent="0.25">
      <c r="A216" s="45" t="s">
        <v>284</v>
      </c>
      <c r="B216" s="46">
        <v>9035.74</v>
      </c>
      <c r="C216" s="60">
        <v>0.21</v>
      </c>
      <c r="D216" s="47" t="s">
        <v>1839</v>
      </c>
      <c r="E216" s="47" t="s">
        <v>1839</v>
      </c>
      <c r="F216" s="47" t="s">
        <v>1839</v>
      </c>
      <c r="G216" s="48">
        <v>0.1507</v>
      </c>
      <c r="H216" s="48">
        <v>0.1507</v>
      </c>
      <c r="I216" s="48">
        <v>0.21608904973806009</v>
      </c>
      <c r="K216" s="62">
        <v>0</v>
      </c>
      <c r="M216" s="64"/>
      <c r="N216" s="64"/>
    </row>
    <row r="217" spans="1:14" x14ac:dyDescent="0.25">
      <c r="A217" s="45" t="s">
        <v>285</v>
      </c>
      <c r="B217" s="46">
        <v>64921.86</v>
      </c>
      <c r="C217" s="60">
        <v>0.21</v>
      </c>
      <c r="D217" s="47" t="s">
        <v>1839</v>
      </c>
      <c r="E217" s="47" t="s">
        <v>1839</v>
      </c>
      <c r="F217" s="47" t="s">
        <v>1839</v>
      </c>
      <c r="G217" s="48">
        <v>0.1583</v>
      </c>
      <c r="H217" s="48">
        <v>0.1583</v>
      </c>
      <c r="I217" s="48">
        <v>0.21585664607449981</v>
      </c>
      <c r="K217" s="62">
        <v>0</v>
      </c>
      <c r="M217" s="64"/>
      <c r="N217" s="64"/>
    </row>
    <row r="218" spans="1:14" x14ac:dyDescent="0.25">
      <c r="A218" s="45" t="s">
        <v>286</v>
      </c>
      <c r="B218" s="46">
        <v>10294.49</v>
      </c>
      <c r="C218" s="60">
        <v>0.21</v>
      </c>
      <c r="D218" s="47" t="s">
        <v>1839</v>
      </c>
      <c r="E218" s="47" t="s">
        <v>1839</v>
      </c>
      <c r="F218" s="47" t="s">
        <v>1839</v>
      </c>
      <c r="G218" s="48">
        <v>0.13370000000000001</v>
      </c>
      <c r="H218" s="48">
        <v>0.13370000000000001</v>
      </c>
      <c r="I218" s="48">
        <v>0.209678747238389</v>
      </c>
      <c r="K218" s="62">
        <v>0</v>
      </c>
      <c r="M218" s="64"/>
      <c r="N218" s="64"/>
    </row>
    <row r="219" spans="1:14" x14ac:dyDescent="0.25">
      <c r="A219" s="45" t="s">
        <v>287</v>
      </c>
      <c r="B219" s="46">
        <v>14010.98</v>
      </c>
      <c r="C219" s="60">
        <v>0.21</v>
      </c>
      <c r="D219" s="47" t="s">
        <v>1839</v>
      </c>
      <c r="E219" s="47" t="s">
        <v>1839</v>
      </c>
      <c r="F219" s="47" t="s">
        <v>1839</v>
      </c>
      <c r="G219" s="48">
        <v>8.2400000000000001E-2</v>
      </c>
      <c r="H219" s="48">
        <v>8.2400000000000001E-2</v>
      </c>
      <c r="I219" s="48">
        <v>0.1222406411094671</v>
      </c>
      <c r="K219" s="62">
        <v>0</v>
      </c>
      <c r="M219" s="64"/>
      <c r="N219" s="64"/>
    </row>
    <row r="220" spans="1:14" x14ac:dyDescent="0.25">
      <c r="A220" s="45" t="s">
        <v>288</v>
      </c>
      <c r="B220" s="46">
        <v>5743.89</v>
      </c>
      <c r="C220" s="60">
        <v>0.21</v>
      </c>
      <c r="D220" s="47" t="s">
        <v>1839</v>
      </c>
      <c r="E220" s="47" t="s">
        <v>1839</v>
      </c>
      <c r="F220" s="47" t="s">
        <v>1839</v>
      </c>
      <c r="G220" s="48">
        <v>7.6499999999999999E-2</v>
      </c>
      <c r="H220" s="48">
        <v>7.6499999999999999E-2</v>
      </c>
      <c r="I220" s="48">
        <v>0.1304349381460494</v>
      </c>
      <c r="K220" s="62">
        <v>0</v>
      </c>
      <c r="M220" s="64"/>
      <c r="N220" s="64"/>
    </row>
    <row r="221" spans="1:14" x14ac:dyDescent="0.25">
      <c r="A221" s="45" t="s">
        <v>289</v>
      </c>
      <c r="B221" s="46">
        <v>2078.38</v>
      </c>
      <c r="C221" s="60">
        <v>0.105</v>
      </c>
      <c r="D221" s="47" t="s">
        <v>1839</v>
      </c>
      <c r="E221" s="47" t="s">
        <v>1839</v>
      </c>
      <c r="F221" s="47" t="s">
        <v>1839</v>
      </c>
      <c r="G221" s="48">
        <v>0.18029999999999999</v>
      </c>
      <c r="H221" s="48">
        <v>0.18029999999999999</v>
      </c>
      <c r="I221" s="48">
        <v>0.24733717738918351</v>
      </c>
      <c r="K221" s="62">
        <v>0</v>
      </c>
      <c r="M221" s="64"/>
      <c r="N221" s="64"/>
    </row>
    <row r="222" spans="1:14" x14ac:dyDescent="0.25">
      <c r="A222" s="45" t="s">
        <v>290</v>
      </c>
      <c r="B222" s="46">
        <v>2292.8000000000002</v>
      </c>
      <c r="C222" s="60">
        <v>0.105</v>
      </c>
      <c r="D222" s="47" t="s">
        <v>1839</v>
      </c>
      <c r="E222" s="47" t="s">
        <v>1839</v>
      </c>
      <c r="F222" s="47" t="s">
        <v>1839</v>
      </c>
      <c r="G222" s="48">
        <v>0.1273</v>
      </c>
      <c r="H222" s="48">
        <v>0.1273</v>
      </c>
      <c r="I222" s="48">
        <v>0.17727997851698041</v>
      </c>
      <c r="K222" s="62">
        <v>0</v>
      </c>
      <c r="M222" s="64"/>
      <c r="N222" s="64"/>
    </row>
    <row r="223" spans="1:14" x14ac:dyDescent="0.25">
      <c r="A223" s="45" t="s">
        <v>291</v>
      </c>
      <c r="B223" s="46">
        <v>2740.2700000000004</v>
      </c>
      <c r="C223" s="60">
        <v>0.105</v>
      </c>
      <c r="D223" s="47" t="s">
        <v>1839</v>
      </c>
      <c r="E223" s="47" t="s">
        <v>1839</v>
      </c>
      <c r="F223" s="47" t="s">
        <v>1839</v>
      </c>
      <c r="G223" s="48">
        <v>8.43E-2</v>
      </c>
      <c r="H223" s="48">
        <v>8.43E-2</v>
      </c>
      <c r="I223" s="48">
        <v>0.11928424904498321</v>
      </c>
      <c r="K223" s="62">
        <v>0</v>
      </c>
      <c r="M223" s="64"/>
      <c r="N223" s="64"/>
    </row>
    <row r="224" spans="1:14" x14ac:dyDescent="0.25">
      <c r="A224" s="45" t="s">
        <v>292</v>
      </c>
      <c r="B224" s="46">
        <v>8372.7000000000007</v>
      </c>
      <c r="C224" s="60">
        <v>0.105</v>
      </c>
      <c r="D224" s="47" t="s">
        <v>1839</v>
      </c>
      <c r="E224" s="47" t="s">
        <v>1839</v>
      </c>
      <c r="F224" s="47" t="s">
        <v>1839</v>
      </c>
      <c r="G224" s="48">
        <v>0.12330000000000001</v>
      </c>
      <c r="H224" s="48">
        <v>0.12330000000000001</v>
      </c>
      <c r="I224" s="48">
        <v>0.18128652909637849</v>
      </c>
      <c r="K224" s="62">
        <v>0</v>
      </c>
      <c r="M224" s="64"/>
      <c r="N224" s="64"/>
    </row>
    <row r="225" spans="1:14" x14ac:dyDescent="0.25">
      <c r="A225" s="45" t="s">
        <v>293</v>
      </c>
      <c r="B225" s="46">
        <v>5162.79</v>
      </c>
      <c r="C225" s="60">
        <v>0.105</v>
      </c>
      <c r="D225" s="47" t="s">
        <v>1839</v>
      </c>
      <c r="E225" s="47" t="s">
        <v>1839</v>
      </c>
      <c r="F225" s="47" t="s">
        <v>1839</v>
      </c>
      <c r="G225" s="48">
        <v>4.4299999999999999E-2</v>
      </c>
      <c r="H225" s="48">
        <v>4.4299999999999999E-2</v>
      </c>
      <c r="I225" s="48">
        <v>6.2286158194865687E-2</v>
      </c>
      <c r="K225" s="62">
        <v>0</v>
      </c>
      <c r="M225" s="64"/>
      <c r="N225" s="64"/>
    </row>
    <row r="226" spans="1:14" x14ac:dyDescent="0.25">
      <c r="A226" s="45" t="s">
        <v>294</v>
      </c>
      <c r="B226" s="46">
        <v>8612.630000000001</v>
      </c>
      <c r="C226" s="60">
        <v>0.105</v>
      </c>
      <c r="D226" s="47" t="s">
        <v>1839</v>
      </c>
      <c r="E226" s="47" t="s">
        <v>1839</v>
      </c>
      <c r="F226" s="47" t="s">
        <v>1839</v>
      </c>
      <c r="G226" s="48">
        <v>0.2147</v>
      </c>
      <c r="H226" s="48">
        <v>0.2147</v>
      </c>
      <c r="I226" s="48">
        <v>0.29768590460944577</v>
      </c>
      <c r="K226" s="62">
        <v>0</v>
      </c>
      <c r="M226" s="64"/>
      <c r="N226" s="64"/>
    </row>
    <row r="227" spans="1:14" x14ac:dyDescent="0.25">
      <c r="A227" s="45" t="s">
        <v>295</v>
      </c>
      <c r="B227" s="46">
        <v>8612.630000000001</v>
      </c>
      <c r="C227" s="60">
        <v>0.105</v>
      </c>
      <c r="D227" s="47" t="s">
        <v>1839</v>
      </c>
      <c r="E227" s="47" t="s">
        <v>1839</v>
      </c>
      <c r="F227" s="47" t="s">
        <v>1839</v>
      </c>
      <c r="G227" s="48">
        <v>0.1333</v>
      </c>
      <c r="H227" s="48">
        <v>0.1333</v>
      </c>
      <c r="I227" s="48">
        <v>0.19428503956317769</v>
      </c>
      <c r="K227" s="62">
        <v>0</v>
      </c>
      <c r="M227" s="64"/>
      <c r="N227" s="64"/>
    </row>
    <row r="228" spans="1:14" x14ac:dyDescent="0.25">
      <c r="A228" s="45" t="s">
        <v>296</v>
      </c>
      <c r="B228" s="46">
        <v>10373.4</v>
      </c>
      <c r="C228" s="60">
        <v>0.105</v>
      </c>
      <c r="D228" s="47" t="s">
        <v>1839</v>
      </c>
      <c r="E228" s="47" t="s">
        <v>1839</v>
      </c>
      <c r="F228" s="47" t="s">
        <v>1839</v>
      </c>
      <c r="G228" s="48">
        <v>0.1444</v>
      </c>
      <c r="H228" s="48">
        <v>0.1444</v>
      </c>
      <c r="I228" s="48">
        <v>0.2173855207311389</v>
      </c>
      <c r="K228" s="62">
        <v>0</v>
      </c>
      <c r="M228" s="64"/>
      <c r="N228" s="64"/>
    </row>
    <row r="229" spans="1:14" x14ac:dyDescent="0.25">
      <c r="A229" s="45" t="s">
        <v>297</v>
      </c>
      <c r="B229" s="46">
        <v>9494.3000000000011</v>
      </c>
      <c r="C229" s="60">
        <v>0.105</v>
      </c>
      <c r="D229" s="47" t="s">
        <v>1839</v>
      </c>
      <c r="E229" s="47" t="s">
        <v>1839</v>
      </c>
      <c r="F229" s="47" t="s">
        <v>1839</v>
      </c>
      <c r="G229" s="48">
        <v>0.12280000000000001</v>
      </c>
      <c r="H229" s="48">
        <v>0.12280000000000001</v>
      </c>
      <c r="I229" s="48">
        <v>0.18408488870349521</v>
      </c>
      <c r="K229" s="62">
        <v>0</v>
      </c>
      <c r="M229" s="64"/>
      <c r="N229" s="64"/>
    </row>
    <row r="230" spans="1:14" x14ac:dyDescent="0.25">
      <c r="A230" s="45" t="s">
        <v>298</v>
      </c>
      <c r="B230" s="46">
        <v>2656.4900000000002</v>
      </c>
      <c r="C230" s="60">
        <v>0.21</v>
      </c>
      <c r="D230" s="47" t="s">
        <v>1839</v>
      </c>
      <c r="E230" s="47" t="s">
        <v>1839</v>
      </c>
      <c r="F230" s="47" t="s">
        <v>1839</v>
      </c>
      <c r="G230" s="48">
        <v>3.5299999999999998E-2</v>
      </c>
      <c r="H230" s="48">
        <v>3.5299999999999998E-2</v>
      </c>
      <c r="I230" s="48">
        <v>5.229311234886564E-2</v>
      </c>
      <c r="K230" s="62">
        <v>0</v>
      </c>
      <c r="M230" s="64"/>
      <c r="N230" s="64"/>
    </row>
    <row r="231" spans="1:14" x14ac:dyDescent="0.25">
      <c r="A231" s="45" t="s">
        <v>299</v>
      </c>
      <c r="B231" s="46">
        <v>1694.33</v>
      </c>
      <c r="C231" s="60">
        <v>0.21</v>
      </c>
      <c r="D231" s="47" t="s">
        <v>1839</v>
      </c>
      <c r="E231" s="47" t="s">
        <v>1839</v>
      </c>
      <c r="F231" s="47" t="s">
        <v>1839</v>
      </c>
      <c r="G231" s="48">
        <v>3.5999999999999997E-2</v>
      </c>
      <c r="H231" s="48">
        <v>3.5999999999999997E-2</v>
      </c>
      <c r="I231" s="48">
        <v>5.5020405739061091E-2</v>
      </c>
      <c r="K231" s="62">
        <v>0</v>
      </c>
      <c r="M231" s="64"/>
      <c r="N231" s="64"/>
    </row>
    <row r="232" spans="1:14" x14ac:dyDescent="0.25">
      <c r="A232" s="45" t="s">
        <v>300</v>
      </c>
      <c r="B232" s="46">
        <v>2430.48</v>
      </c>
      <c r="C232" s="60">
        <v>0.21</v>
      </c>
      <c r="D232" s="47" t="s">
        <v>1839</v>
      </c>
      <c r="E232" s="47" t="s">
        <v>1839</v>
      </c>
      <c r="F232" s="47" t="s">
        <v>1839</v>
      </c>
      <c r="G232" s="48">
        <v>9.0999999999999998E-2</v>
      </c>
      <c r="H232" s="48">
        <v>9.0999999999999998E-2</v>
      </c>
      <c r="I232" s="48">
        <v>0.13728425405440331</v>
      </c>
      <c r="K232" s="62">
        <v>0</v>
      </c>
      <c r="M232" s="64"/>
      <c r="N232" s="64"/>
    </row>
    <row r="233" spans="1:14" x14ac:dyDescent="0.25">
      <c r="A233" s="45" t="s">
        <v>301</v>
      </c>
      <c r="B233" s="46">
        <v>3910.58</v>
      </c>
      <c r="C233" s="60">
        <v>0.21</v>
      </c>
      <c r="D233" s="47" t="s">
        <v>1839</v>
      </c>
      <c r="E233" s="47" t="s">
        <v>1839</v>
      </c>
      <c r="F233" s="47" t="s">
        <v>1839</v>
      </c>
      <c r="G233" s="48">
        <v>0.17630000000000001</v>
      </c>
      <c r="H233" s="48">
        <v>0.17630000000000001</v>
      </c>
      <c r="I233" s="48">
        <v>0.235287032540068</v>
      </c>
      <c r="K233" s="62">
        <v>0</v>
      </c>
      <c r="M233" s="64"/>
      <c r="N233" s="64"/>
    </row>
    <row r="234" spans="1:14" x14ac:dyDescent="0.25">
      <c r="A234" s="45" t="s">
        <v>302</v>
      </c>
      <c r="B234" s="46">
        <v>4797.09</v>
      </c>
      <c r="C234" s="60">
        <v>0.21</v>
      </c>
      <c r="D234" s="47" t="s">
        <v>1839</v>
      </c>
      <c r="E234" s="47" t="s">
        <v>1839</v>
      </c>
      <c r="F234" s="47" t="s">
        <v>1839</v>
      </c>
      <c r="G234" s="48">
        <v>7.4300000000000005E-2</v>
      </c>
      <c r="H234" s="48">
        <v>7.4300000000000005E-2</v>
      </c>
      <c r="I234" s="48">
        <v>0.1042873230774345</v>
      </c>
      <c r="K234" s="62">
        <v>0</v>
      </c>
      <c r="M234" s="64"/>
      <c r="N234" s="64"/>
    </row>
    <row r="235" spans="1:14" x14ac:dyDescent="0.25">
      <c r="A235" s="45" t="s">
        <v>303</v>
      </c>
      <c r="B235" s="46">
        <v>1767.71</v>
      </c>
      <c r="C235" s="60">
        <v>0.21</v>
      </c>
      <c r="D235" s="47" t="s">
        <v>1839</v>
      </c>
      <c r="E235" s="47" t="s">
        <v>1839</v>
      </c>
      <c r="F235" s="47" t="s">
        <v>1839</v>
      </c>
      <c r="G235" s="48">
        <v>0.1673</v>
      </c>
      <c r="H235" s="48">
        <v>0.1673</v>
      </c>
      <c r="I235" s="48">
        <v>0.23128522618707051</v>
      </c>
      <c r="K235" s="62">
        <v>0</v>
      </c>
      <c r="M235" s="64"/>
      <c r="N235" s="64"/>
    </row>
    <row r="236" spans="1:14" x14ac:dyDescent="0.25">
      <c r="A236" s="45" t="s">
        <v>304</v>
      </c>
      <c r="B236" s="46">
        <v>2649.38</v>
      </c>
      <c r="C236" s="60">
        <v>0.21</v>
      </c>
      <c r="D236" s="47" t="s">
        <v>1839</v>
      </c>
      <c r="E236" s="47" t="s">
        <v>1839</v>
      </c>
      <c r="F236" s="47" t="s">
        <v>1839</v>
      </c>
      <c r="G236" s="48">
        <v>0.1293</v>
      </c>
      <c r="H236" s="48">
        <v>0.1293</v>
      </c>
      <c r="I236" s="48">
        <v>0.1792908550865368</v>
      </c>
      <c r="K236" s="62">
        <v>0</v>
      </c>
      <c r="M236" s="64"/>
      <c r="N236" s="64"/>
    </row>
    <row r="237" spans="1:14" x14ac:dyDescent="0.25">
      <c r="A237" s="45" t="s">
        <v>305</v>
      </c>
      <c r="B237" s="46">
        <v>2045.7</v>
      </c>
      <c r="C237" s="60">
        <v>0.21</v>
      </c>
      <c r="D237" s="47" t="s">
        <v>1839</v>
      </c>
      <c r="E237" s="47" t="s">
        <v>1839</v>
      </c>
      <c r="F237" s="47" t="s">
        <v>1839</v>
      </c>
      <c r="G237" s="48">
        <v>0.16120000000000001</v>
      </c>
      <c r="H237" s="48">
        <v>0.16120000000000001</v>
      </c>
      <c r="I237" s="48">
        <v>0.22222226182837859</v>
      </c>
      <c r="K237" s="62">
        <v>0</v>
      </c>
      <c r="M237" s="64"/>
      <c r="N237" s="64"/>
    </row>
    <row r="238" spans="1:14" x14ac:dyDescent="0.25">
      <c r="A238" s="45" t="s">
        <v>306</v>
      </c>
      <c r="B238" s="46">
        <v>2570.6999999999998</v>
      </c>
      <c r="C238" s="60">
        <v>0.21</v>
      </c>
      <c r="D238" s="47" t="s">
        <v>1839</v>
      </c>
      <c r="E238" s="47" t="s">
        <v>1839</v>
      </c>
      <c r="F238" s="47" t="s">
        <v>1839</v>
      </c>
      <c r="G238" s="48">
        <v>0.1153</v>
      </c>
      <c r="H238" s="48">
        <v>0.1153</v>
      </c>
      <c r="I238" s="48">
        <v>0.17529107589277571</v>
      </c>
      <c r="K238" s="62">
        <v>0</v>
      </c>
      <c r="M238" s="64"/>
      <c r="N238" s="64"/>
    </row>
    <row r="239" spans="1:14" x14ac:dyDescent="0.25">
      <c r="A239" s="45" t="s">
        <v>307</v>
      </c>
      <c r="B239" s="46">
        <v>7434.7800000000007</v>
      </c>
      <c r="C239" s="60">
        <v>0.21</v>
      </c>
      <c r="D239" s="47" t="s">
        <v>1839</v>
      </c>
      <c r="E239" s="47" t="s">
        <v>1839</v>
      </c>
      <c r="F239" s="47" t="s">
        <v>1839</v>
      </c>
      <c r="G239" s="48">
        <v>3.5299999999999998E-2</v>
      </c>
      <c r="H239" s="48">
        <v>3.5299999999999998E-2</v>
      </c>
      <c r="I239" s="48">
        <v>5.0667229113329111E-2</v>
      </c>
      <c r="K239" s="62">
        <v>0</v>
      </c>
      <c r="M239" s="64"/>
      <c r="N239" s="64"/>
    </row>
    <row r="240" spans="1:14" x14ac:dyDescent="0.25">
      <c r="A240" s="45" t="s">
        <v>308</v>
      </c>
      <c r="B240" s="46">
        <v>6343.25</v>
      </c>
      <c r="C240" s="60">
        <v>0.21</v>
      </c>
      <c r="D240" s="47" t="s">
        <v>1839</v>
      </c>
      <c r="E240" s="47" t="s">
        <v>1839</v>
      </c>
      <c r="F240" s="47" t="s">
        <v>1839</v>
      </c>
      <c r="G240" s="48">
        <v>7.6200000000000004E-2</v>
      </c>
      <c r="H240" s="48">
        <v>7.6200000000000004E-2</v>
      </c>
      <c r="I240" s="48">
        <v>0.13313848765681471</v>
      </c>
      <c r="K240" s="62">
        <v>0</v>
      </c>
      <c r="M240" s="64"/>
      <c r="N240" s="64"/>
    </row>
    <row r="241" spans="1:14" x14ac:dyDescent="0.25">
      <c r="A241" s="45" t="s">
        <v>309</v>
      </c>
      <c r="B241" s="46">
        <v>11257.79</v>
      </c>
      <c r="C241" s="60">
        <v>0.21</v>
      </c>
      <c r="D241" s="47" t="s">
        <v>1839</v>
      </c>
      <c r="E241" s="47" t="s">
        <v>1839</v>
      </c>
      <c r="F241" s="47" t="s">
        <v>1839</v>
      </c>
      <c r="G241" s="48">
        <v>0.1636</v>
      </c>
      <c r="H241" s="48">
        <v>0.1636</v>
      </c>
      <c r="I241" s="48">
        <v>0.21162069327027519</v>
      </c>
      <c r="K241" s="62">
        <v>0</v>
      </c>
      <c r="M241" s="64"/>
      <c r="N241" s="64"/>
    </row>
    <row r="242" spans="1:14" x14ac:dyDescent="0.25">
      <c r="A242" s="45" t="s">
        <v>310</v>
      </c>
      <c r="B242" s="46">
        <v>2812.1000000000004</v>
      </c>
      <c r="C242" s="60">
        <v>0.21</v>
      </c>
      <c r="D242" s="47" t="s">
        <v>1839</v>
      </c>
      <c r="E242" s="47" t="s">
        <v>1839</v>
      </c>
      <c r="F242" s="47" t="s">
        <v>1839</v>
      </c>
      <c r="G242" s="48">
        <v>7.4999999999999997E-2</v>
      </c>
      <c r="H242" s="48">
        <v>7.4999999999999997E-2</v>
      </c>
      <c r="I242" s="48">
        <v>0.10702757123333111</v>
      </c>
      <c r="K242" s="62">
        <v>0</v>
      </c>
      <c r="M242" s="64"/>
      <c r="N242" s="64"/>
    </row>
    <row r="243" spans="1:14" x14ac:dyDescent="0.25">
      <c r="A243" s="45" t="s">
        <v>311</v>
      </c>
      <c r="B243" s="46">
        <v>5061.17</v>
      </c>
      <c r="C243" s="60">
        <v>0.21</v>
      </c>
      <c r="D243" s="47" t="s">
        <v>1839</v>
      </c>
      <c r="E243" s="47" t="s">
        <v>1839</v>
      </c>
      <c r="F243" s="47" t="s">
        <v>1839</v>
      </c>
      <c r="G243" s="48">
        <v>7.1999999999999995E-2</v>
      </c>
      <c r="H243" s="48">
        <v>7.1999999999999995E-2</v>
      </c>
      <c r="I243" s="48">
        <v>0.1490055054303932</v>
      </c>
      <c r="K243" s="62">
        <v>0</v>
      </c>
      <c r="M243" s="64"/>
      <c r="N243" s="64"/>
    </row>
    <row r="244" spans="1:14" x14ac:dyDescent="0.25">
      <c r="A244" s="45" t="s">
        <v>312</v>
      </c>
      <c r="B244" s="46">
        <v>5061.17</v>
      </c>
      <c r="C244" s="60">
        <v>0.21</v>
      </c>
      <c r="D244" s="47" t="s">
        <v>1839</v>
      </c>
      <c r="E244" s="47" t="s">
        <v>1839</v>
      </c>
      <c r="F244" s="47" t="s">
        <v>1839</v>
      </c>
      <c r="G244" s="48">
        <v>0.17219999999999999</v>
      </c>
      <c r="H244" s="48">
        <v>0.17219999999999999</v>
      </c>
      <c r="I244" s="48">
        <v>0.25718673911359402</v>
      </c>
      <c r="K244" s="62">
        <v>0</v>
      </c>
      <c r="M244" s="64"/>
      <c r="N244" s="64"/>
    </row>
    <row r="245" spans="1:14" x14ac:dyDescent="0.25">
      <c r="A245" s="45" t="s">
        <v>313</v>
      </c>
      <c r="B245" s="46">
        <v>1990.44</v>
      </c>
      <c r="C245" s="60">
        <v>0.21</v>
      </c>
      <c r="D245" s="47" t="s">
        <v>1839</v>
      </c>
      <c r="E245" s="47" t="s">
        <v>1839</v>
      </c>
      <c r="F245" s="47" t="s">
        <v>1839</v>
      </c>
      <c r="G245" s="48">
        <v>8.4000000000000005E-2</v>
      </c>
      <c r="H245" s="48">
        <v>8.4000000000000005E-2</v>
      </c>
      <c r="I245" s="48">
        <v>0.1360155899045245</v>
      </c>
      <c r="K245" s="62">
        <v>0</v>
      </c>
      <c r="M245" s="64"/>
      <c r="N245" s="64"/>
    </row>
    <row r="246" spans="1:14" x14ac:dyDescent="0.25">
      <c r="A246" s="45" t="s">
        <v>314</v>
      </c>
      <c r="B246" s="46">
        <v>2033.19</v>
      </c>
      <c r="C246" s="60">
        <v>0.21</v>
      </c>
      <c r="D246" s="47" t="s">
        <v>1839</v>
      </c>
      <c r="E246" s="47" t="s">
        <v>1839</v>
      </c>
      <c r="F246" s="47" t="s">
        <v>1839</v>
      </c>
      <c r="G246" s="48">
        <v>8.4000000000000005E-2</v>
      </c>
      <c r="H246" s="48">
        <v>8.4000000000000005E-2</v>
      </c>
      <c r="I246" s="48">
        <v>0.136017741311247</v>
      </c>
      <c r="K246" s="62">
        <v>0</v>
      </c>
      <c r="M246" s="64"/>
      <c r="N246" s="64"/>
    </row>
    <row r="247" spans="1:14" x14ac:dyDescent="0.25">
      <c r="A247" s="45" t="s">
        <v>315</v>
      </c>
      <c r="B247" s="46">
        <v>2278.5800000000004</v>
      </c>
      <c r="C247" s="60">
        <v>0.21</v>
      </c>
      <c r="D247" s="47" t="s">
        <v>1839</v>
      </c>
      <c r="E247" s="47" t="s">
        <v>1839</v>
      </c>
      <c r="F247" s="47" t="s">
        <v>1839</v>
      </c>
      <c r="G247" s="48">
        <v>4.3999999999999997E-2</v>
      </c>
      <c r="H247" s="48">
        <v>4.3999999999999997E-2</v>
      </c>
      <c r="I247" s="48">
        <v>6.5020018449897965E-2</v>
      </c>
      <c r="K247" s="62">
        <v>0</v>
      </c>
      <c r="M247" s="64"/>
      <c r="N247" s="64"/>
    </row>
    <row r="248" spans="1:14" x14ac:dyDescent="0.25">
      <c r="A248" s="45" t="s">
        <v>316</v>
      </c>
      <c r="B248" s="46">
        <v>4257.05</v>
      </c>
      <c r="C248" s="60">
        <v>0.21</v>
      </c>
      <c r="D248" s="47" t="s">
        <v>1839</v>
      </c>
      <c r="E248" s="47" t="s">
        <v>1839</v>
      </c>
      <c r="F248" s="47" t="s">
        <v>1839</v>
      </c>
      <c r="G248" s="48">
        <v>7.4300000000000005E-2</v>
      </c>
      <c r="H248" s="48">
        <v>7.4300000000000005E-2</v>
      </c>
      <c r="I248" s="48">
        <v>0.1042890256599168</v>
      </c>
      <c r="K248" s="62">
        <v>0</v>
      </c>
      <c r="M248" s="64"/>
      <c r="N248" s="64"/>
    </row>
    <row r="249" spans="1:14" x14ac:dyDescent="0.25">
      <c r="A249" s="45" t="s">
        <v>317</v>
      </c>
      <c r="B249" s="46">
        <v>5276.21</v>
      </c>
      <c r="C249" s="60">
        <v>0.21</v>
      </c>
      <c r="D249" s="47" t="s">
        <v>1839</v>
      </c>
      <c r="E249" s="47" t="s">
        <v>1839</v>
      </c>
      <c r="F249" s="47" t="s">
        <v>1839</v>
      </c>
      <c r="G249" s="48">
        <v>3.5299999999999998E-2</v>
      </c>
      <c r="H249" s="48">
        <v>3.5299999999999998E-2</v>
      </c>
      <c r="I249" s="48">
        <v>0.1112883783053734</v>
      </c>
      <c r="K249" s="62">
        <v>0</v>
      </c>
      <c r="M249" s="64"/>
      <c r="N249" s="64"/>
    </row>
    <row r="250" spans="1:14" x14ac:dyDescent="0.25">
      <c r="A250" s="45" t="s">
        <v>318</v>
      </c>
      <c r="B250" s="46">
        <v>2090.84</v>
      </c>
      <c r="C250" s="60">
        <v>0.21</v>
      </c>
      <c r="D250" s="47" t="s">
        <v>1839</v>
      </c>
      <c r="E250" s="47" t="s">
        <v>1839</v>
      </c>
      <c r="F250" s="47" t="s">
        <v>1839</v>
      </c>
      <c r="G250" s="48">
        <v>0.16120000000000001</v>
      </c>
      <c r="H250" s="48">
        <v>0.16120000000000001</v>
      </c>
      <c r="I250" s="48">
        <v>0.22948774795532051</v>
      </c>
      <c r="K250" s="62">
        <v>0</v>
      </c>
      <c r="M250" s="64"/>
      <c r="N250" s="64"/>
    </row>
    <row r="251" spans="1:14" x14ac:dyDescent="0.25">
      <c r="A251" s="45" t="s">
        <v>319</v>
      </c>
      <c r="B251" s="46">
        <v>2599.2900000000004</v>
      </c>
      <c r="C251" s="60">
        <v>0.21</v>
      </c>
      <c r="D251" s="47" t="s">
        <v>1839</v>
      </c>
      <c r="E251" s="47" t="s">
        <v>1839</v>
      </c>
      <c r="F251" s="47" t="s">
        <v>1839</v>
      </c>
      <c r="G251" s="48">
        <v>0.1653</v>
      </c>
      <c r="H251" s="48">
        <v>0.1653</v>
      </c>
      <c r="I251" s="48">
        <v>0.22628305421094611</v>
      </c>
      <c r="K251" s="62">
        <v>0</v>
      </c>
      <c r="M251" s="64"/>
      <c r="N251" s="64"/>
    </row>
    <row r="252" spans="1:14" x14ac:dyDescent="0.25">
      <c r="A252" s="45" t="s">
        <v>320</v>
      </c>
      <c r="B252" s="46">
        <v>3055.48</v>
      </c>
      <c r="C252" s="60">
        <v>0.21</v>
      </c>
      <c r="D252" s="47" t="s">
        <v>1839</v>
      </c>
      <c r="E252" s="47" t="s">
        <v>1839</v>
      </c>
      <c r="F252" s="47" t="s">
        <v>1839</v>
      </c>
      <c r="G252" s="48">
        <v>0.17399999999999999</v>
      </c>
      <c r="H252" s="48">
        <v>0.17399999999999999</v>
      </c>
      <c r="I252" s="48">
        <v>0.2349825320813238</v>
      </c>
      <c r="K252" s="62">
        <v>0</v>
      </c>
      <c r="M252" s="64"/>
      <c r="N252" s="64"/>
    </row>
    <row r="253" spans="1:14" x14ac:dyDescent="0.25">
      <c r="A253" s="45" t="s">
        <v>321</v>
      </c>
      <c r="B253" s="46">
        <v>2817.88</v>
      </c>
      <c r="C253" s="60">
        <v>0.21</v>
      </c>
      <c r="D253" s="47" t="s">
        <v>1839</v>
      </c>
      <c r="E253" s="47" t="s">
        <v>1839</v>
      </c>
      <c r="F253" s="47" t="s">
        <v>1839</v>
      </c>
      <c r="G253" s="48">
        <v>0.17469999999999999</v>
      </c>
      <c r="H253" s="48">
        <v>0.17469999999999999</v>
      </c>
      <c r="I253" s="48">
        <v>0.2366844485658427</v>
      </c>
      <c r="K253" s="62">
        <v>0</v>
      </c>
      <c r="M253" s="64"/>
      <c r="N253" s="64"/>
    </row>
    <row r="254" spans="1:14" x14ac:dyDescent="0.25">
      <c r="A254" s="45" t="s">
        <v>322</v>
      </c>
      <c r="B254" s="46">
        <v>2558.16</v>
      </c>
      <c r="C254" s="60">
        <v>0.21</v>
      </c>
      <c r="D254" s="47" t="s">
        <v>1839</v>
      </c>
      <c r="E254" s="47" t="s">
        <v>1839</v>
      </c>
      <c r="F254" s="47" t="s">
        <v>1839</v>
      </c>
      <c r="G254" s="48">
        <v>0.1411</v>
      </c>
      <c r="H254" s="48">
        <v>0.1411</v>
      </c>
      <c r="I254" s="48">
        <v>0.19510835694676171</v>
      </c>
      <c r="K254" s="62">
        <v>0</v>
      </c>
      <c r="M254" s="64"/>
      <c r="N254" s="64"/>
    </row>
    <row r="255" spans="1:14" x14ac:dyDescent="0.25">
      <c r="A255" s="45" t="s">
        <v>323</v>
      </c>
      <c r="B255" s="46">
        <v>662.42</v>
      </c>
      <c r="C255" s="60">
        <v>0.21</v>
      </c>
      <c r="D255" s="47" t="s">
        <v>1839</v>
      </c>
      <c r="E255" s="47" t="s">
        <v>1839</v>
      </c>
      <c r="F255" s="47" t="s">
        <v>1839</v>
      </c>
      <c r="G255" s="48">
        <v>0.17480000000000001</v>
      </c>
      <c r="H255" s="48">
        <v>0.17480000000000001</v>
      </c>
      <c r="I255" s="48">
        <v>0.26378198804034869</v>
      </c>
      <c r="K255" s="62">
        <v>0</v>
      </c>
      <c r="M255" s="64"/>
      <c r="N255" s="64"/>
    </row>
    <row r="256" spans="1:14" x14ac:dyDescent="0.25">
      <c r="A256" s="45" t="s">
        <v>324</v>
      </c>
      <c r="B256" s="46">
        <v>2573.8200000000002</v>
      </c>
      <c r="C256" s="60">
        <v>0.21</v>
      </c>
      <c r="D256" s="47" t="s">
        <v>1839</v>
      </c>
      <c r="E256" s="47" t="s">
        <v>1839</v>
      </c>
      <c r="F256" s="47" t="s">
        <v>1839</v>
      </c>
      <c r="G256" s="48">
        <v>0.16139999999999999</v>
      </c>
      <c r="H256" s="48">
        <v>0.16139999999999999</v>
      </c>
      <c r="I256" s="48">
        <v>0.2286792065972009</v>
      </c>
      <c r="K256" s="62">
        <v>0</v>
      </c>
      <c r="M256" s="64"/>
      <c r="N256" s="64"/>
    </row>
    <row r="257" spans="1:14" x14ac:dyDescent="0.25">
      <c r="A257" s="45" t="s">
        <v>325</v>
      </c>
      <c r="B257" s="46">
        <v>3079.2400000000002</v>
      </c>
      <c r="C257" s="60">
        <v>0.21</v>
      </c>
      <c r="D257" s="47" t="s">
        <v>1839</v>
      </c>
      <c r="E257" s="47" t="s">
        <v>1839</v>
      </c>
      <c r="F257" s="47" t="s">
        <v>1839</v>
      </c>
      <c r="G257" s="48">
        <v>0.1739</v>
      </c>
      <c r="H257" s="48">
        <v>0.1739</v>
      </c>
      <c r="I257" s="48">
        <v>0.23488696208390161</v>
      </c>
      <c r="K257" s="62">
        <v>0</v>
      </c>
      <c r="M257" s="64"/>
      <c r="N257" s="64"/>
    </row>
    <row r="258" spans="1:14" x14ac:dyDescent="0.25">
      <c r="A258" s="45" t="s">
        <v>326</v>
      </c>
      <c r="B258" s="46">
        <v>4504.96</v>
      </c>
      <c r="C258" s="60">
        <v>0.21</v>
      </c>
      <c r="D258" s="47" t="s">
        <v>1839</v>
      </c>
      <c r="E258" s="47" t="s">
        <v>1839</v>
      </c>
      <c r="F258" s="47" t="s">
        <v>1839</v>
      </c>
      <c r="G258" s="48">
        <v>0.17319999999999999</v>
      </c>
      <c r="H258" s="48">
        <v>0.17319999999999999</v>
      </c>
      <c r="I258" s="48">
        <v>0.25243834334984983</v>
      </c>
      <c r="K258" s="62">
        <v>0</v>
      </c>
      <c r="M258" s="64"/>
      <c r="N258" s="64"/>
    </row>
    <row r="259" spans="1:14" x14ac:dyDescent="0.25">
      <c r="A259" s="45" t="s">
        <v>327</v>
      </c>
      <c r="B259" s="46">
        <v>3604.32</v>
      </c>
      <c r="C259" s="60">
        <v>0.21</v>
      </c>
      <c r="D259" s="47" t="s">
        <v>1839</v>
      </c>
      <c r="E259" s="47" t="s">
        <v>1839</v>
      </c>
      <c r="F259" s="47" t="s">
        <v>1839</v>
      </c>
      <c r="G259" s="48">
        <v>0.1726</v>
      </c>
      <c r="H259" s="48">
        <v>0.1726</v>
      </c>
      <c r="I259" s="48">
        <v>0.2335881450258504</v>
      </c>
      <c r="K259" s="62">
        <v>0</v>
      </c>
      <c r="M259" s="64"/>
      <c r="N259" s="64"/>
    </row>
    <row r="260" spans="1:14" x14ac:dyDescent="0.25">
      <c r="A260" s="45" t="s">
        <v>328</v>
      </c>
      <c r="B260" s="46">
        <v>5219.7800000000007</v>
      </c>
      <c r="C260" s="60">
        <v>0.21</v>
      </c>
      <c r="D260" s="47" t="s">
        <v>1839</v>
      </c>
      <c r="E260" s="47" t="s">
        <v>1839</v>
      </c>
      <c r="F260" s="47" t="s">
        <v>1839</v>
      </c>
      <c r="G260" s="48">
        <v>0.16800000000000001</v>
      </c>
      <c r="H260" s="48">
        <v>0.16800000000000001</v>
      </c>
      <c r="I260" s="48">
        <v>0.25101898299269582</v>
      </c>
      <c r="K260" s="62">
        <v>0</v>
      </c>
      <c r="M260" s="64"/>
      <c r="N260" s="64"/>
    </row>
    <row r="261" spans="1:14" x14ac:dyDescent="0.25">
      <c r="A261" s="45" t="s">
        <v>329</v>
      </c>
      <c r="B261" s="46">
        <v>2473.3700000000003</v>
      </c>
      <c r="C261" s="60">
        <v>0.21</v>
      </c>
      <c r="D261" s="47" t="s">
        <v>1839</v>
      </c>
      <c r="E261" s="47" t="s">
        <v>1839</v>
      </c>
      <c r="F261" s="47" t="s">
        <v>1839</v>
      </c>
      <c r="G261" s="48">
        <v>0.16039999999999999</v>
      </c>
      <c r="H261" s="48">
        <v>0.16039999999999999</v>
      </c>
      <c r="I261" s="48">
        <v>0.22669002907480579</v>
      </c>
      <c r="K261" s="62">
        <v>0</v>
      </c>
      <c r="M261" s="64"/>
      <c r="N261" s="64"/>
    </row>
    <row r="262" spans="1:14" x14ac:dyDescent="0.25">
      <c r="A262" s="45" t="s">
        <v>330</v>
      </c>
      <c r="B262" s="46">
        <v>3091.0800000000004</v>
      </c>
      <c r="C262" s="60">
        <v>0.21</v>
      </c>
      <c r="D262" s="47" t="s">
        <v>1839</v>
      </c>
      <c r="E262" s="47" t="s">
        <v>1839</v>
      </c>
      <c r="F262" s="47" t="s">
        <v>1839</v>
      </c>
      <c r="G262" s="48">
        <v>3.5299999999999998E-2</v>
      </c>
      <c r="H262" s="48">
        <v>3.5299999999999998E-2</v>
      </c>
      <c r="I262" s="48">
        <v>5.2282569612746271E-2</v>
      </c>
      <c r="K262" s="62">
        <v>0</v>
      </c>
      <c r="M262" s="64"/>
      <c r="N262" s="64"/>
    </row>
    <row r="263" spans="1:14" x14ac:dyDescent="0.25">
      <c r="A263" s="45" t="s">
        <v>331</v>
      </c>
      <c r="B263" s="46">
        <v>1716.92</v>
      </c>
      <c r="C263" s="60">
        <v>0.21</v>
      </c>
      <c r="D263" s="47" t="s">
        <v>1839</v>
      </c>
      <c r="E263" s="47" t="s">
        <v>1839</v>
      </c>
      <c r="F263" s="47" t="s">
        <v>1839</v>
      </c>
      <c r="G263" s="48">
        <v>0.11700000000000001</v>
      </c>
      <c r="H263" s="48">
        <v>0.11700000000000001</v>
      </c>
      <c r="I263" s="48">
        <v>0.16900875461838091</v>
      </c>
      <c r="K263" s="62">
        <v>0</v>
      </c>
      <c r="M263" s="64"/>
      <c r="N263" s="64"/>
    </row>
    <row r="264" spans="1:14" x14ac:dyDescent="0.25">
      <c r="A264" s="45" t="s">
        <v>332</v>
      </c>
      <c r="B264" s="46">
        <v>1764.44</v>
      </c>
      <c r="C264" s="60">
        <v>0.21</v>
      </c>
      <c r="D264" s="47" t="s">
        <v>1839</v>
      </c>
      <c r="E264" s="47" t="s">
        <v>1839</v>
      </c>
      <c r="F264" s="47" t="s">
        <v>1839</v>
      </c>
      <c r="G264" s="48">
        <v>7.1999999999999995E-2</v>
      </c>
      <c r="H264" s="48">
        <v>7.1999999999999995E-2</v>
      </c>
      <c r="I264" s="48">
        <v>0.107022143735565</v>
      </c>
      <c r="K264" s="62">
        <v>0</v>
      </c>
      <c r="M264" s="64"/>
      <c r="N264" s="64"/>
    </row>
    <row r="265" spans="1:14" x14ac:dyDescent="0.25">
      <c r="A265" s="45" t="s">
        <v>333</v>
      </c>
      <c r="B265" s="46">
        <v>1764.44</v>
      </c>
      <c r="C265" s="60">
        <v>0.21</v>
      </c>
      <c r="D265" s="47" t="s">
        <v>1839</v>
      </c>
      <c r="E265" s="47" t="s">
        <v>1839</v>
      </c>
      <c r="F265" s="47" t="s">
        <v>1839</v>
      </c>
      <c r="G265" s="48">
        <v>3.5999999999999997E-2</v>
      </c>
      <c r="H265" s="48">
        <v>3.5999999999999997E-2</v>
      </c>
      <c r="I265" s="48">
        <v>5.5022323247136268E-2</v>
      </c>
      <c r="K265" s="62">
        <v>0</v>
      </c>
      <c r="M265" s="64"/>
      <c r="N265" s="64"/>
    </row>
    <row r="266" spans="1:14" x14ac:dyDescent="0.25">
      <c r="A266" s="45" t="s">
        <v>334</v>
      </c>
      <c r="B266" s="46">
        <v>2138.36</v>
      </c>
      <c r="C266" s="60">
        <v>0.21</v>
      </c>
      <c r="D266" s="47" t="s">
        <v>1839</v>
      </c>
      <c r="E266" s="47" t="s">
        <v>1839</v>
      </c>
      <c r="F266" s="47" t="s">
        <v>1839</v>
      </c>
      <c r="G266" s="48">
        <v>3.5299999999999998E-2</v>
      </c>
      <c r="H266" s="48">
        <v>3.5299999999999998E-2</v>
      </c>
      <c r="I266" s="48">
        <v>5.3282611991845953E-2</v>
      </c>
      <c r="K266" s="62">
        <v>0</v>
      </c>
      <c r="M266" s="64"/>
      <c r="N266" s="64"/>
    </row>
    <row r="267" spans="1:14" x14ac:dyDescent="0.25">
      <c r="A267" s="45" t="s">
        <v>335</v>
      </c>
      <c r="B267" s="46">
        <v>2372.0600000000004</v>
      </c>
      <c r="C267" s="60">
        <v>0.21</v>
      </c>
      <c r="D267" s="47" t="s">
        <v>1839</v>
      </c>
      <c r="E267" s="47" t="s">
        <v>1839</v>
      </c>
      <c r="F267" s="47" t="s">
        <v>1839</v>
      </c>
      <c r="G267" s="48">
        <v>3.5299999999999998E-2</v>
      </c>
      <c r="H267" s="48">
        <v>3.5299999999999998E-2</v>
      </c>
      <c r="I267" s="48">
        <v>5.229075787718946E-2</v>
      </c>
      <c r="K267" s="62">
        <v>0</v>
      </c>
      <c r="M267" s="64"/>
      <c r="N267" s="64"/>
    </row>
    <row r="268" spans="1:14" x14ac:dyDescent="0.25">
      <c r="A268" s="45" t="s">
        <v>336</v>
      </c>
      <c r="B268" s="46">
        <v>2582.6600000000003</v>
      </c>
      <c r="C268" s="60">
        <v>0.21</v>
      </c>
      <c r="D268" s="47" t="s">
        <v>1839</v>
      </c>
      <c r="E268" s="47" t="s">
        <v>1839</v>
      </c>
      <c r="F268" s="47" t="s">
        <v>1839</v>
      </c>
      <c r="G268" s="48">
        <v>0.16550000000000001</v>
      </c>
      <c r="H268" s="48">
        <v>0.16550000000000001</v>
      </c>
      <c r="I268" s="48">
        <v>0.22648514361945279</v>
      </c>
      <c r="K268" s="62">
        <v>0</v>
      </c>
      <c r="M268" s="64"/>
      <c r="N268" s="64"/>
    </row>
    <row r="269" spans="1:14" x14ac:dyDescent="0.25">
      <c r="A269" s="45" t="s">
        <v>337</v>
      </c>
      <c r="B269" s="46">
        <v>4355.3900000000003</v>
      </c>
      <c r="C269" s="60">
        <v>0.21</v>
      </c>
      <c r="D269" s="47" t="s">
        <v>1839</v>
      </c>
      <c r="E269" s="47" t="s">
        <v>1839</v>
      </c>
      <c r="F269" s="47" t="s">
        <v>1839</v>
      </c>
      <c r="G269" s="48">
        <v>0.17349999999999999</v>
      </c>
      <c r="H269" s="48">
        <v>0.17349999999999999</v>
      </c>
      <c r="I269" s="48">
        <v>0.2534178909908481</v>
      </c>
      <c r="K269" s="62">
        <v>0</v>
      </c>
      <c r="M269" s="64"/>
      <c r="N269" s="64"/>
    </row>
    <row r="270" spans="1:14" x14ac:dyDescent="0.25">
      <c r="A270" s="45" t="s">
        <v>338</v>
      </c>
      <c r="B270" s="46">
        <v>2266.6600000000003</v>
      </c>
      <c r="C270" s="60">
        <v>0.21</v>
      </c>
      <c r="D270" s="47" t="s">
        <v>1839</v>
      </c>
      <c r="E270" s="47" t="s">
        <v>1839</v>
      </c>
      <c r="F270" s="47" t="s">
        <v>1839</v>
      </c>
      <c r="G270" s="48">
        <v>0.16070000000000001</v>
      </c>
      <c r="H270" s="48">
        <v>0.16070000000000001</v>
      </c>
      <c r="I270" s="48">
        <v>0.2279839993218255</v>
      </c>
      <c r="K270" s="62">
        <v>0</v>
      </c>
      <c r="M270" s="64"/>
      <c r="N270" s="64"/>
    </row>
    <row r="271" spans="1:14" x14ac:dyDescent="0.25">
      <c r="A271" s="45" t="s">
        <v>339</v>
      </c>
      <c r="B271" s="46">
        <v>2820.26</v>
      </c>
      <c r="C271" s="60">
        <v>0.21</v>
      </c>
      <c r="D271" s="47" t="s">
        <v>1839</v>
      </c>
      <c r="E271" s="47" t="s">
        <v>1839</v>
      </c>
      <c r="F271" s="47" t="s">
        <v>1839</v>
      </c>
      <c r="G271" s="48">
        <v>4.9299999999999997E-2</v>
      </c>
      <c r="H271" s="48">
        <v>4.9299999999999997E-2</v>
      </c>
      <c r="I271" s="48">
        <v>7.2290010397143833E-2</v>
      </c>
      <c r="K271" s="62">
        <v>0</v>
      </c>
      <c r="M271" s="64"/>
      <c r="N271" s="64"/>
    </row>
    <row r="272" spans="1:14" x14ac:dyDescent="0.25">
      <c r="A272" s="45" t="s">
        <v>340</v>
      </c>
      <c r="B272" s="46">
        <v>5913.39</v>
      </c>
      <c r="C272" s="60">
        <v>0.21</v>
      </c>
      <c r="D272" s="47" t="s">
        <v>1839</v>
      </c>
      <c r="E272" s="47" t="s">
        <v>1839</v>
      </c>
      <c r="F272" s="47" t="s">
        <v>1839</v>
      </c>
      <c r="G272" s="48">
        <v>8.2000000000000003E-2</v>
      </c>
      <c r="H272" s="48">
        <v>8.2000000000000003E-2</v>
      </c>
      <c r="I272" s="48">
        <v>0.14901952032096519</v>
      </c>
      <c r="K272" s="62">
        <v>0</v>
      </c>
      <c r="M272" s="64"/>
      <c r="N272" s="64"/>
    </row>
    <row r="273" spans="1:14" x14ac:dyDescent="0.25">
      <c r="A273" s="45" t="s">
        <v>341</v>
      </c>
      <c r="B273" s="46">
        <v>7356.1</v>
      </c>
      <c r="C273" s="60">
        <v>0.21</v>
      </c>
      <c r="D273" s="47" t="s">
        <v>1839</v>
      </c>
      <c r="E273" s="47" t="s">
        <v>1839</v>
      </c>
      <c r="F273" s="47" t="s">
        <v>1839</v>
      </c>
      <c r="G273" s="48">
        <v>0.16420000000000001</v>
      </c>
      <c r="H273" s="48">
        <v>0.16420000000000001</v>
      </c>
      <c r="I273" s="48">
        <v>0.23822065062654879</v>
      </c>
      <c r="K273" s="62">
        <v>0</v>
      </c>
      <c r="M273" s="64"/>
      <c r="N273" s="64"/>
    </row>
    <row r="274" spans="1:14" x14ac:dyDescent="0.25">
      <c r="A274" s="45" t="s">
        <v>342</v>
      </c>
      <c r="B274" s="46">
        <v>6193.05</v>
      </c>
      <c r="C274" s="60">
        <v>0.21</v>
      </c>
      <c r="D274" s="47" t="s">
        <v>1839</v>
      </c>
      <c r="E274" s="47" t="s">
        <v>1839</v>
      </c>
      <c r="F274" s="47" t="s">
        <v>1839</v>
      </c>
      <c r="G274" s="48">
        <v>7.1999999999999995E-2</v>
      </c>
      <c r="H274" s="48">
        <v>7.1999999999999995E-2</v>
      </c>
      <c r="I274" s="48">
        <v>0.13502116553515661</v>
      </c>
      <c r="K274" s="62">
        <v>0</v>
      </c>
      <c r="M274" s="64"/>
      <c r="N274" s="64"/>
    </row>
    <row r="275" spans="1:14" x14ac:dyDescent="0.25">
      <c r="A275" s="45" t="s">
        <v>343</v>
      </c>
      <c r="B275" s="46">
        <v>7704.31</v>
      </c>
      <c r="C275" s="60">
        <v>0.21</v>
      </c>
      <c r="D275" s="47" t="s">
        <v>1839</v>
      </c>
      <c r="E275" s="47" t="s">
        <v>1839</v>
      </c>
      <c r="F275" s="47" t="s">
        <v>1839</v>
      </c>
      <c r="G275" s="48">
        <v>3.5299999999999998E-2</v>
      </c>
      <c r="H275" s="48">
        <v>3.5299999999999998E-2</v>
      </c>
      <c r="I275" s="48">
        <v>7.976531488639535E-2</v>
      </c>
      <c r="K275" s="62">
        <v>0</v>
      </c>
      <c r="M275" s="64"/>
      <c r="N275" s="64"/>
    </row>
    <row r="276" spans="1:14" x14ac:dyDescent="0.25">
      <c r="A276" s="45" t="s">
        <v>344</v>
      </c>
      <c r="B276" s="46">
        <v>3555.36</v>
      </c>
      <c r="C276" s="60">
        <v>0.21</v>
      </c>
      <c r="D276" s="47" t="s">
        <v>1839</v>
      </c>
      <c r="E276" s="47" t="s">
        <v>1839</v>
      </c>
      <c r="F276" s="47" t="s">
        <v>1839</v>
      </c>
      <c r="G276" s="48">
        <v>0.115</v>
      </c>
      <c r="H276" s="48">
        <v>0.115</v>
      </c>
      <c r="I276" s="48">
        <v>0.1632891364320066</v>
      </c>
      <c r="K276" s="62">
        <v>0</v>
      </c>
      <c r="M276" s="64"/>
      <c r="N276" s="64"/>
    </row>
    <row r="277" spans="1:14" x14ac:dyDescent="0.25">
      <c r="A277" s="45" t="s">
        <v>345</v>
      </c>
      <c r="B277" s="46">
        <v>4410.7</v>
      </c>
      <c r="C277" s="60">
        <v>0.21</v>
      </c>
      <c r="D277" s="47" t="s">
        <v>1839</v>
      </c>
      <c r="E277" s="47" t="s">
        <v>1839</v>
      </c>
      <c r="F277" s="47" t="s">
        <v>1839</v>
      </c>
      <c r="G277" s="48">
        <v>0.114</v>
      </c>
      <c r="H277" s="48">
        <v>0.114</v>
      </c>
      <c r="I277" s="48">
        <v>0.15802557876835949</v>
      </c>
      <c r="K277" s="62">
        <v>0</v>
      </c>
      <c r="M277" s="64"/>
      <c r="N277" s="64"/>
    </row>
    <row r="278" spans="1:14" x14ac:dyDescent="0.25">
      <c r="A278" s="45" t="s">
        <v>346</v>
      </c>
      <c r="B278" s="46">
        <v>3953.4300000000003</v>
      </c>
      <c r="C278" s="60">
        <v>0.21</v>
      </c>
      <c r="D278" s="47" t="s">
        <v>1839</v>
      </c>
      <c r="E278" s="47" t="s">
        <v>1839</v>
      </c>
      <c r="F278" s="47" t="s">
        <v>1839</v>
      </c>
      <c r="G278" s="48">
        <v>0.104</v>
      </c>
      <c r="H278" s="48">
        <v>0.104</v>
      </c>
      <c r="I278" s="48">
        <v>0.14502585629885781</v>
      </c>
      <c r="K278" s="62">
        <v>0</v>
      </c>
      <c r="M278" s="64"/>
      <c r="N278" s="64"/>
    </row>
    <row r="279" spans="1:14" x14ac:dyDescent="0.25">
      <c r="A279" s="45" t="s">
        <v>347</v>
      </c>
      <c r="B279" s="46">
        <v>5172.5600000000004</v>
      </c>
      <c r="C279" s="60">
        <v>0.21</v>
      </c>
      <c r="D279" s="47" t="s">
        <v>1839</v>
      </c>
      <c r="E279" s="47" t="s">
        <v>1839</v>
      </c>
      <c r="F279" s="47" t="s">
        <v>1839</v>
      </c>
      <c r="G279" s="48">
        <v>3.9E-2</v>
      </c>
      <c r="H279" s="48">
        <v>3.9E-2</v>
      </c>
      <c r="I279" s="48">
        <v>5.6021875888664627E-2</v>
      </c>
      <c r="K279" s="62">
        <v>0</v>
      </c>
      <c r="M279" s="64"/>
      <c r="N279" s="64"/>
    </row>
    <row r="280" spans="1:14" x14ac:dyDescent="0.25">
      <c r="A280" s="45" t="s">
        <v>348</v>
      </c>
      <c r="B280" s="46">
        <v>4013.4100000000003</v>
      </c>
      <c r="C280" s="60">
        <v>0.21</v>
      </c>
      <c r="D280" s="47" t="s">
        <v>1839</v>
      </c>
      <c r="E280" s="47" t="s">
        <v>1839</v>
      </c>
      <c r="F280" s="47" t="s">
        <v>1839</v>
      </c>
      <c r="G280" s="48">
        <v>3.9E-2</v>
      </c>
      <c r="H280" s="48">
        <v>3.9E-2</v>
      </c>
      <c r="I280" s="48">
        <v>6.3284354549810712E-2</v>
      </c>
      <c r="K280" s="62">
        <v>0</v>
      </c>
      <c r="M280" s="64"/>
      <c r="N280" s="64"/>
    </row>
    <row r="281" spans="1:14" x14ac:dyDescent="0.25">
      <c r="A281" s="45" t="s">
        <v>349</v>
      </c>
      <c r="B281" s="46">
        <v>4987.9400000000005</v>
      </c>
      <c r="C281" s="60">
        <v>0.21</v>
      </c>
      <c r="D281" s="47" t="s">
        <v>1839</v>
      </c>
      <c r="E281" s="47" t="s">
        <v>1839</v>
      </c>
      <c r="F281" s="47" t="s">
        <v>1839</v>
      </c>
      <c r="G281" s="48">
        <v>0.2462</v>
      </c>
      <c r="H281" s="48">
        <v>0.2462</v>
      </c>
      <c r="I281" s="48">
        <v>0.27298433084679108</v>
      </c>
      <c r="K281" s="62">
        <v>0</v>
      </c>
      <c r="M281" s="64"/>
      <c r="N281" s="64"/>
    </row>
    <row r="282" spans="1:14" x14ac:dyDescent="0.25">
      <c r="A282" s="45" t="s">
        <v>350</v>
      </c>
      <c r="B282" s="46">
        <v>4639.7300000000005</v>
      </c>
      <c r="C282" s="60">
        <v>0.21</v>
      </c>
      <c r="D282" s="47" t="s">
        <v>1839</v>
      </c>
      <c r="E282" s="47" t="s">
        <v>1839</v>
      </c>
      <c r="F282" s="47" t="s">
        <v>1839</v>
      </c>
      <c r="G282" s="48">
        <v>0.13880000000000001</v>
      </c>
      <c r="H282" s="48">
        <v>0.13880000000000001</v>
      </c>
      <c r="I282" s="48">
        <v>0.21891679123300339</v>
      </c>
      <c r="K282" s="62">
        <v>0</v>
      </c>
      <c r="M282" s="64"/>
      <c r="N282" s="64"/>
    </row>
    <row r="283" spans="1:14" x14ac:dyDescent="0.25">
      <c r="A283" s="45" t="s">
        <v>351</v>
      </c>
      <c r="B283" s="46">
        <v>1670.3</v>
      </c>
      <c r="C283" s="60">
        <v>0.21</v>
      </c>
      <c r="D283" s="47" t="s">
        <v>1839</v>
      </c>
      <c r="E283" s="47" t="s">
        <v>1839</v>
      </c>
      <c r="F283" s="47" t="s">
        <v>1839</v>
      </c>
      <c r="G283" s="48">
        <v>0.16220000000000001</v>
      </c>
      <c r="H283" s="48">
        <v>0.16220000000000001</v>
      </c>
      <c r="I283" s="48">
        <v>0.23348701736230559</v>
      </c>
      <c r="K283" s="62">
        <v>0</v>
      </c>
      <c r="M283" s="64"/>
      <c r="N283" s="64"/>
    </row>
    <row r="284" spans="1:14" x14ac:dyDescent="0.25">
      <c r="A284" s="45" t="s">
        <v>352</v>
      </c>
      <c r="B284" s="46">
        <v>2076.59</v>
      </c>
      <c r="C284" s="60">
        <v>0.21</v>
      </c>
      <c r="D284" s="47" t="s">
        <v>1839</v>
      </c>
      <c r="E284" s="47" t="s">
        <v>1839</v>
      </c>
      <c r="F284" s="47" t="s">
        <v>1839</v>
      </c>
      <c r="G284" s="48">
        <v>0.16639999999999999</v>
      </c>
      <c r="H284" s="48">
        <v>0.16639999999999999</v>
      </c>
      <c r="I284" s="48">
        <v>0.22938588823050471</v>
      </c>
      <c r="K284" s="62">
        <v>0</v>
      </c>
      <c r="M284" s="64"/>
      <c r="N284" s="64"/>
    </row>
    <row r="285" spans="1:14" x14ac:dyDescent="0.25">
      <c r="A285" s="45" t="s">
        <v>353</v>
      </c>
      <c r="B285" s="46">
        <v>2463.8700000000003</v>
      </c>
      <c r="C285" s="60">
        <v>0.21</v>
      </c>
      <c r="D285" s="47" t="s">
        <v>1839</v>
      </c>
      <c r="E285" s="47" t="s">
        <v>1839</v>
      </c>
      <c r="F285" s="47" t="s">
        <v>1839</v>
      </c>
      <c r="G285" s="48">
        <v>0.1656</v>
      </c>
      <c r="H285" s="48">
        <v>0.1656</v>
      </c>
      <c r="I285" s="48">
        <v>0.22658485507969009</v>
      </c>
      <c r="K285" s="62">
        <v>0</v>
      </c>
      <c r="M285" s="64"/>
      <c r="N285" s="64"/>
    </row>
    <row r="286" spans="1:14" x14ac:dyDescent="0.25">
      <c r="A286" s="45" t="s">
        <v>354</v>
      </c>
      <c r="B286" s="46">
        <v>1770.09</v>
      </c>
      <c r="C286" s="60">
        <v>0.21</v>
      </c>
      <c r="D286" s="47" t="s">
        <v>1839</v>
      </c>
      <c r="E286" s="47" t="s">
        <v>1839</v>
      </c>
      <c r="F286" s="47" t="s">
        <v>1839</v>
      </c>
      <c r="G286" s="48">
        <v>0.1671</v>
      </c>
      <c r="H286" s="48">
        <v>0.1671</v>
      </c>
      <c r="I286" s="48">
        <v>0.2320863591967863</v>
      </c>
      <c r="K286" s="62">
        <v>0</v>
      </c>
      <c r="M286" s="64"/>
      <c r="N286" s="64"/>
    </row>
    <row r="287" spans="1:14" x14ac:dyDescent="0.25">
      <c r="A287" s="45" t="s">
        <v>355</v>
      </c>
      <c r="B287" s="46">
        <v>2190.63</v>
      </c>
      <c r="C287" s="60">
        <v>0.21</v>
      </c>
      <c r="D287" s="47" t="s">
        <v>1839</v>
      </c>
      <c r="E287" s="47" t="s">
        <v>1839</v>
      </c>
      <c r="F287" s="47" t="s">
        <v>1839</v>
      </c>
      <c r="G287" s="48">
        <v>0.16619999999999999</v>
      </c>
      <c r="H287" s="48">
        <v>0.16619999999999999</v>
      </c>
      <c r="I287" s="48">
        <v>0.22818123034095769</v>
      </c>
      <c r="K287" s="62">
        <v>0</v>
      </c>
      <c r="M287" s="64"/>
      <c r="N287" s="64"/>
    </row>
    <row r="288" spans="1:14" x14ac:dyDescent="0.25">
      <c r="A288" s="45" t="s">
        <v>356</v>
      </c>
      <c r="B288" s="46">
        <v>2582.6600000000003</v>
      </c>
      <c r="C288" s="60">
        <v>0.21</v>
      </c>
      <c r="D288" s="47" t="s">
        <v>1839</v>
      </c>
      <c r="E288" s="47" t="s">
        <v>1839</v>
      </c>
      <c r="F288" s="47" t="s">
        <v>1839</v>
      </c>
      <c r="G288" s="48">
        <v>0.16020000000000001</v>
      </c>
      <c r="H288" s="48">
        <v>0.16020000000000001</v>
      </c>
      <c r="I288" s="48">
        <v>0.21921879231746791</v>
      </c>
      <c r="K288" s="62">
        <v>0</v>
      </c>
      <c r="M288" s="64"/>
      <c r="N288" s="64"/>
    </row>
    <row r="289" spans="1:14" x14ac:dyDescent="0.25">
      <c r="A289" s="45" t="s">
        <v>357</v>
      </c>
      <c r="B289" s="46">
        <v>1689.31</v>
      </c>
      <c r="C289" s="60">
        <v>0.21</v>
      </c>
      <c r="D289" s="47" t="s">
        <v>1839</v>
      </c>
      <c r="E289" s="47" t="s">
        <v>1839</v>
      </c>
      <c r="F289" s="47" t="s">
        <v>1839</v>
      </c>
      <c r="G289" s="48">
        <v>0.16739999999999999</v>
      </c>
      <c r="H289" s="48">
        <v>0.16739999999999999</v>
      </c>
      <c r="I289" s="48">
        <v>0.23338927485949021</v>
      </c>
      <c r="K289" s="62">
        <v>0</v>
      </c>
      <c r="M289" s="64"/>
      <c r="N289" s="64"/>
    </row>
    <row r="290" spans="1:14" x14ac:dyDescent="0.25">
      <c r="A290" s="45" t="s">
        <v>358</v>
      </c>
      <c r="B290" s="46">
        <v>2090.84</v>
      </c>
      <c r="C290" s="60">
        <v>0.21</v>
      </c>
      <c r="D290" s="47" t="s">
        <v>1839</v>
      </c>
      <c r="E290" s="47" t="s">
        <v>1839</v>
      </c>
      <c r="F290" s="47" t="s">
        <v>1839</v>
      </c>
      <c r="G290" s="48">
        <v>0.16650000000000001</v>
      </c>
      <c r="H290" s="48">
        <v>0.16650000000000001</v>
      </c>
      <c r="I290" s="48">
        <v>0.22948774795532051</v>
      </c>
      <c r="K290" s="62">
        <v>0</v>
      </c>
      <c r="M290" s="64"/>
      <c r="N290" s="64"/>
    </row>
    <row r="291" spans="1:14" x14ac:dyDescent="0.25">
      <c r="A291" s="45" t="s">
        <v>359</v>
      </c>
      <c r="B291" s="46">
        <v>3343.4700000000003</v>
      </c>
      <c r="C291" s="60">
        <v>0.21</v>
      </c>
      <c r="D291" s="47" t="s">
        <v>1839</v>
      </c>
      <c r="E291" s="47" t="s">
        <v>1839</v>
      </c>
      <c r="F291" s="47" t="s">
        <v>1839</v>
      </c>
      <c r="G291" s="48">
        <v>3.5299999999999998E-2</v>
      </c>
      <c r="H291" s="48">
        <v>3.5299999999999998E-2</v>
      </c>
      <c r="I291" s="48">
        <v>5.1280382742018821E-2</v>
      </c>
      <c r="K291" s="62">
        <v>0</v>
      </c>
      <c r="M291" s="64"/>
      <c r="N291" s="64"/>
    </row>
    <row r="292" spans="1:14" x14ac:dyDescent="0.25">
      <c r="A292" s="45" t="s">
        <v>360</v>
      </c>
      <c r="B292" s="46">
        <v>3696.98</v>
      </c>
      <c r="C292" s="60">
        <v>0.21</v>
      </c>
      <c r="D292" s="47" t="s">
        <v>1839</v>
      </c>
      <c r="E292" s="47" t="s">
        <v>1839</v>
      </c>
      <c r="F292" s="47" t="s">
        <v>1839</v>
      </c>
      <c r="G292" s="48">
        <v>0.17230000000000001</v>
      </c>
      <c r="H292" s="48">
        <v>0.17230000000000001</v>
      </c>
      <c r="I292" s="48">
        <v>0.23128277558331151</v>
      </c>
      <c r="K292" s="62">
        <v>0</v>
      </c>
      <c r="M292" s="64"/>
      <c r="N292" s="64"/>
    </row>
    <row r="293" spans="1:14" x14ac:dyDescent="0.25">
      <c r="A293" s="45" t="s">
        <v>361</v>
      </c>
      <c r="B293" s="46">
        <v>5973.38</v>
      </c>
      <c r="C293" s="60">
        <v>0.21</v>
      </c>
      <c r="D293" s="47" t="s">
        <v>1839</v>
      </c>
      <c r="E293" s="47" t="s">
        <v>1839</v>
      </c>
      <c r="F293" s="47" t="s">
        <v>1839</v>
      </c>
      <c r="G293" s="48">
        <v>0.16569999999999999</v>
      </c>
      <c r="H293" s="48">
        <v>0.16569999999999999</v>
      </c>
      <c r="I293" s="48">
        <v>0.24571826682888101</v>
      </c>
      <c r="K293" s="62">
        <v>0</v>
      </c>
      <c r="M293" s="64"/>
      <c r="N293" s="64"/>
    </row>
    <row r="294" spans="1:14" x14ac:dyDescent="0.25">
      <c r="A294" s="45" t="s">
        <v>362</v>
      </c>
      <c r="B294" s="46">
        <v>12566.79</v>
      </c>
      <c r="C294" s="60">
        <v>0.21</v>
      </c>
      <c r="D294" s="47" t="s">
        <v>1839</v>
      </c>
      <c r="E294" s="47" t="s">
        <v>1839</v>
      </c>
      <c r="F294" s="47" t="s">
        <v>1839</v>
      </c>
      <c r="G294" s="48">
        <v>3.7400000000000003E-2</v>
      </c>
      <c r="H294" s="48">
        <v>3.7400000000000003E-2</v>
      </c>
      <c r="I294" s="48">
        <v>5.6400292188244557E-2</v>
      </c>
      <c r="K294" s="62">
        <v>0</v>
      </c>
      <c r="M294" s="64"/>
      <c r="N294" s="64"/>
    </row>
    <row r="295" spans="1:14" x14ac:dyDescent="0.25">
      <c r="A295" s="45" t="s">
        <v>363</v>
      </c>
      <c r="B295" s="46">
        <v>2656.4900000000002</v>
      </c>
      <c r="C295" s="60">
        <v>0.21</v>
      </c>
      <c r="D295" s="47" t="s">
        <v>1839</v>
      </c>
      <c r="E295" s="47" t="s">
        <v>1839</v>
      </c>
      <c r="F295" s="47" t="s">
        <v>1839</v>
      </c>
      <c r="G295" s="48">
        <v>0.122</v>
      </c>
      <c r="H295" s="48">
        <v>0.122</v>
      </c>
      <c r="I295" s="48">
        <v>0.16998929794520551</v>
      </c>
      <c r="K295" s="62">
        <v>0</v>
      </c>
      <c r="M295" s="64"/>
      <c r="N295" s="64"/>
    </row>
    <row r="296" spans="1:14" x14ac:dyDescent="0.25">
      <c r="A296" s="45" t="s">
        <v>364</v>
      </c>
      <c r="B296" s="46">
        <v>2489.7600000000002</v>
      </c>
      <c r="C296" s="60">
        <v>0.21</v>
      </c>
      <c r="D296" s="47" t="s">
        <v>1839</v>
      </c>
      <c r="E296" s="47" t="s">
        <v>1839</v>
      </c>
      <c r="F296" s="47" t="s">
        <v>1839</v>
      </c>
      <c r="G296" s="48">
        <v>7.4300000000000005E-2</v>
      </c>
      <c r="H296" s="48">
        <v>7.4300000000000005E-2</v>
      </c>
      <c r="I296" s="48">
        <v>0.1072844400659605</v>
      </c>
      <c r="K296" s="62">
        <v>0</v>
      </c>
      <c r="M296" s="64"/>
      <c r="N296" s="64"/>
    </row>
    <row r="297" spans="1:14" x14ac:dyDescent="0.25">
      <c r="A297" s="45" t="s">
        <v>365</v>
      </c>
      <c r="B297" s="46">
        <v>5016.29</v>
      </c>
      <c r="C297" s="60">
        <v>0.21</v>
      </c>
      <c r="D297" s="47" t="s">
        <v>1839</v>
      </c>
      <c r="E297" s="47" t="s">
        <v>1839</v>
      </c>
      <c r="F297" s="47" t="s">
        <v>1839</v>
      </c>
      <c r="G297" s="48">
        <v>0.16830000000000001</v>
      </c>
      <c r="H297" s="48">
        <v>0.16830000000000001</v>
      </c>
      <c r="I297" s="48">
        <v>0.25232464903806728</v>
      </c>
      <c r="K297" s="62">
        <v>0</v>
      </c>
      <c r="M297" s="64"/>
      <c r="N297" s="64"/>
    </row>
    <row r="298" spans="1:14" x14ac:dyDescent="0.25">
      <c r="A298" s="45" t="s">
        <v>366</v>
      </c>
      <c r="B298" s="46">
        <v>4760.6400000000003</v>
      </c>
      <c r="C298" s="60">
        <v>0.21</v>
      </c>
      <c r="D298" s="47" t="s">
        <v>1839</v>
      </c>
      <c r="E298" s="47" t="s">
        <v>1839</v>
      </c>
      <c r="F298" s="47" t="s">
        <v>1839</v>
      </c>
      <c r="G298" s="48">
        <v>3.5999999999999997E-2</v>
      </c>
      <c r="H298" s="48">
        <v>3.5999999999999997E-2</v>
      </c>
      <c r="I298" s="48">
        <v>5.2022278166183898E-2</v>
      </c>
      <c r="K298" s="62">
        <v>0</v>
      </c>
      <c r="M298" s="64"/>
      <c r="N298" s="64"/>
    </row>
    <row r="299" spans="1:14" x14ac:dyDescent="0.25">
      <c r="A299" s="45" t="s">
        <v>367</v>
      </c>
      <c r="B299" s="46">
        <v>2649.65</v>
      </c>
      <c r="C299" s="60">
        <v>0.21</v>
      </c>
      <c r="D299" s="47" t="s">
        <v>1839</v>
      </c>
      <c r="E299" s="47" t="s">
        <v>1839</v>
      </c>
      <c r="F299" s="47" t="s">
        <v>1839</v>
      </c>
      <c r="G299" s="48">
        <v>0.16750000000000001</v>
      </c>
      <c r="H299" s="48">
        <v>0.16750000000000001</v>
      </c>
      <c r="I299" s="48">
        <v>0.22748657636402109</v>
      </c>
      <c r="K299" s="62">
        <v>0</v>
      </c>
      <c r="M299" s="64"/>
      <c r="N299" s="64"/>
    </row>
    <row r="300" spans="1:14" x14ac:dyDescent="0.25">
      <c r="A300" s="45" t="s">
        <v>368</v>
      </c>
      <c r="B300" s="46">
        <v>4397.46</v>
      </c>
      <c r="C300" s="60">
        <v>0.105</v>
      </c>
      <c r="D300" s="47" t="s">
        <v>1839</v>
      </c>
      <c r="E300" s="47" t="s">
        <v>1839</v>
      </c>
      <c r="F300" s="47" t="s">
        <v>1839</v>
      </c>
      <c r="G300" s="48">
        <v>0.16539999999999999</v>
      </c>
      <c r="H300" s="48">
        <v>0.16539999999999999</v>
      </c>
      <c r="I300" s="48">
        <v>0.22138782530470691</v>
      </c>
      <c r="K300" s="62">
        <v>0</v>
      </c>
      <c r="M300" s="64"/>
      <c r="N300" s="64"/>
    </row>
    <row r="301" spans="1:14" x14ac:dyDescent="0.25">
      <c r="A301" s="45" t="s">
        <v>369</v>
      </c>
      <c r="B301" s="46">
        <v>4247.6400000000003</v>
      </c>
      <c r="C301" s="60">
        <v>0.21</v>
      </c>
      <c r="D301" s="47" t="s">
        <v>1839</v>
      </c>
      <c r="E301" s="47" t="s">
        <v>1839</v>
      </c>
      <c r="F301" s="47" t="s">
        <v>1839</v>
      </c>
      <c r="G301" s="48">
        <v>7.4300000000000005E-2</v>
      </c>
      <c r="H301" s="48">
        <v>7.4300000000000005E-2</v>
      </c>
      <c r="I301" s="48">
        <v>0.10428761369946581</v>
      </c>
      <c r="K301" s="62">
        <v>0</v>
      </c>
      <c r="M301" s="64"/>
      <c r="N301" s="64"/>
    </row>
    <row r="302" spans="1:14" x14ac:dyDescent="0.25">
      <c r="A302" s="45" t="s">
        <v>370</v>
      </c>
      <c r="B302" s="46">
        <v>9140.2800000000007</v>
      </c>
      <c r="C302" s="60">
        <v>0.105</v>
      </c>
      <c r="D302" s="47" t="s">
        <v>1839</v>
      </c>
      <c r="E302" s="47" t="s">
        <v>1839</v>
      </c>
      <c r="F302" s="47" t="s">
        <v>1839</v>
      </c>
      <c r="G302" s="48">
        <v>0.13539999999999999</v>
      </c>
      <c r="H302" s="48">
        <v>0.13539999999999999</v>
      </c>
      <c r="I302" s="48">
        <v>0.19441940253327339</v>
      </c>
      <c r="K302" s="62">
        <v>0</v>
      </c>
      <c r="M302" s="64"/>
      <c r="N302" s="64"/>
    </row>
    <row r="303" spans="1:14" x14ac:dyDescent="0.25">
      <c r="A303" s="45" t="s">
        <v>371</v>
      </c>
      <c r="B303" s="46">
        <v>9140.2800000000007</v>
      </c>
      <c r="C303" s="60">
        <v>0.105</v>
      </c>
      <c r="D303" s="47" t="s">
        <v>1839</v>
      </c>
      <c r="E303" s="47" t="s">
        <v>1839</v>
      </c>
      <c r="F303" s="47" t="s">
        <v>1839</v>
      </c>
      <c r="G303" s="48">
        <v>0.16239999999999999</v>
      </c>
      <c r="H303" s="48">
        <v>0.16239999999999999</v>
      </c>
      <c r="I303" s="48">
        <v>0.22941985523368999</v>
      </c>
      <c r="K303" s="62">
        <v>0</v>
      </c>
      <c r="M303" s="64"/>
      <c r="N303" s="64"/>
    </row>
    <row r="304" spans="1:14" x14ac:dyDescent="0.25">
      <c r="A304" s="45" t="s">
        <v>372</v>
      </c>
      <c r="B304" s="46">
        <v>9140.2800000000007</v>
      </c>
      <c r="C304" s="60">
        <v>0.105</v>
      </c>
      <c r="D304" s="47" t="s">
        <v>1839</v>
      </c>
      <c r="E304" s="47" t="s">
        <v>1839</v>
      </c>
      <c r="F304" s="47" t="s">
        <v>1839</v>
      </c>
      <c r="G304" s="48">
        <v>0.16239999999999999</v>
      </c>
      <c r="H304" s="48">
        <v>0.16239999999999999</v>
      </c>
      <c r="I304" s="48">
        <v>0.22941985523368999</v>
      </c>
      <c r="K304" s="62">
        <v>0</v>
      </c>
      <c r="M304" s="64"/>
      <c r="N304" s="64"/>
    </row>
    <row r="305" spans="1:14" x14ac:dyDescent="0.25">
      <c r="A305" s="45" t="s">
        <v>373</v>
      </c>
      <c r="B305" s="46">
        <v>9140.2800000000007</v>
      </c>
      <c r="C305" s="60">
        <v>0.105</v>
      </c>
      <c r="D305" s="47" t="s">
        <v>1839</v>
      </c>
      <c r="E305" s="47" t="s">
        <v>1839</v>
      </c>
      <c r="F305" s="47" t="s">
        <v>1839</v>
      </c>
      <c r="G305" s="48">
        <v>0.16769999999999999</v>
      </c>
      <c r="H305" s="48">
        <v>0.16769999999999999</v>
      </c>
      <c r="I305" s="48">
        <v>0.23668559406715389</v>
      </c>
      <c r="K305" s="62">
        <v>0</v>
      </c>
      <c r="M305" s="64"/>
      <c r="N305" s="64"/>
    </row>
    <row r="306" spans="1:14" x14ac:dyDescent="0.25">
      <c r="A306" s="45" t="s">
        <v>374</v>
      </c>
      <c r="B306" s="46">
        <v>10237.969999999999</v>
      </c>
      <c r="C306" s="60">
        <v>0.105</v>
      </c>
      <c r="D306" s="47" t="s">
        <v>1839</v>
      </c>
      <c r="E306" s="47" t="s">
        <v>1839</v>
      </c>
      <c r="F306" s="47" t="s">
        <v>1839</v>
      </c>
      <c r="G306" s="48">
        <v>0.1618</v>
      </c>
      <c r="H306" s="48">
        <v>0.1618</v>
      </c>
      <c r="I306" s="48">
        <v>0.22681926074966621</v>
      </c>
      <c r="K306" s="62">
        <v>0</v>
      </c>
      <c r="M306" s="64"/>
      <c r="N306" s="64"/>
    </row>
    <row r="307" spans="1:14" x14ac:dyDescent="0.25">
      <c r="A307" s="45" t="s">
        <v>375</v>
      </c>
      <c r="B307" s="46">
        <v>9140.2800000000007</v>
      </c>
      <c r="C307" s="60">
        <v>0.105</v>
      </c>
      <c r="D307" s="47" t="s">
        <v>1839</v>
      </c>
      <c r="E307" s="47" t="s">
        <v>1839</v>
      </c>
      <c r="F307" s="47" t="s">
        <v>1839</v>
      </c>
      <c r="G307" s="48">
        <v>0.11840000000000001</v>
      </c>
      <c r="H307" s="48">
        <v>0.11840000000000001</v>
      </c>
      <c r="I307" s="48">
        <v>0.18538565008551719</v>
      </c>
      <c r="K307" s="62">
        <v>0</v>
      </c>
      <c r="M307" s="64"/>
      <c r="N307" s="64"/>
    </row>
    <row r="308" spans="1:14" x14ac:dyDescent="0.25">
      <c r="A308" s="45" t="s">
        <v>376</v>
      </c>
      <c r="B308" s="46">
        <v>9140.2800000000007</v>
      </c>
      <c r="C308" s="60">
        <v>0.105</v>
      </c>
      <c r="D308" s="47" t="s">
        <v>1839</v>
      </c>
      <c r="E308" s="47" t="s">
        <v>1839</v>
      </c>
      <c r="F308" s="47" t="s">
        <v>1839</v>
      </c>
      <c r="G308" s="48">
        <v>0.1414</v>
      </c>
      <c r="H308" s="48">
        <v>0.1414</v>
      </c>
      <c r="I308" s="48">
        <v>0.2096853967351836</v>
      </c>
      <c r="K308" s="62">
        <v>0</v>
      </c>
      <c r="M308" s="64"/>
      <c r="N308" s="64"/>
    </row>
    <row r="309" spans="1:14" x14ac:dyDescent="0.25">
      <c r="A309" s="45" t="s">
        <v>377</v>
      </c>
      <c r="B309" s="46">
        <v>5654.12</v>
      </c>
      <c r="C309" s="60">
        <v>0.21</v>
      </c>
      <c r="D309" s="47" t="s">
        <v>1839</v>
      </c>
      <c r="E309" s="47" t="s">
        <v>1839</v>
      </c>
      <c r="F309" s="47" t="s">
        <v>1839</v>
      </c>
      <c r="G309" s="48">
        <v>3.5999999999999997E-2</v>
      </c>
      <c r="H309" s="48">
        <v>3.5999999999999997E-2</v>
      </c>
      <c r="I309" s="48">
        <v>0.10502111106285431</v>
      </c>
      <c r="K309" s="62">
        <v>0</v>
      </c>
      <c r="M309" s="64"/>
      <c r="N309" s="64"/>
    </row>
    <row r="310" spans="1:14" x14ac:dyDescent="0.25">
      <c r="A310" s="45" t="s">
        <v>378</v>
      </c>
      <c r="B310" s="46">
        <v>4442.58</v>
      </c>
      <c r="C310" s="60">
        <v>0.21</v>
      </c>
      <c r="D310" s="47" t="s">
        <v>1839</v>
      </c>
      <c r="E310" s="47" t="s">
        <v>1839</v>
      </c>
      <c r="F310" s="47" t="s">
        <v>1839</v>
      </c>
      <c r="G310" s="48">
        <v>0.15809999999999999</v>
      </c>
      <c r="H310" s="48">
        <v>0.15809999999999999</v>
      </c>
      <c r="I310" s="48">
        <v>0.2343444173357804</v>
      </c>
      <c r="K310" s="62">
        <v>0</v>
      </c>
      <c r="M310" s="64"/>
      <c r="N310" s="64"/>
    </row>
    <row r="311" spans="1:14" x14ac:dyDescent="0.25">
      <c r="A311" s="45" t="s">
        <v>379</v>
      </c>
      <c r="B311" s="46">
        <v>1435.7</v>
      </c>
      <c r="C311" s="60">
        <v>0.21</v>
      </c>
      <c r="D311" s="47" t="s">
        <v>1839</v>
      </c>
      <c r="E311" s="47" t="s">
        <v>1839</v>
      </c>
      <c r="F311" s="47" t="s">
        <v>1839</v>
      </c>
      <c r="G311" s="48">
        <v>0.1704</v>
      </c>
      <c r="H311" s="48">
        <v>0.1704</v>
      </c>
      <c r="I311" s="48">
        <v>0.23937784151149541</v>
      </c>
      <c r="K311" s="62">
        <v>0</v>
      </c>
      <c r="M311" s="64"/>
      <c r="N311" s="64"/>
    </row>
    <row r="312" spans="1:14" x14ac:dyDescent="0.25">
      <c r="A312" s="45" t="s">
        <v>380</v>
      </c>
      <c r="B312" s="46">
        <v>1435.7</v>
      </c>
      <c r="C312" s="60">
        <v>0.21</v>
      </c>
      <c r="D312" s="47" t="s">
        <v>1839</v>
      </c>
      <c r="E312" s="47" t="s">
        <v>1839</v>
      </c>
      <c r="F312" s="47" t="s">
        <v>1839</v>
      </c>
      <c r="G312" s="48">
        <v>0.1704</v>
      </c>
      <c r="H312" s="48">
        <v>0.1704</v>
      </c>
      <c r="I312" s="48">
        <v>0.23937784151149541</v>
      </c>
      <c r="K312" s="62">
        <v>0</v>
      </c>
      <c r="M312" s="64"/>
      <c r="N312" s="64"/>
    </row>
    <row r="313" spans="1:14" x14ac:dyDescent="0.25">
      <c r="A313" s="45" t="s">
        <v>381</v>
      </c>
      <c r="B313" s="46">
        <v>1435.7</v>
      </c>
      <c r="C313" s="60">
        <v>0.21</v>
      </c>
      <c r="D313" s="47" t="s">
        <v>1839</v>
      </c>
      <c r="E313" s="47" t="s">
        <v>1839</v>
      </c>
      <c r="F313" s="47" t="s">
        <v>1839</v>
      </c>
      <c r="G313" s="48">
        <v>0.1651</v>
      </c>
      <c r="H313" s="48">
        <v>0.1651</v>
      </c>
      <c r="I313" s="48">
        <v>0.2331144973668301</v>
      </c>
      <c r="K313" s="62">
        <v>0</v>
      </c>
      <c r="M313" s="64"/>
      <c r="N313" s="64"/>
    </row>
    <row r="314" spans="1:14" x14ac:dyDescent="0.25">
      <c r="A314" s="45" t="s">
        <v>382</v>
      </c>
      <c r="B314" s="46">
        <v>1435.7</v>
      </c>
      <c r="C314" s="60">
        <v>0.21</v>
      </c>
      <c r="D314" s="47" t="s">
        <v>1839</v>
      </c>
      <c r="E314" s="47" t="s">
        <v>1839</v>
      </c>
      <c r="F314" s="47" t="s">
        <v>1839</v>
      </c>
      <c r="G314" s="48">
        <v>0.1704</v>
      </c>
      <c r="H314" s="48">
        <v>0.1704</v>
      </c>
      <c r="I314" s="48">
        <v>0.23937784151149541</v>
      </c>
      <c r="K314" s="62">
        <v>0</v>
      </c>
      <c r="M314" s="64"/>
      <c r="N314" s="64"/>
    </row>
    <row r="315" spans="1:14" x14ac:dyDescent="0.25">
      <c r="A315" s="45" t="s">
        <v>383</v>
      </c>
      <c r="B315" s="46">
        <v>1435.7</v>
      </c>
      <c r="C315" s="60">
        <v>0.21</v>
      </c>
      <c r="D315" s="47" t="s">
        <v>1839</v>
      </c>
      <c r="E315" s="47" t="s">
        <v>1839</v>
      </c>
      <c r="F315" s="47" t="s">
        <v>1839</v>
      </c>
      <c r="G315" s="48">
        <v>4.4299999999999999E-2</v>
      </c>
      <c r="H315" s="48">
        <v>4.4299999999999999E-2</v>
      </c>
      <c r="I315" s="48">
        <v>6.8293168652418954E-2</v>
      </c>
      <c r="K315" s="62">
        <v>0</v>
      </c>
      <c r="M315" s="64"/>
      <c r="N315" s="64"/>
    </row>
    <row r="316" spans="1:14" x14ac:dyDescent="0.25">
      <c r="A316" s="45" t="s">
        <v>384</v>
      </c>
      <c r="B316" s="46">
        <v>1435.7</v>
      </c>
      <c r="C316" s="60">
        <v>0.21</v>
      </c>
      <c r="D316" s="47" t="s">
        <v>1839</v>
      </c>
      <c r="E316" s="47" t="s">
        <v>1839</v>
      </c>
      <c r="F316" s="47" t="s">
        <v>1839</v>
      </c>
      <c r="G316" s="48">
        <v>0.1704</v>
      </c>
      <c r="H316" s="48">
        <v>0.1704</v>
      </c>
      <c r="I316" s="48">
        <v>0.23937784151149541</v>
      </c>
      <c r="K316" s="62">
        <v>0</v>
      </c>
      <c r="M316" s="64"/>
      <c r="N316" s="64"/>
    </row>
    <row r="317" spans="1:14" x14ac:dyDescent="0.25">
      <c r="A317" s="45" t="s">
        <v>385</v>
      </c>
      <c r="B317" s="46">
        <v>1435.7</v>
      </c>
      <c r="C317" s="60">
        <v>0.21</v>
      </c>
      <c r="D317" s="47" t="s">
        <v>1839</v>
      </c>
      <c r="E317" s="47" t="s">
        <v>1839</v>
      </c>
      <c r="F317" s="47" t="s">
        <v>1839</v>
      </c>
      <c r="G317" s="48">
        <v>0.1704</v>
      </c>
      <c r="H317" s="48">
        <v>0.1704</v>
      </c>
      <c r="I317" s="48">
        <v>0.23937784151149541</v>
      </c>
      <c r="K317" s="62">
        <v>0</v>
      </c>
      <c r="M317" s="64"/>
      <c r="N317" s="64"/>
    </row>
    <row r="318" spans="1:14" x14ac:dyDescent="0.25">
      <c r="A318" s="45" t="s">
        <v>386</v>
      </c>
      <c r="B318" s="46">
        <v>1833.77</v>
      </c>
      <c r="C318" s="60">
        <v>0.21</v>
      </c>
      <c r="D318" s="47" t="s">
        <v>1839</v>
      </c>
      <c r="E318" s="47" t="s">
        <v>1839</v>
      </c>
      <c r="F318" s="47" t="s">
        <v>1839</v>
      </c>
      <c r="G318" s="48">
        <v>0.1135</v>
      </c>
      <c r="H318" s="48">
        <v>0.1135</v>
      </c>
      <c r="I318" s="48">
        <v>0.16250937102038551</v>
      </c>
      <c r="K318" s="62">
        <v>0</v>
      </c>
      <c r="M318" s="64"/>
      <c r="N318" s="64"/>
    </row>
    <row r="319" spans="1:14" x14ac:dyDescent="0.25">
      <c r="A319" s="45" t="s">
        <v>387</v>
      </c>
      <c r="B319" s="46">
        <v>1833.77</v>
      </c>
      <c r="C319" s="60">
        <v>0.21</v>
      </c>
      <c r="D319" s="47" t="s">
        <v>1839</v>
      </c>
      <c r="E319" s="47" t="s">
        <v>1839</v>
      </c>
      <c r="F319" s="47" t="s">
        <v>1839</v>
      </c>
      <c r="G319" s="48">
        <v>0.16350000000000001</v>
      </c>
      <c r="H319" s="48">
        <v>0.16350000000000001</v>
      </c>
      <c r="I319" s="48">
        <v>0.2275177716063802</v>
      </c>
      <c r="K319" s="62">
        <v>0</v>
      </c>
      <c r="M319" s="64"/>
      <c r="N319" s="64"/>
    </row>
    <row r="320" spans="1:14" x14ac:dyDescent="0.25">
      <c r="A320" s="45" t="s">
        <v>388</v>
      </c>
      <c r="B320" s="46">
        <v>1833.77</v>
      </c>
      <c r="C320" s="60">
        <v>0.21</v>
      </c>
      <c r="D320" s="47" t="s">
        <v>1839</v>
      </c>
      <c r="E320" s="47" t="s">
        <v>1839</v>
      </c>
      <c r="F320" s="47" t="s">
        <v>1839</v>
      </c>
      <c r="G320" s="48">
        <v>0.16350000000000001</v>
      </c>
      <c r="H320" s="48">
        <v>0.16350000000000001</v>
      </c>
      <c r="I320" s="48">
        <v>0.2275177716063802</v>
      </c>
      <c r="K320" s="62">
        <v>0</v>
      </c>
      <c r="M320" s="64"/>
      <c r="N320" s="64"/>
    </row>
    <row r="321" spans="1:14" x14ac:dyDescent="0.25">
      <c r="A321" s="45" t="s">
        <v>389</v>
      </c>
      <c r="B321" s="46">
        <v>1833.77</v>
      </c>
      <c r="C321" s="60">
        <v>0.21</v>
      </c>
      <c r="D321" s="47" t="s">
        <v>1839</v>
      </c>
      <c r="E321" s="47" t="s">
        <v>1839</v>
      </c>
      <c r="F321" s="47" t="s">
        <v>1839</v>
      </c>
      <c r="G321" s="48">
        <v>0.13650000000000001</v>
      </c>
      <c r="H321" s="48">
        <v>0.13650000000000001</v>
      </c>
      <c r="I321" s="48">
        <v>0.19251294743680969</v>
      </c>
      <c r="K321" s="62">
        <v>0</v>
      </c>
      <c r="M321" s="64"/>
      <c r="N321" s="64"/>
    </row>
    <row r="322" spans="1:14" x14ac:dyDescent="0.25">
      <c r="A322" s="45" t="s">
        <v>390</v>
      </c>
      <c r="B322" s="46">
        <v>1833.77</v>
      </c>
      <c r="C322" s="60">
        <v>0.21</v>
      </c>
      <c r="D322" s="47" t="s">
        <v>1839</v>
      </c>
      <c r="E322" s="47" t="s">
        <v>1839</v>
      </c>
      <c r="F322" s="47" t="s">
        <v>1839</v>
      </c>
      <c r="G322" s="48">
        <v>3.9E-2</v>
      </c>
      <c r="H322" s="48">
        <v>3.9E-2</v>
      </c>
      <c r="I322" s="48">
        <v>5.9027151435848302E-2</v>
      </c>
      <c r="K322" s="62">
        <v>0</v>
      </c>
      <c r="M322" s="64"/>
      <c r="N322" s="64"/>
    </row>
    <row r="323" spans="1:14" x14ac:dyDescent="0.25">
      <c r="A323" s="45" t="s">
        <v>391</v>
      </c>
      <c r="B323" s="46">
        <v>1833.77</v>
      </c>
      <c r="C323" s="60">
        <v>0.21</v>
      </c>
      <c r="D323" s="47" t="s">
        <v>1839</v>
      </c>
      <c r="E323" s="47" t="s">
        <v>1839</v>
      </c>
      <c r="F323" s="47" t="s">
        <v>1839</v>
      </c>
      <c r="G323" s="48">
        <v>0.16350000000000001</v>
      </c>
      <c r="H323" s="48">
        <v>0.16350000000000001</v>
      </c>
      <c r="I323" s="48">
        <v>0.2275177716063802</v>
      </c>
      <c r="K323" s="62">
        <v>0</v>
      </c>
      <c r="M323" s="64"/>
      <c r="N323" s="64"/>
    </row>
    <row r="324" spans="1:14" x14ac:dyDescent="0.25">
      <c r="A324" s="45" t="s">
        <v>392</v>
      </c>
      <c r="B324" s="46">
        <v>1833.77</v>
      </c>
      <c r="C324" s="60">
        <v>0.21</v>
      </c>
      <c r="D324" s="47" t="s">
        <v>1839</v>
      </c>
      <c r="E324" s="47" t="s">
        <v>1839</v>
      </c>
      <c r="F324" s="47" t="s">
        <v>1839</v>
      </c>
      <c r="G324" s="48">
        <v>0.129</v>
      </c>
      <c r="H324" s="48">
        <v>0.129</v>
      </c>
      <c r="I324" s="48">
        <v>0.18302305358375001</v>
      </c>
      <c r="K324" s="62">
        <v>0</v>
      </c>
      <c r="M324" s="64"/>
      <c r="N324" s="64"/>
    </row>
    <row r="325" spans="1:14" x14ac:dyDescent="0.25">
      <c r="A325" s="45" t="s">
        <v>393</v>
      </c>
      <c r="B325" s="46">
        <v>1993.47</v>
      </c>
      <c r="C325" s="60">
        <v>0.21</v>
      </c>
      <c r="D325" s="47" t="s">
        <v>1839</v>
      </c>
      <c r="E325" s="47" t="s">
        <v>1839</v>
      </c>
      <c r="F325" s="47" t="s">
        <v>1839</v>
      </c>
      <c r="G325" s="48">
        <v>0.10199999999999999</v>
      </c>
      <c r="H325" s="48">
        <v>0.10199999999999999</v>
      </c>
      <c r="I325" s="48">
        <v>0.14602447469996149</v>
      </c>
      <c r="K325" s="62">
        <v>0</v>
      </c>
      <c r="M325" s="64"/>
      <c r="N325" s="64"/>
    </row>
    <row r="326" spans="1:14" x14ac:dyDescent="0.25">
      <c r="A326" s="45" t="s">
        <v>394</v>
      </c>
      <c r="B326" s="46">
        <v>1993.47</v>
      </c>
      <c r="C326" s="60">
        <v>0.21</v>
      </c>
      <c r="D326" s="47" t="s">
        <v>1839</v>
      </c>
      <c r="E326" s="47" t="s">
        <v>1839</v>
      </c>
      <c r="F326" s="47" t="s">
        <v>1839</v>
      </c>
      <c r="G326" s="48">
        <v>0.1628</v>
      </c>
      <c r="H326" s="48">
        <v>0.1628</v>
      </c>
      <c r="I326" s="48">
        <v>0.2258181459954684</v>
      </c>
      <c r="K326" s="62">
        <v>0</v>
      </c>
      <c r="M326" s="64"/>
      <c r="N326" s="64"/>
    </row>
    <row r="327" spans="1:14" x14ac:dyDescent="0.25">
      <c r="A327" s="45" t="s">
        <v>395</v>
      </c>
      <c r="B327" s="46">
        <v>1993.47</v>
      </c>
      <c r="C327" s="60">
        <v>0.21</v>
      </c>
      <c r="D327" s="47" t="s">
        <v>1839</v>
      </c>
      <c r="E327" s="47" t="s">
        <v>1839</v>
      </c>
      <c r="F327" s="47" t="s">
        <v>1839</v>
      </c>
      <c r="G327" s="48">
        <v>0.1681</v>
      </c>
      <c r="H327" s="48">
        <v>0.1681</v>
      </c>
      <c r="I327" s="48">
        <v>0.23208119813100811</v>
      </c>
      <c r="K327" s="62">
        <v>0</v>
      </c>
      <c r="M327" s="64"/>
      <c r="N327" s="64"/>
    </row>
    <row r="328" spans="1:14" x14ac:dyDescent="0.25">
      <c r="A328" s="45" t="s">
        <v>396</v>
      </c>
      <c r="B328" s="46">
        <v>1993.47</v>
      </c>
      <c r="C328" s="60">
        <v>0.21</v>
      </c>
      <c r="D328" s="47" t="s">
        <v>1839</v>
      </c>
      <c r="E328" s="47" t="s">
        <v>1839</v>
      </c>
      <c r="F328" s="47" t="s">
        <v>1839</v>
      </c>
      <c r="G328" s="48">
        <v>0.13780000000000001</v>
      </c>
      <c r="H328" s="48">
        <v>0.13780000000000001</v>
      </c>
      <c r="I328" s="48">
        <v>0.19381290368372489</v>
      </c>
      <c r="K328" s="62">
        <v>0</v>
      </c>
      <c r="M328" s="64"/>
      <c r="N328" s="64"/>
    </row>
    <row r="329" spans="1:14" x14ac:dyDescent="0.25">
      <c r="A329" s="45" t="s">
        <v>397</v>
      </c>
      <c r="B329" s="46">
        <v>1993.47</v>
      </c>
      <c r="C329" s="60">
        <v>0.21</v>
      </c>
      <c r="D329" s="47" t="s">
        <v>1839</v>
      </c>
      <c r="E329" s="47" t="s">
        <v>1839</v>
      </c>
      <c r="F329" s="47" t="s">
        <v>1839</v>
      </c>
      <c r="G329" s="48">
        <v>0.1628</v>
      </c>
      <c r="H329" s="48">
        <v>0.1628</v>
      </c>
      <c r="I329" s="48">
        <v>0.2258181459954684</v>
      </c>
      <c r="K329" s="62">
        <v>0</v>
      </c>
      <c r="M329" s="64"/>
      <c r="N329" s="64"/>
    </row>
    <row r="330" spans="1:14" x14ac:dyDescent="0.25">
      <c r="A330" s="45" t="s">
        <v>398</v>
      </c>
      <c r="B330" s="46">
        <v>1993.47</v>
      </c>
      <c r="C330" s="60">
        <v>0.21</v>
      </c>
      <c r="D330" s="47" t="s">
        <v>1839</v>
      </c>
      <c r="E330" s="47" t="s">
        <v>1839</v>
      </c>
      <c r="F330" s="47" t="s">
        <v>1839</v>
      </c>
      <c r="G330" s="48">
        <v>0.1628</v>
      </c>
      <c r="H330" s="48">
        <v>0.1628</v>
      </c>
      <c r="I330" s="48">
        <v>0.2258181459954684</v>
      </c>
      <c r="K330" s="62">
        <v>0</v>
      </c>
      <c r="M330" s="64"/>
      <c r="N330" s="64"/>
    </row>
    <row r="331" spans="1:14" x14ac:dyDescent="0.25">
      <c r="A331" s="45" t="s">
        <v>399</v>
      </c>
      <c r="B331" s="46">
        <v>1993.47</v>
      </c>
      <c r="C331" s="60">
        <v>0.21</v>
      </c>
      <c r="D331" s="47" t="s">
        <v>1839</v>
      </c>
      <c r="E331" s="47" t="s">
        <v>1839</v>
      </c>
      <c r="F331" s="47" t="s">
        <v>1839</v>
      </c>
      <c r="G331" s="48">
        <v>4.3999999999999997E-2</v>
      </c>
      <c r="H331" s="48">
        <v>4.3999999999999997E-2</v>
      </c>
      <c r="I331" s="48">
        <v>6.6011426708158197E-2</v>
      </c>
      <c r="K331" s="62">
        <v>0</v>
      </c>
      <c r="M331" s="64"/>
      <c r="N331" s="64"/>
    </row>
    <row r="332" spans="1:14" x14ac:dyDescent="0.25">
      <c r="A332" s="45" t="s">
        <v>400</v>
      </c>
      <c r="B332" s="46">
        <v>34289.25</v>
      </c>
      <c r="C332" s="60">
        <v>0.21</v>
      </c>
      <c r="D332" s="47" t="s">
        <v>1839</v>
      </c>
      <c r="E332" s="47" t="s">
        <v>1839</v>
      </c>
      <c r="F332" s="47" t="s">
        <v>1839</v>
      </c>
      <c r="G332" s="48">
        <v>0.1244</v>
      </c>
      <c r="H332" s="48">
        <v>0.1244</v>
      </c>
      <c r="I332" s="48">
        <v>0.1693856121954273</v>
      </c>
      <c r="K332" s="62">
        <v>0</v>
      </c>
      <c r="M332" s="64"/>
      <c r="N332" s="64"/>
    </row>
    <row r="333" spans="1:14" x14ac:dyDescent="0.25">
      <c r="A333" s="45" t="s">
        <v>401</v>
      </c>
      <c r="B333" s="46">
        <v>5162.49</v>
      </c>
      <c r="C333" s="60">
        <v>0.21</v>
      </c>
      <c r="D333" s="47" t="s">
        <v>1839</v>
      </c>
      <c r="E333" s="47" t="s">
        <v>1839</v>
      </c>
      <c r="F333" s="47" t="s">
        <v>1839</v>
      </c>
      <c r="G333" s="48">
        <v>0.12280000000000001</v>
      </c>
      <c r="H333" s="48">
        <v>0.12280000000000001</v>
      </c>
      <c r="I333" s="48">
        <v>0.17674323216488019</v>
      </c>
      <c r="K333" s="62">
        <v>0</v>
      </c>
      <c r="M333" s="64"/>
      <c r="N333" s="64"/>
    </row>
    <row r="334" spans="1:14" x14ac:dyDescent="0.25">
      <c r="A334" s="45" t="s">
        <v>402</v>
      </c>
      <c r="B334" s="46">
        <v>6643.35</v>
      </c>
      <c r="C334" s="60">
        <v>0.21</v>
      </c>
      <c r="D334" s="47" t="s">
        <v>1839</v>
      </c>
      <c r="E334" s="47" t="s">
        <v>1839</v>
      </c>
      <c r="F334" s="47" t="s">
        <v>1839</v>
      </c>
      <c r="G334" s="48">
        <v>0.14349999999999999</v>
      </c>
      <c r="H334" s="48">
        <v>0.14349999999999999</v>
      </c>
      <c r="I334" s="48">
        <v>0.21248167145492811</v>
      </c>
      <c r="K334" s="62">
        <v>0</v>
      </c>
      <c r="M334" s="64"/>
      <c r="N334" s="64"/>
    </row>
    <row r="335" spans="1:14" x14ac:dyDescent="0.25">
      <c r="A335" s="45" t="s">
        <v>403</v>
      </c>
      <c r="B335" s="46">
        <v>7560.77</v>
      </c>
      <c r="C335" s="60">
        <v>0.21</v>
      </c>
      <c r="D335" s="47" t="s">
        <v>1839</v>
      </c>
      <c r="E335" s="47" t="s">
        <v>1839</v>
      </c>
      <c r="F335" s="47" t="s">
        <v>1839</v>
      </c>
      <c r="G335" s="48">
        <v>0.17630000000000001</v>
      </c>
      <c r="H335" s="48">
        <v>0.17630000000000001</v>
      </c>
      <c r="I335" s="48">
        <v>0.25228606027629952</v>
      </c>
      <c r="K335" s="62">
        <v>0</v>
      </c>
      <c r="M335" s="64"/>
      <c r="N335" s="64"/>
    </row>
    <row r="336" spans="1:14" x14ac:dyDescent="0.25">
      <c r="A336" s="45" t="s">
        <v>404</v>
      </c>
      <c r="B336" s="46">
        <v>21988.059999999998</v>
      </c>
      <c r="C336" s="60">
        <v>0.105</v>
      </c>
      <c r="D336" s="47" t="s">
        <v>1839</v>
      </c>
      <c r="E336" s="47" t="s">
        <v>1839</v>
      </c>
      <c r="F336" s="47" t="s">
        <v>1839</v>
      </c>
      <c r="G336" s="48">
        <v>0.16520000000000001</v>
      </c>
      <c r="H336" s="48">
        <v>0.16520000000000001</v>
      </c>
      <c r="I336" s="48">
        <v>0.22318606199575469</v>
      </c>
      <c r="K336" s="62">
        <v>0</v>
      </c>
      <c r="M336" s="64"/>
      <c r="N336" s="64"/>
    </row>
    <row r="337" spans="1:14" x14ac:dyDescent="0.25">
      <c r="A337" s="45" t="s">
        <v>405</v>
      </c>
      <c r="B337" s="46">
        <v>55740.57</v>
      </c>
      <c r="C337" s="60">
        <v>0.105</v>
      </c>
      <c r="D337" s="47" t="s">
        <v>1839</v>
      </c>
      <c r="E337" s="47" t="s">
        <v>1839</v>
      </c>
      <c r="F337" s="47" t="s">
        <v>1839</v>
      </c>
      <c r="G337" s="48">
        <v>8.2199999999999995E-2</v>
      </c>
      <c r="H337" s="48">
        <v>8.2199999999999995E-2</v>
      </c>
      <c r="I337" s="48">
        <v>0.1261865149752191</v>
      </c>
      <c r="K337" s="62">
        <v>0</v>
      </c>
      <c r="M337" s="64"/>
      <c r="N337" s="64"/>
    </row>
    <row r="338" spans="1:14" x14ac:dyDescent="0.25">
      <c r="A338" s="45" t="s">
        <v>406</v>
      </c>
      <c r="B338" s="46">
        <v>20595.21</v>
      </c>
      <c r="C338" s="60">
        <v>0.105</v>
      </c>
      <c r="D338" s="47" t="s">
        <v>1839</v>
      </c>
      <c r="E338" s="47" t="s">
        <v>1839</v>
      </c>
      <c r="F338" s="47" t="s">
        <v>1839</v>
      </c>
      <c r="G338" s="48">
        <v>3.78E-2</v>
      </c>
      <c r="H338" s="48">
        <v>3.78E-2</v>
      </c>
      <c r="I338" s="48">
        <v>5.8370792134877357E-2</v>
      </c>
      <c r="K338" s="62">
        <v>0</v>
      </c>
      <c r="M338" s="64"/>
      <c r="N338" s="64"/>
    </row>
    <row r="339" spans="1:14" x14ac:dyDescent="0.25">
      <c r="A339" s="45" t="s">
        <v>407</v>
      </c>
      <c r="B339" s="46">
        <v>27134.129999999997</v>
      </c>
      <c r="C339" s="60">
        <v>0.105</v>
      </c>
      <c r="D339" s="47" t="s">
        <v>1839</v>
      </c>
      <c r="E339" s="47" t="s">
        <v>1839</v>
      </c>
      <c r="F339" s="47" t="s">
        <v>1839</v>
      </c>
      <c r="G339" s="48">
        <v>0.16450000000000001</v>
      </c>
      <c r="H339" s="48">
        <v>0.16450000000000001</v>
      </c>
      <c r="I339" s="48">
        <v>0.22148580331155979</v>
      </c>
      <c r="K339" s="62">
        <v>0</v>
      </c>
      <c r="M339" s="64"/>
      <c r="N339" s="64"/>
    </row>
    <row r="340" spans="1:14" x14ac:dyDescent="0.25">
      <c r="A340" s="45" t="s">
        <v>408</v>
      </c>
      <c r="B340" s="46">
        <v>40807.14</v>
      </c>
      <c r="C340" s="60">
        <v>0.105</v>
      </c>
      <c r="D340" s="47" t="s">
        <v>1839</v>
      </c>
      <c r="E340" s="47" t="s">
        <v>1839</v>
      </c>
      <c r="F340" s="47" t="s">
        <v>1839</v>
      </c>
      <c r="G340" s="48">
        <v>0.15820000000000001</v>
      </c>
      <c r="H340" s="48">
        <v>0.15820000000000001</v>
      </c>
      <c r="I340" s="48">
        <v>0.2112205571406004</v>
      </c>
      <c r="K340" s="62">
        <v>0</v>
      </c>
      <c r="M340" s="64"/>
      <c r="N340" s="64"/>
    </row>
    <row r="341" spans="1:14" x14ac:dyDescent="0.25">
      <c r="A341" s="45" t="s">
        <v>409</v>
      </c>
      <c r="B341" s="46">
        <v>54336.810000000005</v>
      </c>
      <c r="C341" s="60">
        <v>0.105</v>
      </c>
      <c r="D341" s="47" t="s">
        <v>1839</v>
      </c>
      <c r="E341" s="47" t="s">
        <v>1839</v>
      </c>
      <c r="F341" s="47" t="s">
        <v>1839</v>
      </c>
      <c r="G341" s="48">
        <v>3.5999999999999997E-2</v>
      </c>
      <c r="H341" s="48">
        <v>3.5999999999999997E-2</v>
      </c>
      <c r="I341" s="48">
        <v>5.1111052854770078E-2</v>
      </c>
      <c r="K341" s="62">
        <v>0</v>
      </c>
      <c r="M341" s="64"/>
      <c r="N341" s="64"/>
    </row>
    <row r="342" spans="1:14" x14ac:dyDescent="0.25">
      <c r="A342" s="45" t="s">
        <v>410</v>
      </c>
      <c r="B342" s="46">
        <v>37431.730000000003</v>
      </c>
      <c r="C342" s="60">
        <v>0.105</v>
      </c>
      <c r="D342" s="47" t="s">
        <v>1839</v>
      </c>
      <c r="E342" s="47" t="s">
        <v>1839</v>
      </c>
      <c r="F342" s="47" t="s">
        <v>1839</v>
      </c>
      <c r="G342" s="48">
        <v>0.15820000000000001</v>
      </c>
      <c r="H342" s="48">
        <v>0.15820000000000001</v>
      </c>
      <c r="I342" s="48">
        <v>0.2112202997925616</v>
      </c>
      <c r="K342" s="62">
        <v>0</v>
      </c>
      <c r="M342" s="64"/>
      <c r="N342" s="64"/>
    </row>
    <row r="343" spans="1:14" x14ac:dyDescent="0.25">
      <c r="A343" s="45" t="s">
        <v>411</v>
      </c>
      <c r="B343" s="46">
        <v>34491.79</v>
      </c>
      <c r="C343" s="60">
        <v>0.105</v>
      </c>
      <c r="D343" s="47" t="s">
        <v>1839</v>
      </c>
      <c r="E343" s="47" t="s">
        <v>1839</v>
      </c>
      <c r="F343" s="47" t="s">
        <v>1839</v>
      </c>
      <c r="G343" s="48">
        <v>7.2999999999999995E-2</v>
      </c>
      <c r="H343" s="48">
        <v>7.2999999999999995E-2</v>
      </c>
      <c r="I343" s="48">
        <v>0.1149899963122316</v>
      </c>
      <c r="K343" s="62">
        <v>0</v>
      </c>
      <c r="M343" s="64"/>
      <c r="N343" s="64"/>
    </row>
    <row r="344" spans="1:14" x14ac:dyDescent="0.25">
      <c r="A344" s="45" t="s">
        <v>412</v>
      </c>
      <c r="B344" s="46">
        <v>57510.46</v>
      </c>
      <c r="C344" s="60">
        <v>0.105</v>
      </c>
      <c r="D344" s="47" t="s">
        <v>1839</v>
      </c>
      <c r="E344" s="47" t="s">
        <v>1839</v>
      </c>
      <c r="F344" s="47" t="s">
        <v>1839</v>
      </c>
      <c r="G344" s="48">
        <v>0.1583</v>
      </c>
      <c r="H344" s="48">
        <v>0.1583</v>
      </c>
      <c r="I344" s="48">
        <v>0.21026969924231559</v>
      </c>
      <c r="K344" s="62">
        <v>0</v>
      </c>
      <c r="M344" s="64"/>
      <c r="N344" s="64"/>
    </row>
    <row r="345" spans="1:14" x14ac:dyDescent="0.25">
      <c r="A345" s="45" t="s">
        <v>413</v>
      </c>
      <c r="B345" s="46">
        <v>41838.54</v>
      </c>
      <c r="C345" s="60">
        <v>0.105</v>
      </c>
      <c r="D345" s="47" t="s">
        <v>1839</v>
      </c>
      <c r="E345" s="47" t="s">
        <v>1839</v>
      </c>
      <c r="F345" s="47" t="s">
        <v>1839</v>
      </c>
      <c r="G345" s="48">
        <v>0.159</v>
      </c>
      <c r="H345" s="48">
        <v>0.159</v>
      </c>
      <c r="I345" s="48">
        <v>0.21200507183410519</v>
      </c>
      <c r="K345" s="62">
        <v>0</v>
      </c>
      <c r="M345" s="64"/>
      <c r="N345" s="64"/>
    </row>
    <row r="346" spans="1:14" x14ac:dyDescent="0.25">
      <c r="A346" s="45" t="s">
        <v>414</v>
      </c>
      <c r="B346" s="46">
        <v>101688.33</v>
      </c>
      <c r="C346" s="60">
        <v>0.105</v>
      </c>
      <c r="D346" s="47" t="s">
        <v>1839</v>
      </c>
      <c r="E346" s="47" t="s">
        <v>1839</v>
      </c>
      <c r="F346" s="47" t="s">
        <v>1839</v>
      </c>
      <c r="G346" s="48">
        <v>0.15770000000000001</v>
      </c>
      <c r="H346" s="48">
        <v>0.15770000000000001</v>
      </c>
      <c r="I346" s="48">
        <v>0.20788039719245249</v>
      </c>
      <c r="K346" s="62">
        <v>0</v>
      </c>
      <c r="M346" s="64"/>
      <c r="N346" s="64"/>
    </row>
    <row r="347" spans="1:14" x14ac:dyDescent="0.25">
      <c r="A347" s="45" t="s">
        <v>415</v>
      </c>
      <c r="B347" s="46">
        <v>35666.520000000004</v>
      </c>
      <c r="C347" s="60">
        <v>0.105</v>
      </c>
      <c r="D347" s="47" t="s">
        <v>1839</v>
      </c>
      <c r="E347" s="47" t="s">
        <v>1839</v>
      </c>
      <c r="F347" s="47" t="s">
        <v>1839</v>
      </c>
      <c r="G347" s="48">
        <v>0.1585</v>
      </c>
      <c r="H347" s="48">
        <v>0.1585</v>
      </c>
      <c r="I347" s="48">
        <v>0.21980766294554671</v>
      </c>
      <c r="K347" s="62">
        <v>0</v>
      </c>
      <c r="M347" s="64"/>
      <c r="N347" s="64"/>
    </row>
    <row r="348" spans="1:14" x14ac:dyDescent="0.25">
      <c r="A348" s="45" t="s">
        <v>416</v>
      </c>
      <c r="B348" s="46">
        <v>69488.36</v>
      </c>
      <c r="C348" s="60">
        <v>0.105</v>
      </c>
      <c r="D348" s="47" t="s">
        <v>1839</v>
      </c>
      <c r="E348" s="47" t="s">
        <v>1839</v>
      </c>
      <c r="F348" s="47" t="s">
        <v>1839</v>
      </c>
      <c r="G348" s="48">
        <v>0.1636</v>
      </c>
      <c r="H348" s="48">
        <v>0.1636</v>
      </c>
      <c r="I348" s="48">
        <v>0.21582530007373871</v>
      </c>
      <c r="K348" s="62">
        <v>0</v>
      </c>
      <c r="M348" s="64"/>
      <c r="N348" s="64"/>
    </row>
    <row r="349" spans="1:14" x14ac:dyDescent="0.25">
      <c r="A349" s="45" t="s">
        <v>417</v>
      </c>
      <c r="B349" s="46">
        <v>68015.26999999999</v>
      </c>
      <c r="C349" s="60">
        <v>0.105</v>
      </c>
      <c r="D349" s="47" t="s">
        <v>1839</v>
      </c>
      <c r="E349" s="47" t="s">
        <v>1839</v>
      </c>
      <c r="F349" s="47" t="s">
        <v>1839</v>
      </c>
      <c r="G349" s="48">
        <v>0.16270000000000001</v>
      </c>
      <c r="H349" s="48">
        <v>0.16270000000000001</v>
      </c>
      <c r="I349" s="48">
        <v>0.21468621466678389</v>
      </c>
      <c r="K349" s="62">
        <v>0</v>
      </c>
      <c r="M349" s="64"/>
      <c r="N349" s="64"/>
    </row>
    <row r="350" spans="1:14" x14ac:dyDescent="0.25">
      <c r="A350" s="45" t="s">
        <v>418</v>
      </c>
      <c r="B350" s="46">
        <v>33311.599999999999</v>
      </c>
      <c r="C350" s="60">
        <v>0.105</v>
      </c>
      <c r="D350" s="47" t="s">
        <v>1839</v>
      </c>
      <c r="E350" s="47" t="s">
        <v>1839</v>
      </c>
      <c r="F350" s="47" t="s">
        <v>1839</v>
      </c>
      <c r="G350" s="48">
        <v>0.1648</v>
      </c>
      <c r="H350" s="48">
        <v>0.1648</v>
      </c>
      <c r="I350" s="48">
        <v>0.21997684475370519</v>
      </c>
      <c r="K350" s="62">
        <v>0</v>
      </c>
      <c r="M350" s="64"/>
      <c r="N350" s="64"/>
    </row>
    <row r="351" spans="1:14" x14ac:dyDescent="0.25">
      <c r="A351" s="45" t="s">
        <v>419</v>
      </c>
      <c r="B351" s="46">
        <v>43306.170000000006</v>
      </c>
      <c r="C351" s="60">
        <v>0.105</v>
      </c>
      <c r="D351" s="47" t="s">
        <v>1839</v>
      </c>
      <c r="E351" s="47" t="s">
        <v>1839</v>
      </c>
      <c r="F351" s="47" t="s">
        <v>1839</v>
      </c>
      <c r="G351" s="48">
        <v>0.1588</v>
      </c>
      <c r="H351" s="48">
        <v>0.1588</v>
      </c>
      <c r="I351" s="48">
        <v>0.2182337438283472</v>
      </c>
      <c r="K351" s="62">
        <v>0</v>
      </c>
      <c r="M351" s="64"/>
      <c r="N351" s="64"/>
    </row>
    <row r="352" spans="1:14" x14ac:dyDescent="0.25">
      <c r="A352" s="45" t="s">
        <v>420</v>
      </c>
      <c r="B352" s="46">
        <v>31625.85</v>
      </c>
      <c r="C352" s="60">
        <v>0.105</v>
      </c>
      <c r="D352" s="47" t="s">
        <v>1839</v>
      </c>
      <c r="E352" s="47" t="s">
        <v>1839</v>
      </c>
      <c r="F352" s="47" t="s">
        <v>1839</v>
      </c>
      <c r="G352" s="48">
        <v>0.1598</v>
      </c>
      <c r="H352" s="48">
        <v>0.1598</v>
      </c>
      <c r="I352" s="48">
        <v>0.2212322004570329</v>
      </c>
      <c r="K352" s="62">
        <v>0</v>
      </c>
      <c r="M352" s="64"/>
      <c r="N352" s="64"/>
    </row>
    <row r="353" spans="1:14" x14ac:dyDescent="0.25">
      <c r="A353" s="45" t="s">
        <v>421</v>
      </c>
      <c r="B353" s="46">
        <v>44044.66</v>
      </c>
      <c r="C353" s="60">
        <v>0.105</v>
      </c>
      <c r="D353" s="47" t="s">
        <v>1839</v>
      </c>
      <c r="E353" s="47" t="s">
        <v>1839</v>
      </c>
      <c r="F353" s="47" t="s">
        <v>1839</v>
      </c>
      <c r="G353" s="48">
        <v>7.2400000000000006E-2</v>
      </c>
      <c r="H353" s="48">
        <v>7.2400000000000006E-2</v>
      </c>
      <c r="I353" s="48">
        <v>0.1134202685746772</v>
      </c>
      <c r="K353" s="62">
        <v>0</v>
      </c>
      <c r="M353" s="64"/>
      <c r="N353" s="64"/>
    </row>
    <row r="354" spans="1:14" x14ac:dyDescent="0.25">
      <c r="A354" s="45" t="s">
        <v>422</v>
      </c>
      <c r="B354" s="46">
        <v>77143.599999999991</v>
      </c>
      <c r="C354" s="60">
        <v>0.105</v>
      </c>
      <c r="D354" s="47" t="s">
        <v>1839</v>
      </c>
      <c r="E354" s="47" t="s">
        <v>1839</v>
      </c>
      <c r="F354" s="47" t="s">
        <v>1839</v>
      </c>
      <c r="G354" s="48">
        <v>8.2199999999999995E-2</v>
      </c>
      <c r="H354" s="48">
        <v>8.2199999999999995E-2</v>
      </c>
      <c r="I354" s="48">
        <v>0.12516174381149561</v>
      </c>
      <c r="K354" s="62">
        <v>0</v>
      </c>
      <c r="M354" s="64"/>
      <c r="N354" s="64"/>
    </row>
    <row r="355" spans="1:14" x14ac:dyDescent="0.25">
      <c r="A355" s="45" t="s">
        <v>423</v>
      </c>
      <c r="B355" s="46">
        <v>51396.87</v>
      </c>
      <c r="C355" s="60">
        <v>0.105</v>
      </c>
      <c r="D355" s="47" t="s">
        <v>1839</v>
      </c>
      <c r="E355" s="47" t="s">
        <v>1839</v>
      </c>
      <c r="F355" s="47" t="s">
        <v>1839</v>
      </c>
      <c r="G355" s="48">
        <v>8.0799999999999997E-2</v>
      </c>
      <c r="H355" s="48">
        <v>8.0799999999999997E-2</v>
      </c>
      <c r="I355" s="48">
        <v>0.12378581963871089</v>
      </c>
      <c r="K355" s="62">
        <v>0</v>
      </c>
      <c r="M355" s="64"/>
      <c r="N355" s="64"/>
    </row>
    <row r="356" spans="1:14" x14ac:dyDescent="0.25">
      <c r="A356" s="45" t="s">
        <v>424</v>
      </c>
      <c r="B356" s="46">
        <v>70322.67</v>
      </c>
      <c r="C356" s="60">
        <v>0.105</v>
      </c>
      <c r="D356" s="47" t="s">
        <v>1839</v>
      </c>
      <c r="E356" s="47" t="s">
        <v>1839</v>
      </c>
      <c r="F356" s="47" t="s">
        <v>1839</v>
      </c>
      <c r="G356" s="48">
        <v>0.1578</v>
      </c>
      <c r="H356" s="48">
        <v>0.1578</v>
      </c>
      <c r="I356" s="48">
        <v>0.2151147027436216</v>
      </c>
      <c r="K356" s="62">
        <v>0</v>
      </c>
      <c r="M356" s="64"/>
      <c r="N356" s="64"/>
    </row>
    <row r="357" spans="1:14" x14ac:dyDescent="0.25">
      <c r="A357" s="45" t="s">
        <v>425</v>
      </c>
      <c r="B357" s="46">
        <v>41030.71</v>
      </c>
      <c r="C357" s="60">
        <v>0.105</v>
      </c>
      <c r="D357" s="47" t="s">
        <v>1839</v>
      </c>
      <c r="E357" s="47" t="s">
        <v>1839</v>
      </c>
      <c r="F357" s="47" t="s">
        <v>1839</v>
      </c>
      <c r="G357" s="48">
        <v>0.159</v>
      </c>
      <c r="H357" s="48">
        <v>0.159</v>
      </c>
      <c r="I357" s="48">
        <v>0.2121215348247579</v>
      </c>
      <c r="K357" s="62">
        <v>0</v>
      </c>
      <c r="M357" s="64"/>
      <c r="N357" s="64"/>
    </row>
    <row r="358" spans="1:14" x14ac:dyDescent="0.25">
      <c r="A358" s="45" t="s">
        <v>426</v>
      </c>
      <c r="B358" s="46">
        <v>48170.25</v>
      </c>
      <c r="C358" s="60">
        <v>0.105</v>
      </c>
      <c r="D358" s="47" t="s">
        <v>1839</v>
      </c>
      <c r="E358" s="47" t="s">
        <v>1839</v>
      </c>
      <c r="F358" s="47" t="s">
        <v>1839</v>
      </c>
      <c r="G358" s="48">
        <v>7.51E-2</v>
      </c>
      <c r="H358" s="48">
        <v>7.51E-2</v>
      </c>
      <c r="I358" s="48">
        <v>0.1170883535180806</v>
      </c>
      <c r="K358" s="62">
        <v>0</v>
      </c>
      <c r="M358" s="64"/>
      <c r="N358" s="64"/>
    </row>
    <row r="359" spans="1:14" x14ac:dyDescent="0.25">
      <c r="A359" s="45" t="s">
        <v>427</v>
      </c>
      <c r="B359" s="46">
        <v>38898.590000000004</v>
      </c>
      <c r="C359" s="60">
        <v>0.105</v>
      </c>
      <c r="D359" s="47" t="s">
        <v>1839</v>
      </c>
      <c r="E359" s="47" t="s">
        <v>1839</v>
      </c>
      <c r="F359" s="47" t="s">
        <v>1839</v>
      </c>
      <c r="G359" s="48">
        <v>0.15909999999999999</v>
      </c>
      <c r="H359" s="48">
        <v>0.15909999999999999</v>
      </c>
      <c r="I359" s="48">
        <v>0.21226871337588729</v>
      </c>
      <c r="K359" s="62">
        <v>0</v>
      </c>
      <c r="M359" s="64"/>
      <c r="N359" s="64"/>
    </row>
    <row r="360" spans="1:14" x14ac:dyDescent="0.25">
      <c r="A360" s="45" t="s">
        <v>428</v>
      </c>
      <c r="B360" s="46">
        <v>70519.759999999995</v>
      </c>
      <c r="C360" s="60">
        <v>0.105</v>
      </c>
      <c r="D360" s="47" t="s">
        <v>1839</v>
      </c>
      <c r="E360" s="47" t="s">
        <v>1839</v>
      </c>
      <c r="F360" s="47" t="s">
        <v>1839</v>
      </c>
      <c r="G360" s="48">
        <v>0.16300000000000001</v>
      </c>
      <c r="H360" s="48">
        <v>0.16300000000000001</v>
      </c>
      <c r="I360" s="48">
        <v>0.21511344389942491</v>
      </c>
      <c r="K360" s="62">
        <v>0</v>
      </c>
      <c r="M360" s="64"/>
      <c r="N360" s="64"/>
    </row>
    <row r="361" spans="1:14" x14ac:dyDescent="0.25">
      <c r="A361" s="45" t="s">
        <v>429</v>
      </c>
      <c r="B361" s="46">
        <v>40073.32</v>
      </c>
      <c r="C361" s="60">
        <v>0.105</v>
      </c>
      <c r="D361" s="47" t="s">
        <v>1839</v>
      </c>
      <c r="E361" s="47" t="s">
        <v>1839</v>
      </c>
      <c r="F361" s="47" t="s">
        <v>1839</v>
      </c>
      <c r="G361" s="48">
        <v>0.159</v>
      </c>
      <c r="H361" s="48">
        <v>0.159</v>
      </c>
      <c r="I361" s="48">
        <v>0.212141922048418</v>
      </c>
      <c r="K361" s="62">
        <v>0</v>
      </c>
      <c r="M361" s="64"/>
      <c r="N361" s="64"/>
    </row>
    <row r="362" spans="1:14" x14ac:dyDescent="0.25">
      <c r="A362" s="45" t="s">
        <v>430</v>
      </c>
      <c r="B362" s="46">
        <v>33014.019999999997</v>
      </c>
      <c r="C362" s="60">
        <v>0.105</v>
      </c>
      <c r="D362" s="47" t="s">
        <v>1839</v>
      </c>
      <c r="E362" s="47" t="s">
        <v>1839</v>
      </c>
      <c r="F362" s="47" t="s">
        <v>1839</v>
      </c>
      <c r="G362" s="48">
        <v>0.15959999999999999</v>
      </c>
      <c r="H362" s="48">
        <v>0.15959999999999999</v>
      </c>
      <c r="I362" s="48">
        <v>0.21898613096629099</v>
      </c>
      <c r="K362" s="62">
        <v>0</v>
      </c>
      <c r="M362" s="64"/>
      <c r="N362" s="64"/>
    </row>
    <row r="363" spans="1:14" x14ac:dyDescent="0.25">
      <c r="A363" s="45" t="s">
        <v>431</v>
      </c>
      <c r="B363" s="46">
        <v>42577.810000000005</v>
      </c>
      <c r="C363" s="60">
        <v>0.105</v>
      </c>
      <c r="D363" s="47" t="s">
        <v>1839</v>
      </c>
      <c r="E363" s="47" t="s">
        <v>1839</v>
      </c>
      <c r="F363" s="47" t="s">
        <v>1839</v>
      </c>
      <c r="G363" s="48">
        <v>0.16339999999999999</v>
      </c>
      <c r="H363" s="48">
        <v>0.16339999999999999</v>
      </c>
      <c r="I363" s="48">
        <v>0.217385416439838</v>
      </c>
      <c r="K363" s="62">
        <v>0</v>
      </c>
      <c r="M363" s="64"/>
      <c r="N363" s="64"/>
    </row>
    <row r="364" spans="1:14" x14ac:dyDescent="0.25">
      <c r="A364" s="45" t="s">
        <v>432</v>
      </c>
      <c r="B364" s="46">
        <v>51396.87</v>
      </c>
      <c r="C364" s="60">
        <v>0.105</v>
      </c>
      <c r="D364" s="47" t="s">
        <v>1839</v>
      </c>
      <c r="E364" s="47" t="s">
        <v>1839</v>
      </c>
      <c r="F364" s="47" t="s">
        <v>1839</v>
      </c>
      <c r="G364" s="48">
        <v>7.6300000000000007E-2</v>
      </c>
      <c r="H364" s="48">
        <v>7.6300000000000007E-2</v>
      </c>
      <c r="I364" s="48">
        <v>0.1183336912811216</v>
      </c>
      <c r="K364" s="62">
        <v>0</v>
      </c>
      <c r="M364" s="64"/>
      <c r="N364" s="64"/>
    </row>
    <row r="365" spans="1:14" x14ac:dyDescent="0.25">
      <c r="A365" s="45" t="s">
        <v>433</v>
      </c>
      <c r="B365" s="46">
        <v>101848.01999999999</v>
      </c>
      <c r="C365" s="60">
        <v>0.105</v>
      </c>
      <c r="D365" s="47" t="s">
        <v>1839</v>
      </c>
      <c r="E365" s="47" t="s">
        <v>1839</v>
      </c>
      <c r="F365" s="47" t="s">
        <v>1839</v>
      </c>
      <c r="G365" s="48">
        <v>8.4900000000000003E-2</v>
      </c>
      <c r="H365" s="48">
        <v>8.4900000000000003E-2</v>
      </c>
      <c r="I365" s="48">
        <v>0.12893021679557221</v>
      </c>
      <c r="K365" s="62">
        <v>0</v>
      </c>
      <c r="M365" s="64"/>
      <c r="N365" s="64"/>
    </row>
    <row r="366" spans="1:14" x14ac:dyDescent="0.25">
      <c r="A366" s="45" t="s">
        <v>434</v>
      </c>
      <c r="B366" s="46">
        <v>90811.15</v>
      </c>
      <c r="C366" s="60">
        <v>0.105</v>
      </c>
      <c r="D366" s="47" t="s">
        <v>1839</v>
      </c>
      <c r="E366" s="47" t="s">
        <v>1839</v>
      </c>
      <c r="F366" s="47" t="s">
        <v>1839</v>
      </c>
      <c r="G366" s="48">
        <v>0.16239999999999999</v>
      </c>
      <c r="H366" s="48">
        <v>0.16239999999999999</v>
      </c>
      <c r="I366" s="48">
        <v>0.21338558623082721</v>
      </c>
      <c r="K366" s="62">
        <v>0</v>
      </c>
      <c r="M366" s="64"/>
      <c r="N366" s="64"/>
    </row>
    <row r="367" spans="1:14" x14ac:dyDescent="0.25">
      <c r="A367" s="45" t="s">
        <v>435</v>
      </c>
      <c r="B367" s="46">
        <v>35964.1</v>
      </c>
      <c r="C367" s="60">
        <v>0.105</v>
      </c>
      <c r="D367" s="47" t="s">
        <v>1839</v>
      </c>
      <c r="E367" s="47" t="s">
        <v>1839</v>
      </c>
      <c r="F367" s="47" t="s">
        <v>1839</v>
      </c>
      <c r="G367" s="48">
        <v>6.7599999999999993E-2</v>
      </c>
      <c r="H367" s="48">
        <v>6.7599999999999993E-2</v>
      </c>
      <c r="I367" s="48">
        <v>0.1076208781870983</v>
      </c>
      <c r="K367" s="62">
        <v>0</v>
      </c>
      <c r="M367" s="64"/>
      <c r="N367" s="64"/>
    </row>
    <row r="368" spans="1:14" x14ac:dyDescent="0.25">
      <c r="A368" s="45" t="s">
        <v>436</v>
      </c>
      <c r="B368" s="46">
        <v>104761.48</v>
      </c>
      <c r="C368" s="60">
        <v>0.105</v>
      </c>
      <c r="D368" s="47" t="s">
        <v>1839</v>
      </c>
      <c r="E368" s="47" t="s">
        <v>1839</v>
      </c>
      <c r="F368" s="47" t="s">
        <v>1839</v>
      </c>
      <c r="G368" s="48">
        <v>9.0499999999999997E-2</v>
      </c>
      <c r="H368" s="48">
        <v>9.0499999999999997E-2</v>
      </c>
      <c r="I368" s="48">
        <v>0.13548124869487871</v>
      </c>
      <c r="K368" s="62">
        <v>0</v>
      </c>
      <c r="M368" s="64"/>
      <c r="N368" s="64"/>
    </row>
    <row r="369" spans="1:14" x14ac:dyDescent="0.25">
      <c r="A369" s="45" t="s">
        <v>437</v>
      </c>
      <c r="B369" s="46">
        <v>64342.29</v>
      </c>
      <c r="C369" s="60">
        <v>0.105</v>
      </c>
      <c r="D369" s="47" t="s">
        <v>1839</v>
      </c>
      <c r="E369" s="47" t="s">
        <v>1839</v>
      </c>
      <c r="F369" s="47" t="s">
        <v>1839</v>
      </c>
      <c r="G369" s="48">
        <v>7.9200000000000007E-2</v>
      </c>
      <c r="H369" s="48">
        <v>7.9200000000000007E-2</v>
      </c>
      <c r="I369" s="48">
        <v>0.1222200960352206</v>
      </c>
      <c r="K369" s="62">
        <v>0</v>
      </c>
      <c r="M369" s="64"/>
      <c r="N369" s="64"/>
    </row>
    <row r="370" spans="1:14" x14ac:dyDescent="0.25">
      <c r="A370" s="45" t="s">
        <v>438</v>
      </c>
      <c r="B370" s="46">
        <v>21982.609999999997</v>
      </c>
      <c r="C370" s="60">
        <v>0.105</v>
      </c>
      <c r="D370" s="47" t="s">
        <v>1839</v>
      </c>
      <c r="E370" s="47" t="s">
        <v>1839</v>
      </c>
      <c r="F370" s="47" t="s">
        <v>1839</v>
      </c>
      <c r="G370" s="48">
        <v>0.1164</v>
      </c>
      <c r="H370" s="48">
        <v>0.1164</v>
      </c>
      <c r="I370" s="48">
        <v>0.174415062246005</v>
      </c>
      <c r="K370" s="62">
        <v>0</v>
      </c>
      <c r="M370" s="64"/>
      <c r="N370" s="64"/>
    </row>
    <row r="371" spans="1:14" x14ac:dyDescent="0.25">
      <c r="A371" s="45" t="s">
        <v>439</v>
      </c>
      <c r="B371" s="46">
        <v>91922.78</v>
      </c>
      <c r="C371" s="60">
        <v>0.105</v>
      </c>
      <c r="D371" s="47" t="s">
        <v>1839</v>
      </c>
      <c r="E371" s="47" t="s">
        <v>1839</v>
      </c>
      <c r="F371" s="47" t="s">
        <v>1839</v>
      </c>
      <c r="G371" s="48">
        <v>8.4000000000000005E-2</v>
      </c>
      <c r="H371" s="48">
        <v>8.4000000000000005E-2</v>
      </c>
      <c r="I371" s="48">
        <v>0.12697467738171719</v>
      </c>
      <c r="K371" s="62">
        <v>0</v>
      </c>
      <c r="M371" s="64"/>
      <c r="N371" s="64"/>
    </row>
    <row r="372" spans="1:14" x14ac:dyDescent="0.25">
      <c r="A372" s="45" t="s">
        <v>440</v>
      </c>
      <c r="B372" s="46">
        <v>20733.09</v>
      </c>
      <c r="C372" s="60">
        <v>0.105</v>
      </c>
      <c r="D372" s="47" t="s">
        <v>1839</v>
      </c>
      <c r="E372" s="47" t="s">
        <v>1839</v>
      </c>
      <c r="F372" s="47" t="s">
        <v>1839</v>
      </c>
      <c r="G372" s="48">
        <v>0.16539999999999999</v>
      </c>
      <c r="H372" s="48">
        <v>0.16539999999999999</v>
      </c>
      <c r="I372" s="48">
        <v>0.22438572239461821</v>
      </c>
      <c r="K372" s="62">
        <v>0</v>
      </c>
      <c r="M372" s="64"/>
      <c r="N372" s="64"/>
    </row>
    <row r="373" spans="1:14" x14ac:dyDescent="0.25">
      <c r="A373" s="45" t="s">
        <v>441</v>
      </c>
      <c r="B373" s="46">
        <v>65814.599999999991</v>
      </c>
      <c r="C373" s="60">
        <v>0.105</v>
      </c>
      <c r="D373" s="47" t="s">
        <v>1839</v>
      </c>
      <c r="E373" s="47" t="s">
        <v>1839</v>
      </c>
      <c r="F373" s="47" t="s">
        <v>1839</v>
      </c>
      <c r="G373" s="48">
        <v>8.48E-2</v>
      </c>
      <c r="H373" s="48">
        <v>8.48E-2</v>
      </c>
      <c r="I373" s="48">
        <v>0.12878609524440149</v>
      </c>
      <c r="K373" s="62">
        <v>0</v>
      </c>
      <c r="M373" s="64"/>
      <c r="N373" s="64"/>
    </row>
    <row r="374" spans="1:14" x14ac:dyDescent="0.25">
      <c r="A374" s="45" t="s">
        <v>442</v>
      </c>
      <c r="B374" s="46">
        <v>51396.87</v>
      </c>
      <c r="C374" s="60">
        <v>0.105</v>
      </c>
      <c r="D374" s="47" t="s">
        <v>1839</v>
      </c>
      <c r="E374" s="47" t="s">
        <v>1839</v>
      </c>
      <c r="F374" s="47" t="s">
        <v>1839</v>
      </c>
      <c r="G374" s="48">
        <v>0.16370000000000001</v>
      </c>
      <c r="H374" s="48">
        <v>0.16370000000000001</v>
      </c>
      <c r="I374" s="48">
        <v>0.21680412537167021</v>
      </c>
      <c r="K374" s="62">
        <v>0</v>
      </c>
      <c r="M374" s="64"/>
      <c r="N374" s="64"/>
    </row>
    <row r="375" spans="1:14" x14ac:dyDescent="0.25">
      <c r="A375" s="45" t="s">
        <v>443</v>
      </c>
      <c r="B375" s="46">
        <v>69062.97</v>
      </c>
      <c r="C375" s="60">
        <v>0.105</v>
      </c>
      <c r="D375" s="47" t="s">
        <v>1839</v>
      </c>
      <c r="E375" s="47" t="s">
        <v>1839</v>
      </c>
      <c r="F375" s="47" t="s">
        <v>1839</v>
      </c>
      <c r="G375" s="48">
        <v>3.5299999999999998E-2</v>
      </c>
      <c r="H375" s="48">
        <v>3.5299999999999998E-2</v>
      </c>
      <c r="I375" s="48">
        <v>5.0980009596908023E-2</v>
      </c>
      <c r="K375" s="62">
        <v>0</v>
      </c>
      <c r="M375" s="64"/>
      <c r="N375" s="64"/>
    </row>
    <row r="376" spans="1:14" x14ac:dyDescent="0.25">
      <c r="A376" s="45" t="s">
        <v>444</v>
      </c>
      <c r="B376" s="46">
        <v>26475.1</v>
      </c>
      <c r="C376" s="60">
        <v>0.105</v>
      </c>
      <c r="D376" s="47" t="s">
        <v>1839</v>
      </c>
      <c r="E376" s="47" t="s">
        <v>1839</v>
      </c>
      <c r="F376" s="47" t="s">
        <v>1839</v>
      </c>
      <c r="G376" s="48">
        <v>6.3500000000000001E-2</v>
      </c>
      <c r="H376" s="48">
        <v>6.3500000000000001E-2</v>
      </c>
      <c r="I376" s="48">
        <v>0.10348598693958121</v>
      </c>
      <c r="K376" s="62">
        <v>0</v>
      </c>
      <c r="M376" s="64"/>
      <c r="N376" s="64"/>
    </row>
    <row r="377" spans="1:14" x14ac:dyDescent="0.25">
      <c r="A377" s="45" t="s">
        <v>445</v>
      </c>
      <c r="B377" s="46">
        <v>58749.07</v>
      </c>
      <c r="C377" s="60">
        <v>0.105</v>
      </c>
      <c r="D377" s="47" t="s">
        <v>1839</v>
      </c>
      <c r="E377" s="47" t="s">
        <v>1839</v>
      </c>
      <c r="F377" s="47" t="s">
        <v>1839</v>
      </c>
      <c r="G377" s="48">
        <v>0.15759999999999999</v>
      </c>
      <c r="H377" s="48">
        <v>0.15759999999999999</v>
      </c>
      <c r="I377" s="48">
        <v>0.2086202595526252</v>
      </c>
      <c r="K377" s="62">
        <v>0</v>
      </c>
      <c r="M377" s="64"/>
      <c r="N377" s="64"/>
    </row>
    <row r="378" spans="1:14" x14ac:dyDescent="0.25">
      <c r="A378" s="45" t="s">
        <v>446</v>
      </c>
      <c r="B378" s="46">
        <v>33460.39</v>
      </c>
      <c r="C378" s="60">
        <v>0.105</v>
      </c>
      <c r="D378" s="47" t="s">
        <v>1839</v>
      </c>
      <c r="E378" s="47" t="s">
        <v>1839</v>
      </c>
      <c r="F378" s="47" t="s">
        <v>1839</v>
      </c>
      <c r="G378" s="48">
        <v>6.7000000000000004E-2</v>
      </c>
      <c r="H378" s="48">
        <v>6.7000000000000004E-2</v>
      </c>
      <c r="I378" s="48">
        <v>0.10697066949198</v>
      </c>
      <c r="K378" s="62">
        <v>0</v>
      </c>
      <c r="M378" s="64"/>
      <c r="N378" s="64"/>
    </row>
    <row r="379" spans="1:14" x14ac:dyDescent="0.25">
      <c r="A379" s="45" t="s">
        <v>447</v>
      </c>
      <c r="B379" s="46">
        <v>112432.29999999999</v>
      </c>
      <c r="C379" s="60">
        <v>0.105</v>
      </c>
      <c r="D379" s="47" t="s">
        <v>1839</v>
      </c>
      <c r="E379" s="47" t="s">
        <v>1839</v>
      </c>
      <c r="F379" s="47" t="s">
        <v>1839</v>
      </c>
      <c r="G379" s="48">
        <v>8.5800000000000001E-2</v>
      </c>
      <c r="H379" s="48">
        <v>8.5800000000000001E-2</v>
      </c>
      <c r="I379" s="48">
        <v>0.12979160099921461</v>
      </c>
      <c r="K379" s="62">
        <v>0</v>
      </c>
      <c r="M379" s="64"/>
      <c r="N379" s="64"/>
    </row>
    <row r="380" spans="1:14" x14ac:dyDescent="0.25">
      <c r="A380" s="45" t="s">
        <v>448</v>
      </c>
      <c r="B380" s="46">
        <v>33088.03</v>
      </c>
      <c r="C380" s="60">
        <v>0.105</v>
      </c>
      <c r="D380" s="47" t="s">
        <v>1839</v>
      </c>
      <c r="E380" s="47" t="s">
        <v>1839</v>
      </c>
      <c r="F380" s="47" t="s">
        <v>1839</v>
      </c>
      <c r="G380" s="48">
        <v>7.1800000000000003E-2</v>
      </c>
      <c r="H380" s="48">
        <v>7.1800000000000003E-2</v>
      </c>
      <c r="I380" s="48">
        <v>0.113841283294766</v>
      </c>
      <c r="K380" s="62">
        <v>0</v>
      </c>
      <c r="M380" s="64"/>
      <c r="N380" s="64"/>
    </row>
    <row r="381" spans="1:14" x14ac:dyDescent="0.25">
      <c r="A381" s="45" t="s">
        <v>449</v>
      </c>
      <c r="B381" s="46">
        <v>116913.87999999999</v>
      </c>
      <c r="C381" s="60">
        <v>0.105</v>
      </c>
      <c r="D381" s="47" t="s">
        <v>1839</v>
      </c>
      <c r="E381" s="47" t="s">
        <v>1839</v>
      </c>
      <c r="F381" s="47" t="s">
        <v>1839</v>
      </c>
      <c r="G381" s="48">
        <v>9.1800000000000007E-2</v>
      </c>
      <c r="H381" s="48">
        <v>9.1800000000000007E-2</v>
      </c>
      <c r="I381" s="48">
        <v>0.1368064107082371</v>
      </c>
      <c r="K381" s="62">
        <v>0</v>
      </c>
      <c r="M381" s="64"/>
      <c r="N381" s="64"/>
    </row>
    <row r="382" spans="1:14" x14ac:dyDescent="0.25">
      <c r="A382" s="45" t="s">
        <v>450</v>
      </c>
      <c r="B382" s="46">
        <v>98467.159999999989</v>
      </c>
      <c r="C382" s="60">
        <v>0.105</v>
      </c>
      <c r="D382" s="47" t="s">
        <v>1839</v>
      </c>
      <c r="E382" s="47" t="s">
        <v>1839</v>
      </c>
      <c r="F382" s="47" t="s">
        <v>1839</v>
      </c>
      <c r="G382" s="48" t="s">
        <v>1839</v>
      </c>
      <c r="H382" s="48" t="s">
        <v>1839</v>
      </c>
      <c r="K382" s="62">
        <v>0</v>
      </c>
      <c r="M382" s="64"/>
      <c r="N382" s="64"/>
    </row>
    <row r="383" spans="1:14" x14ac:dyDescent="0.25">
      <c r="A383" s="45" t="s">
        <v>451</v>
      </c>
      <c r="B383" s="46">
        <v>44119.450000000004</v>
      </c>
      <c r="C383" s="60">
        <v>0.105</v>
      </c>
      <c r="D383" s="47" t="s">
        <v>1839</v>
      </c>
      <c r="E383" s="47" t="s">
        <v>1839</v>
      </c>
      <c r="F383" s="47" t="s">
        <v>1839</v>
      </c>
      <c r="G383" s="48">
        <v>7.46E-2</v>
      </c>
      <c r="H383" s="48">
        <v>7.46E-2</v>
      </c>
      <c r="I383" s="48">
        <v>0.1166132247348626</v>
      </c>
      <c r="K383" s="62">
        <v>0</v>
      </c>
      <c r="M383" s="64"/>
      <c r="N383" s="64"/>
    </row>
    <row r="384" spans="1:14" x14ac:dyDescent="0.25">
      <c r="A384" s="45" t="s">
        <v>452</v>
      </c>
      <c r="B384" s="46">
        <v>98467.159999999989</v>
      </c>
      <c r="C384" s="60">
        <v>0.105</v>
      </c>
      <c r="D384" s="47" t="s">
        <v>1839</v>
      </c>
      <c r="E384" s="47" t="s">
        <v>1839</v>
      </c>
      <c r="F384" s="47" t="s">
        <v>1839</v>
      </c>
      <c r="G384" s="48">
        <v>9.0499999999999997E-2</v>
      </c>
      <c r="H384" s="48">
        <v>9.0499999999999997E-2</v>
      </c>
      <c r="I384" s="48">
        <v>0.13546035284864391</v>
      </c>
      <c r="K384" s="62">
        <v>0</v>
      </c>
      <c r="M384" s="64"/>
      <c r="N384" s="64"/>
    </row>
    <row r="385" spans="1:14" x14ac:dyDescent="0.25">
      <c r="A385" s="45" t="s">
        <v>453</v>
      </c>
      <c r="B385" s="46">
        <v>24635.1</v>
      </c>
      <c r="C385" s="60">
        <v>0.105</v>
      </c>
      <c r="D385" s="47" t="s">
        <v>1839</v>
      </c>
      <c r="E385" s="47" t="s">
        <v>1839</v>
      </c>
      <c r="F385" s="47" t="s">
        <v>1839</v>
      </c>
      <c r="G385" s="48">
        <v>0.1157</v>
      </c>
      <c r="H385" s="48">
        <v>0.1157</v>
      </c>
      <c r="I385" s="48">
        <v>0.17273964402279579</v>
      </c>
      <c r="K385" s="62">
        <v>0</v>
      </c>
      <c r="M385" s="64"/>
      <c r="N385" s="64"/>
    </row>
    <row r="386" spans="1:14" x14ac:dyDescent="0.25">
      <c r="A386" s="45" t="s">
        <v>454</v>
      </c>
      <c r="B386" s="46">
        <v>46331.03</v>
      </c>
      <c r="C386" s="60">
        <v>0.105</v>
      </c>
      <c r="D386" s="47" t="s">
        <v>1839</v>
      </c>
      <c r="E386" s="47" t="s">
        <v>1839</v>
      </c>
      <c r="F386" s="47" t="s">
        <v>1839</v>
      </c>
      <c r="G386" s="48">
        <v>8.09E-2</v>
      </c>
      <c r="H386" s="48">
        <v>8.09E-2</v>
      </c>
      <c r="I386" s="48">
        <v>0.1248573799763599</v>
      </c>
      <c r="K386" s="62">
        <v>0</v>
      </c>
      <c r="M386" s="64"/>
      <c r="N386" s="64"/>
    </row>
    <row r="387" spans="1:14" x14ac:dyDescent="0.25">
      <c r="A387" s="45" t="s">
        <v>455</v>
      </c>
      <c r="B387" s="46">
        <v>41917.99</v>
      </c>
      <c r="C387" s="60">
        <v>0.105</v>
      </c>
      <c r="D387" s="47" t="s">
        <v>1839</v>
      </c>
      <c r="E387" s="47" t="s">
        <v>1839</v>
      </c>
      <c r="F387" s="47" t="s">
        <v>1839</v>
      </c>
      <c r="G387" s="48">
        <v>7.8899999999999998E-2</v>
      </c>
      <c r="H387" s="48">
        <v>7.8899999999999998E-2</v>
      </c>
      <c r="I387" s="48">
        <v>0.1218759184630776</v>
      </c>
      <c r="K387" s="62">
        <v>0</v>
      </c>
      <c r="M387" s="64"/>
      <c r="N387" s="64"/>
    </row>
    <row r="388" spans="1:14" x14ac:dyDescent="0.25">
      <c r="A388" s="45" t="s">
        <v>456</v>
      </c>
      <c r="B388" s="46">
        <v>41917.99</v>
      </c>
      <c r="C388" s="60">
        <v>0.105</v>
      </c>
      <c r="D388" s="47" t="s">
        <v>1839</v>
      </c>
      <c r="E388" s="47" t="s">
        <v>1839</v>
      </c>
      <c r="F388" s="47" t="s">
        <v>1839</v>
      </c>
      <c r="G388" s="48">
        <v>0.1588</v>
      </c>
      <c r="H388" s="48">
        <v>0.1588</v>
      </c>
      <c r="I388" s="48">
        <v>0.21826025959468659</v>
      </c>
      <c r="K388" s="62">
        <v>0</v>
      </c>
      <c r="M388" s="64"/>
      <c r="N388" s="64"/>
    </row>
    <row r="389" spans="1:14" x14ac:dyDescent="0.25">
      <c r="A389" s="45" t="s">
        <v>457</v>
      </c>
      <c r="B389" s="46">
        <v>44119.450000000004</v>
      </c>
      <c r="C389" s="60">
        <v>0.105</v>
      </c>
      <c r="D389" s="47" t="s">
        <v>1839</v>
      </c>
      <c r="E389" s="47" t="s">
        <v>1839</v>
      </c>
      <c r="F389" s="47" t="s">
        <v>1839</v>
      </c>
      <c r="G389" s="48">
        <v>7.7700000000000005E-2</v>
      </c>
      <c r="H389" s="48">
        <v>7.7700000000000005E-2</v>
      </c>
      <c r="I389" s="48">
        <v>0.12068621810087</v>
      </c>
      <c r="K389" s="62">
        <v>0</v>
      </c>
      <c r="M389" s="64"/>
      <c r="N389" s="64"/>
    </row>
    <row r="390" spans="1:14" x14ac:dyDescent="0.25">
      <c r="A390" s="45" t="s">
        <v>458</v>
      </c>
      <c r="B390" s="46">
        <v>58749.07</v>
      </c>
      <c r="C390" s="60">
        <v>0.105</v>
      </c>
      <c r="D390" s="47" t="s">
        <v>1839</v>
      </c>
      <c r="E390" s="47" t="s">
        <v>1839</v>
      </c>
      <c r="F390" s="47" t="s">
        <v>1839</v>
      </c>
      <c r="G390" s="48">
        <v>0.1583</v>
      </c>
      <c r="H390" s="48">
        <v>0.1583</v>
      </c>
      <c r="I390" s="48">
        <v>0.2092563068757673</v>
      </c>
      <c r="K390" s="62">
        <v>0</v>
      </c>
      <c r="M390" s="64"/>
      <c r="N390" s="64"/>
    </row>
    <row r="391" spans="1:14" x14ac:dyDescent="0.25">
      <c r="A391" s="45" t="s">
        <v>459</v>
      </c>
      <c r="B391" s="46">
        <v>220234.21000000002</v>
      </c>
      <c r="C391" s="60">
        <v>0.105</v>
      </c>
      <c r="D391" s="47" t="s">
        <v>1839</v>
      </c>
      <c r="E391" s="47" t="s">
        <v>1839</v>
      </c>
      <c r="F391" s="47" t="s">
        <v>1839</v>
      </c>
      <c r="G391" s="48">
        <v>9.0200000000000002E-2</v>
      </c>
      <c r="H391" s="48">
        <v>9.0200000000000002E-2</v>
      </c>
      <c r="I391" s="48">
        <v>0.13422344977799811</v>
      </c>
      <c r="K391" s="62">
        <v>0</v>
      </c>
      <c r="M391" s="64"/>
      <c r="N391" s="64"/>
    </row>
    <row r="392" spans="1:14" x14ac:dyDescent="0.25">
      <c r="A392" s="45" t="s">
        <v>460</v>
      </c>
      <c r="B392" s="46">
        <v>220245.12</v>
      </c>
      <c r="C392" s="60">
        <v>0.105</v>
      </c>
      <c r="D392" s="47" t="s">
        <v>1839</v>
      </c>
      <c r="E392" s="47" t="s">
        <v>1839</v>
      </c>
      <c r="F392" s="47" t="s">
        <v>1839</v>
      </c>
      <c r="G392" s="48">
        <v>0.09</v>
      </c>
      <c r="H392" s="48">
        <v>0.09</v>
      </c>
      <c r="I392" s="48">
        <v>0.13395941587832949</v>
      </c>
      <c r="K392" s="62">
        <v>0</v>
      </c>
      <c r="M392" s="64"/>
      <c r="N392" s="64"/>
    </row>
    <row r="393" spans="1:14" x14ac:dyDescent="0.25">
      <c r="A393" s="45" t="s">
        <v>461</v>
      </c>
      <c r="B393" s="46">
        <v>4844.43</v>
      </c>
      <c r="C393" s="60">
        <v>0.21</v>
      </c>
      <c r="D393" s="47" t="s">
        <v>1839</v>
      </c>
      <c r="E393" s="47" t="s">
        <v>1839</v>
      </c>
      <c r="F393" s="47" t="s">
        <v>1839</v>
      </c>
      <c r="G393" s="48">
        <v>6.3E-2</v>
      </c>
      <c r="H393" s="48">
        <v>6.3E-2</v>
      </c>
      <c r="I393" s="48">
        <v>8.9021126334722256E-2</v>
      </c>
      <c r="K393" s="62">
        <v>0</v>
      </c>
      <c r="M393" s="64"/>
      <c r="N393" s="64"/>
    </row>
    <row r="394" spans="1:14" x14ac:dyDescent="0.25">
      <c r="A394" s="45" t="s">
        <v>462</v>
      </c>
      <c r="B394" s="46">
        <v>22652.55</v>
      </c>
      <c r="C394" s="60">
        <v>0.105</v>
      </c>
      <c r="D394" s="47" t="s">
        <v>1839</v>
      </c>
      <c r="E394" s="47" t="s">
        <v>1839</v>
      </c>
      <c r="F394" s="47" t="s">
        <v>1839</v>
      </c>
      <c r="G394" s="48">
        <v>0.111</v>
      </c>
      <c r="H394" s="48">
        <v>0.111</v>
      </c>
      <c r="I394" s="48">
        <v>0.16701559442397079</v>
      </c>
      <c r="K394" s="62">
        <v>0</v>
      </c>
      <c r="M394" s="64"/>
      <c r="N394" s="64"/>
    </row>
    <row r="395" spans="1:14" x14ac:dyDescent="0.25">
      <c r="A395" s="45" t="s">
        <v>463</v>
      </c>
      <c r="B395" s="46">
        <v>31546.39</v>
      </c>
      <c r="C395" s="60">
        <v>0.105</v>
      </c>
      <c r="D395" s="47" t="s">
        <v>1839</v>
      </c>
      <c r="E395" s="47" t="s">
        <v>1839</v>
      </c>
      <c r="F395" s="47" t="s">
        <v>1839</v>
      </c>
      <c r="G395" s="48">
        <v>6.5299999999999997E-2</v>
      </c>
      <c r="H395" s="48">
        <v>6.5299999999999997E-2</v>
      </c>
      <c r="I395" s="48">
        <v>0.1053472146801933</v>
      </c>
      <c r="K395" s="62">
        <v>0</v>
      </c>
      <c r="M395" s="64"/>
      <c r="N395" s="64"/>
    </row>
    <row r="396" spans="1:14" x14ac:dyDescent="0.25">
      <c r="A396" s="45" t="s">
        <v>464</v>
      </c>
      <c r="B396" s="46">
        <v>69488.36</v>
      </c>
      <c r="C396" s="60">
        <v>0.105</v>
      </c>
      <c r="D396" s="47" t="s">
        <v>1839</v>
      </c>
      <c r="E396" s="47" t="s">
        <v>1839</v>
      </c>
      <c r="F396" s="47" t="s">
        <v>1839</v>
      </c>
      <c r="G396" s="48">
        <v>0.15790000000000001</v>
      </c>
      <c r="H396" s="48">
        <v>0.15790000000000001</v>
      </c>
      <c r="I396" s="48">
        <v>0.20886030939711431</v>
      </c>
      <c r="K396" s="62">
        <v>0</v>
      </c>
      <c r="M396" s="64"/>
      <c r="N396" s="64"/>
    </row>
    <row r="397" spans="1:14" x14ac:dyDescent="0.25">
      <c r="A397" s="45" t="s">
        <v>465</v>
      </c>
      <c r="B397" s="46">
        <v>101842.56999999999</v>
      </c>
      <c r="C397" s="60">
        <v>0.105</v>
      </c>
      <c r="D397" s="47" t="s">
        <v>1839</v>
      </c>
      <c r="E397" s="47" t="s">
        <v>1839</v>
      </c>
      <c r="F397" s="47" t="s">
        <v>1839</v>
      </c>
      <c r="G397" s="48">
        <v>8.5000000000000006E-2</v>
      </c>
      <c r="H397" s="48">
        <v>8.5000000000000006E-2</v>
      </c>
      <c r="I397" s="48">
        <v>0.12903026822626729</v>
      </c>
      <c r="K397" s="62">
        <v>0</v>
      </c>
      <c r="M397" s="64"/>
      <c r="N397" s="64"/>
    </row>
    <row r="398" spans="1:14" x14ac:dyDescent="0.25">
      <c r="A398" s="45" t="s">
        <v>466</v>
      </c>
      <c r="B398" s="46">
        <v>37064.82</v>
      </c>
      <c r="C398" s="60">
        <v>0.105</v>
      </c>
      <c r="D398" s="47" t="s">
        <v>1839</v>
      </c>
      <c r="E398" s="47" t="s">
        <v>1839</v>
      </c>
      <c r="F398" s="47" t="s">
        <v>1839</v>
      </c>
      <c r="G398" s="48">
        <v>6.9500000000000006E-2</v>
      </c>
      <c r="H398" s="48">
        <v>6.9500000000000006E-2</v>
      </c>
      <c r="I398" s="48">
        <v>0.1105492161667895</v>
      </c>
      <c r="K398" s="62">
        <v>0</v>
      </c>
      <c r="M398" s="64"/>
      <c r="N398" s="64"/>
    </row>
    <row r="399" spans="1:14" x14ac:dyDescent="0.25">
      <c r="A399" s="45" t="s">
        <v>467</v>
      </c>
      <c r="B399" s="46">
        <v>69488.36</v>
      </c>
      <c r="C399" s="60">
        <v>0.105</v>
      </c>
      <c r="D399" s="47" t="s">
        <v>1839</v>
      </c>
      <c r="E399" s="47" t="s">
        <v>1839</v>
      </c>
      <c r="F399" s="47" t="s">
        <v>1839</v>
      </c>
      <c r="G399" s="48">
        <v>8.0799999999999997E-2</v>
      </c>
      <c r="H399" s="48">
        <v>8.0799999999999997E-2</v>
      </c>
      <c r="I399" s="48">
        <v>0.12382156807546631</v>
      </c>
      <c r="K399" s="62">
        <v>0</v>
      </c>
      <c r="M399" s="64"/>
      <c r="N399" s="64"/>
    </row>
    <row r="400" spans="1:14" x14ac:dyDescent="0.25">
      <c r="A400" s="45" t="s">
        <v>468</v>
      </c>
      <c r="B400" s="46">
        <v>2613.7400000000002</v>
      </c>
      <c r="C400" s="60">
        <v>0.21</v>
      </c>
      <c r="D400" s="47" t="s">
        <v>1839</v>
      </c>
      <c r="E400" s="47" t="s">
        <v>1839</v>
      </c>
      <c r="F400" s="47" t="s">
        <v>1839</v>
      </c>
      <c r="G400" s="48">
        <v>0.1022</v>
      </c>
      <c r="H400" s="48">
        <v>0.1022</v>
      </c>
      <c r="I400" s="48">
        <v>0.14421998290841759</v>
      </c>
      <c r="K400" s="62">
        <v>0</v>
      </c>
      <c r="M400" s="64"/>
      <c r="N400" s="64"/>
    </row>
    <row r="401" spans="1:14" x14ac:dyDescent="0.25">
      <c r="A401" s="45" t="s">
        <v>469</v>
      </c>
      <c r="B401" s="46">
        <v>170608.02000000002</v>
      </c>
      <c r="C401" s="60">
        <v>0.105</v>
      </c>
      <c r="D401" s="47" t="s">
        <v>1839</v>
      </c>
      <c r="E401" s="47" t="s">
        <v>1839</v>
      </c>
      <c r="F401" s="47" t="s">
        <v>1839</v>
      </c>
      <c r="G401" s="48">
        <v>9.3799999999999994E-2</v>
      </c>
      <c r="H401" s="48">
        <v>9.3799999999999994E-2</v>
      </c>
      <c r="I401" s="48">
        <v>0.13982853009302959</v>
      </c>
      <c r="K401" s="62">
        <v>0</v>
      </c>
      <c r="M401" s="64"/>
      <c r="N401" s="64"/>
    </row>
    <row r="402" spans="1:14" x14ac:dyDescent="0.25">
      <c r="A402" s="45" t="s">
        <v>470</v>
      </c>
      <c r="B402" s="46">
        <v>39632.410000000003</v>
      </c>
      <c r="C402" s="60">
        <v>0.105</v>
      </c>
      <c r="D402" s="47" t="s">
        <v>1839</v>
      </c>
      <c r="E402" s="47" t="s">
        <v>1839</v>
      </c>
      <c r="F402" s="47" t="s">
        <v>1839</v>
      </c>
      <c r="G402" s="48">
        <v>7.5300000000000006E-2</v>
      </c>
      <c r="H402" s="48">
        <v>7.5300000000000006E-2</v>
      </c>
      <c r="I402" s="48">
        <v>0.1172859725356611</v>
      </c>
      <c r="K402" s="62">
        <v>0</v>
      </c>
      <c r="M402" s="64"/>
      <c r="N402" s="64"/>
    </row>
    <row r="403" spans="1:14" x14ac:dyDescent="0.25">
      <c r="A403" s="45" t="s">
        <v>471</v>
      </c>
      <c r="B403" s="46">
        <v>24335.19</v>
      </c>
      <c r="C403" s="60">
        <v>0.105</v>
      </c>
      <c r="D403" s="47" t="s">
        <v>1839</v>
      </c>
      <c r="E403" s="47" t="s">
        <v>1839</v>
      </c>
      <c r="F403" s="47" t="s">
        <v>1839</v>
      </c>
      <c r="G403" s="48">
        <v>6.7599999999999993E-2</v>
      </c>
      <c r="H403" s="48">
        <v>6.7599999999999993E-2</v>
      </c>
      <c r="I403" s="48">
        <v>0.1086343993446905</v>
      </c>
      <c r="K403" s="62">
        <v>0</v>
      </c>
      <c r="M403" s="64"/>
      <c r="N403" s="64"/>
    </row>
    <row r="404" spans="1:14" x14ac:dyDescent="0.25">
      <c r="A404" s="45" t="s">
        <v>472</v>
      </c>
      <c r="B404" s="46">
        <v>82359</v>
      </c>
      <c r="C404" s="60">
        <v>0.105</v>
      </c>
      <c r="D404" s="47" t="s">
        <v>1839</v>
      </c>
      <c r="E404" s="47" t="s">
        <v>1839</v>
      </c>
      <c r="F404" s="47" t="s">
        <v>1839</v>
      </c>
      <c r="G404" s="48">
        <v>8.3599999999999994E-2</v>
      </c>
      <c r="H404" s="48">
        <v>8.3599999999999994E-2</v>
      </c>
      <c r="I404" s="48">
        <v>0.12659484234663471</v>
      </c>
      <c r="K404" s="62">
        <v>0</v>
      </c>
      <c r="M404" s="64"/>
      <c r="N404" s="64"/>
    </row>
    <row r="405" spans="1:14" x14ac:dyDescent="0.25">
      <c r="A405" s="45" t="s">
        <v>473</v>
      </c>
      <c r="B405" s="46">
        <v>73166.799999999988</v>
      </c>
      <c r="C405" s="60">
        <v>0.105</v>
      </c>
      <c r="D405" s="47" t="s">
        <v>1839</v>
      </c>
      <c r="E405" s="47" t="s">
        <v>1839</v>
      </c>
      <c r="F405" s="47" t="s">
        <v>1839</v>
      </c>
      <c r="G405" s="48">
        <v>8.1500000000000003E-2</v>
      </c>
      <c r="H405" s="48">
        <v>8.1500000000000003E-2</v>
      </c>
      <c r="I405" s="48">
        <v>0.12449136560620611</v>
      </c>
      <c r="K405" s="62">
        <v>0</v>
      </c>
      <c r="M405" s="64"/>
      <c r="N405" s="64"/>
    </row>
    <row r="406" spans="1:14" x14ac:dyDescent="0.25">
      <c r="A406" s="45" t="s">
        <v>474</v>
      </c>
      <c r="B406" s="46">
        <v>45958.670000000006</v>
      </c>
      <c r="C406" s="60">
        <v>0.105</v>
      </c>
      <c r="D406" s="47" t="s">
        <v>1839</v>
      </c>
      <c r="E406" s="47" t="s">
        <v>1839</v>
      </c>
      <c r="F406" s="47" t="s">
        <v>1839</v>
      </c>
      <c r="G406" s="48">
        <v>8.0699999999999994E-2</v>
      </c>
      <c r="H406" s="48">
        <v>8.0699999999999994E-2</v>
      </c>
      <c r="I406" s="48">
        <v>0.12467468887283829</v>
      </c>
      <c r="K406" s="62">
        <v>0</v>
      </c>
      <c r="M406" s="64"/>
      <c r="N406" s="64"/>
    </row>
    <row r="407" spans="1:14" x14ac:dyDescent="0.25">
      <c r="A407" s="45" t="s">
        <v>475</v>
      </c>
      <c r="B407" s="46">
        <v>30148.079999999998</v>
      </c>
      <c r="C407" s="60">
        <v>0.105</v>
      </c>
      <c r="D407" s="47" t="s">
        <v>1839</v>
      </c>
      <c r="E407" s="47" t="s">
        <v>1839</v>
      </c>
      <c r="F407" s="47" t="s">
        <v>1839</v>
      </c>
      <c r="G407" s="48">
        <v>6.7799999999999999E-2</v>
      </c>
      <c r="H407" s="48">
        <v>6.7799999999999999E-2</v>
      </c>
      <c r="I407" s="48">
        <v>0.1087863173765735</v>
      </c>
      <c r="K407" s="62">
        <v>0</v>
      </c>
      <c r="M407" s="64"/>
      <c r="N407" s="64"/>
    </row>
    <row r="408" spans="1:14" x14ac:dyDescent="0.25">
      <c r="A408" s="45" t="s">
        <v>476</v>
      </c>
      <c r="B408" s="46">
        <v>31254.26</v>
      </c>
      <c r="C408" s="60">
        <v>0.105</v>
      </c>
      <c r="D408" s="47" t="s">
        <v>1839</v>
      </c>
      <c r="E408" s="47" t="s">
        <v>1839</v>
      </c>
      <c r="F408" s="47" t="s">
        <v>1839</v>
      </c>
      <c r="G408" s="48">
        <v>6.3700000000000007E-2</v>
      </c>
      <c r="H408" s="48">
        <v>6.3700000000000007E-2</v>
      </c>
      <c r="I408" s="48">
        <v>0.10272082903111469</v>
      </c>
      <c r="K408" s="62">
        <v>0</v>
      </c>
      <c r="M408" s="64"/>
      <c r="N408" s="64"/>
    </row>
    <row r="409" spans="1:14" x14ac:dyDescent="0.25">
      <c r="A409" s="45" t="s">
        <v>477</v>
      </c>
      <c r="B409" s="46">
        <v>58749.07</v>
      </c>
      <c r="C409" s="60">
        <v>0.105</v>
      </c>
      <c r="D409" s="47" t="s">
        <v>1839</v>
      </c>
      <c r="E409" s="47" t="s">
        <v>1839</v>
      </c>
      <c r="F409" s="47" t="s">
        <v>1839</v>
      </c>
      <c r="G409" s="48">
        <v>0.1583</v>
      </c>
      <c r="H409" s="48">
        <v>0.1583</v>
      </c>
      <c r="I409" s="48">
        <v>0.2092563068757673</v>
      </c>
      <c r="K409" s="62">
        <v>0</v>
      </c>
      <c r="M409" s="64"/>
      <c r="N409" s="64"/>
    </row>
    <row r="410" spans="1:14" x14ac:dyDescent="0.25">
      <c r="A410" s="45" t="s">
        <v>478</v>
      </c>
      <c r="B410" s="46">
        <v>37064.82</v>
      </c>
      <c r="C410" s="60">
        <v>0.105</v>
      </c>
      <c r="D410" s="47" t="s">
        <v>1839</v>
      </c>
      <c r="E410" s="47" t="s">
        <v>1839</v>
      </c>
      <c r="F410" s="47" t="s">
        <v>1839</v>
      </c>
      <c r="G410" s="48">
        <v>0.15840000000000001</v>
      </c>
      <c r="H410" s="48">
        <v>0.15840000000000001</v>
      </c>
      <c r="I410" s="48">
        <v>0.21341434830218831</v>
      </c>
      <c r="K410" s="62">
        <v>0</v>
      </c>
      <c r="M410" s="64"/>
      <c r="N410" s="64"/>
    </row>
    <row r="411" spans="1:14" x14ac:dyDescent="0.25">
      <c r="A411" s="45" t="s">
        <v>479</v>
      </c>
      <c r="B411" s="46">
        <v>49196.19</v>
      </c>
      <c r="C411" s="60">
        <v>0.105</v>
      </c>
      <c r="D411" s="47" t="s">
        <v>1839</v>
      </c>
      <c r="E411" s="47" t="s">
        <v>1839</v>
      </c>
      <c r="F411" s="47" t="s">
        <v>1839</v>
      </c>
      <c r="G411" s="48">
        <v>8.0699999999999994E-2</v>
      </c>
      <c r="H411" s="48">
        <v>8.0699999999999994E-2</v>
      </c>
      <c r="I411" s="48">
        <v>0.1247289076043562</v>
      </c>
      <c r="K411" s="62">
        <v>0</v>
      </c>
      <c r="M411" s="64"/>
      <c r="N411" s="64"/>
    </row>
    <row r="412" spans="1:14" x14ac:dyDescent="0.25">
      <c r="A412" s="45" t="s">
        <v>480</v>
      </c>
      <c r="B412" s="46">
        <v>101848.01999999999</v>
      </c>
      <c r="C412" s="60">
        <v>0.105</v>
      </c>
      <c r="D412" s="47" t="s">
        <v>1839</v>
      </c>
      <c r="E412" s="47" t="s">
        <v>1839</v>
      </c>
      <c r="F412" s="47" t="s">
        <v>1839</v>
      </c>
      <c r="G412" s="48">
        <v>8.4900000000000003E-2</v>
      </c>
      <c r="H412" s="48">
        <v>8.4900000000000003E-2</v>
      </c>
      <c r="I412" s="48">
        <v>0.12893021679557221</v>
      </c>
      <c r="K412" s="62">
        <v>0</v>
      </c>
      <c r="M412" s="64"/>
      <c r="N412" s="64"/>
    </row>
    <row r="413" spans="1:14" x14ac:dyDescent="0.25">
      <c r="A413" s="45" t="s">
        <v>481</v>
      </c>
      <c r="B413" s="46">
        <v>99939.47</v>
      </c>
      <c r="C413" s="60">
        <v>0.105</v>
      </c>
      <c r="D413" s="47" t="s">
        <v>1839</v>
      </c>
      <c r="E413" s="47" t="s">
        <v>1839</v>
      </c>
      <c r="F413" s="47" t="s">
        <v>1839</v>
      </c>
      <c r="G413" s="48">
        <v>8.48E-2</v>
      </c>
      <c r="H413" s="48">
        <v>8.48E-2</v>
      </c>
      <c r="I413" s="48">
        <v>0.12883824504118291</v>
      </c>
      <c r="K413" s="62">
        <v>0</v>
      </c>
      <c r="M413" s="64"/>
      <c r="N413" s="64"/>
    </row>
    <row r="414" spans="1:14" x14ac:dyDescent="0.25">
      <c r="A414" s="45" t="s">
        <v>482</v>
      </c>
      <c r="B414" s="46">
        <v>80147.42</v>
      </c>
      <c r="C414" s="60">
        <v>0.105</v>
      </c>
      <c r="D414" s="47" t="s">
        <v>1839</v>
      </c>
      <c r="E414" s="47" t="s">
        <v>1839</v>
      </c>
      <c r="F414" s="47" t="s">
        <v>1839</v>
      </c>
      <c r="G414" s="48">
        <v>8.2600000000000007E-2</v>
      </c>
      <c r="H414" s="48">
        <v>8.2600000000000007E-2</v>
      </c>
      <c r="I414" s="48">
        <v>0.12564188347872171</v>
      </c>
      <c r="K414" s="62">
        <v>0</v>
      </c>
      <c r="M414" s="64"/>
      <c r="N414" s="64"/>
    </row>
    <row r="415" spans="1:14" x14ac:dyDescent="0.25">
      <c r="A415" s="45" t="s">
        <v>483</v>
      </c>
      <c r="B415" s="46">
        <v>67653.819999999992</v>
      </c>
      <c r="C415" s="60">
        <v>0.105</v>
      </c>
      <c r="D415" s="47" t="s">
        <v>1839</v>
      </c>
      <c r="E415" s="47" t="s">
        <v>1839</v>
      </c>
      <c r="F415" s="47" t="s">
        <v>1839</v>
      </c>
      <c r="G415" s="48">
        <v>8.5800000000000001E-2</v>
      </c>
      <c r="H415" s="48">
        <v>8.5800000000000001E-2</v>
      </c>
      <c r="I415" s="48">
        <v>0.12979844075236099</v>
      </c>
      <c r="K415" s="62">
        <v>0</v>
      </c>
      <c r="M415" s="64"/>
      <c r="N415" s="64"/>
    </row>
    <row r="416" spans="1:14" x14ac:dyDescent="0.25">
      <c r="A416" s="45" t="s">
        <v>484</v>
      </c>
      <c r="B416" s="46">
        <v>33827.300000000003</v>
      </c>
      <c r="C416" s="60">
        <v>0.105</v>
      </c>
      <c r="D416" s="47" t="s">
        <v>1839</v>
      </c>
      <c r="E416" s="47" t="s">
        <v>1839</v>
      </c>
      <c r="F416" s="47" t="s">
        <v>1839</v>
      </c>
      <c r="G416" s="48">
        <v>7.1199999999999999E-2</v>
      </c>
      <c r="H416" s="48">
        <v>7.1199999999999999E-2</v>
      </c>
      <c r="I416" s="48">
        <v>0.1131859597266975</v>
      </c>
      <c r="K416" s="62">
        <v>0</v>
      </c>
      <c r="M416" s="64"/>
      <c r="N416" s="64"/>
    </row>
    <row r="417" spans="1:14" x14ac:dyDescent="0.25">
      <c r="A417" s="45" t="s">
        <v>485</v>
      </c>
      <c r="B417" s="46">
        <v>44783.94</v>
      </c>
      <c r="C417" s="60">
        <v>0.105</v>
      </c>
      <c r="D417" s="47" t="s">
        <v>1839</v>
      </c>
      <c r="E417" s="47" t="s">
        <v>1839</v>
      </c>
      <c r="F417" s="47" t="s">
        <v>1839</v>
      </c>
      <c r="G417" s="48">
        <v>0.158</v>
      </c>
      <c r="H417" s="48">
        <v>0.158</v>
      </c>
      <c r="I417" s="48">
        <v>0.21002052987160791</v>
      </c>
      <c r="K417" s="62">
        <v>0</v>
      </c>
      <c r="M417" s="64"/>
      <c r="N417" s="64"/>
    </row>
    <row r="418" spans="1:14" x14ac:dyDescent="0.25">
      <c r="A418" s="45" t="s">
        <v>486</v>
      </c>
      <c r="B418" s="46">
        <v>33460.39</v>
      </c>
      <c r="C418" s="60">
        <v>0.105</v>
      </c>
      <c r="D418" s="47" t="s">
        <v>1839</v>
      </c>
      <c r="E418" s="47" t="s">
        <v>1839</v>
      </c>
      <c r="F418" s="47" t="s">
        <v>1839</v>
      </c>
      <c r="G418" s="48">
        <v>7.0999999999999994E-2</v>
      </c>
      <c r="H418" s="48">
        <v>7.0999999999999994E-2</v>
      </c>
      <c r="I418" s="48">
        <v>0.1129864346422076</v>
      </c>
      <c r="K418" s="62">
        <v>0</v>
      </c>
      <c r="M418" s="64"/>
      <c r="N418" s="64"/>
    </row>
    <row r="419" spans="1:14" x14ac:dyDescent="0.25">
      <c r="A419" s="45" t="s">
        <v>487</v>
      </c>
      <c r="B419" s="46">
        <v>46256.25</v>
      </c>
      <c r="C419" s="60">
        <v>0.105</v>
      </c>
      <c r="D419" s="47" t="s">
        <v>1839</v>
      </c>
      <c r="E419" s="47" t="s">
        <v>1839</v>
      </c>
      <c r="F419" s="47" t="s">
        <v>1839</v>
      </c>
      <c r="G419" s="48">
        <v>7.9600000000000004E-2</v>
      </c>
      <c r="H419" s="48">
        <v>7.9600000000000004E-2</v>
      </c>
      <c r="I419" s="48">
        <v>0.12258220875991931</v>
      </c>
      <c r="K419" s="62">
        <v>0</v>
      </c>
      <c r="M419" s="64"/>
      <c r="N419" s="64"/>
    </row>
    <row r="420" spans="1:14" x14ac:dyDescent="0.25">
      <c r="A420" s="45" t="s">
        <v>488</v>
      </c>
      <c r="B420" s="46">
        <v>101848.01999999999</v>
      </c>
      <c r="C420" s="60">
        <v>0.105</v>
      </c>
      <c r="D420" s="47" t="s">
        <v>1839</v>
      </c>
      <c r="E420" s="47" t="s">
        <v>1839</v>
      </c>
      <c r="F420" s="47" t="s">
        <v>1839</v>
      </c>
      <c r="G420" s="48">
        <v>0.1573</v>
      </c>
      <c r="H420" s="48">
        <v>0.1573</v>
      </c>
      <c r="I420" s="48">
        <v>0.20729119044632191</v>
      </c>
      <c r="K420" s="62">
        <v>0</v>
      </c>
      <c r="M420" s="64"/>
      <c r="N420" s="64"/>
    </row>
    <row r="421" spans="1:14" x14ac:dyDescent="0.25">
      <c r="A421" s="45" t="s">
        <v>489</v>
      </c>
      <c r="B421" s="46">
        <v>109349.01</v>
      </c>
      <c r="C421" s="60">
        <v>0.105</v>
      </c>
      <c r="D421" s="47" t="s">
        <v>1839</v>
      </c>
      <c r="E421" s="47" t="s">
        <v>1839</v>
      </c>
      <c r="F421" s="47" t="s">
        <v>1839</v>
      </c>
      <c r="G421" s="48">
        <v>8.6099999999999996E-2</v>
      </c>
      <c r="H421" s="48">
        <v>8.6099999999999996E-2</v>
      </c>
      <c r="I421" s="48">
        <v>0.13010478048405341</v>
      </c>
      <c r="K421" s="62">
        <v>0</v>
      </c>
      <c r="M421" s="64"/>
      <c r="N421" s="64"/>
    </row>
    <row r="422" spans="1:14" x14ac:dyDescent="0.25">
      <c r="A422" s="45" t="s">
        <v>490</v>
      </c>
      <c r="B422" s="46">
        <v>101842.56999999999</v>
      </c>
      <c r="C422" s="60">
        <v>0.105</v>
      </c>
      <c r="D422" s="47" t="s">
        <v>1839</v>
      </c>
      <c r="E422" s="47" t="s">
        <v>1839</v>
      </c>
      <c r="F422" s="47" t="s">
        <v>1839</v>
      </c>
      <c r="G422" s="48">
        <v>8.5000000000000006E-2</v>
      </c>
      <c r="H422" s="48">
        <v>8.5000000000000006E-2</v>
      </c>
      <c r="I422" s="48">
        <v>0.12903026822626729</v>
      </c>
      <c r="K422" s="62">
        <v>0</v>
      </c>
      <c r="M422" s="64"/>
      <c r="N422" s="64"/>
    </row>
    <row r="423" spans="1:14" x14ac:dyDescent="0.25">
      <c r="A423" s="45" t="s">
        <v>491</v>
      </c>
      <c r="B423" s="46">
        <v>24474.629999999997</v>
      </c>
      <c r="C423" s="60">
        <v>0.105</v>
      </c>
      <c r="D423" s="47" t="s">
        <v>1839</v>
      </c>
      <c r="E423" s="47" t="s">
        <v>1839</v>
      </c>
      <c r="F423" s="47" t="s">
        <v>1839</v>
      </c>
      <c r="G423" s="48">
        <v>6.2600000000000003E-2</v>
      </c>
      <c r="H423" s="48">
        <v>6.2600000000000003E-2</v>
      </c>
      <c r="I423" s="48">
        <v>0.1015719787920068</v>
      </c>
      <c r="K423" s="62">
        <v>0</v>
      </c>
      <c r="M423" s="64"/>
      <c r="N423" s="64"/>
    </row>
    <row r="424" spans="1:14" x14ac:dyDescent="0.25">
      <c r="A424" s="45" t="s">
        <v>492</v>
      </c>
      <c r="B424" s="46">
        <v>40078.78</v>
      </c>
      <c r="C424" s="60">
        <v>0.105</v>
      </c>
      <c r="D424" s="47" t="s">
        <v>1839</v>
      </c>
      <c r="E424" s="47" t="s">
        <v>1839</v>
      </c>
      <c r="F424" s="47" t="s">
        <v>1839</v>
      </c>
      <c r="G424" s="48">
        <v>7.5600000000000001E-2</v>
      </c>
      <c r="H424" s="48">
        <v>7.5600000000000001E-2</v>
      </c>
      <c r="I424" s="48">
        <v>0.118587038203797</v>
      </c>
      <c r="K424" s="62">
        <v>0</v>
      </c>
      <c r="M424" s="64"/>
      <c r="N424" s="64"/>
    </row>
    <row r="425" spans="1:14" x14ac:dyDescent="0.25">
      <c r="A425" s="45" t="s">
        <v>493</v>
      </c>
      <c r="B425" s="46">
        <v>5354.01</v>
      </c>
      <c r="C425" s="60">
        <v>0.21</v>
      </c>
      <c r="D425" s="47" t="s">
        <v>1839</v>
      </c>
      <c r="E425" s="47" t="s">
        <v>1839</v>
      </c>
      <c r="F425" s="47" t="s">
        <v>1839</v>
      </c>
      <c r="G425" s="48">
        <v>3.6299999999999999E-2</v>
      </c>
      <c r="H425" s="48">
        <v>3.6299999999999999E-2</v>
      </c>
      <c r="I425" s="48">
        <v>0.1112812879119639</v>
      </c>
      <c r="K425" s="62">
        <v>0</v>
      </c>
      <c r="M425" s="64"/>
      <c r="N425" s="64"/>
    </row>
    <row r="426" spans="1:14" x14ac:dyDescent="0.25">
      <c r="A426" s="45" t="s">
        <v>494</v>
      </c>
      <c r="B426" s="46">
        <v>4456.66</v>
      </c>
      <c r="C426" s="60">
        <v>0.21</v>
      </c>
      <c r="D426" s="47" t="s">
        <v>1839</v>
      </c>
      <c r="E426" s="47" t="s">
        <v>1839</v>
      </c>
      <c r="F426" s="47" t="s">
        <v>1839</v>
      </c>
      <c r="G426" s="48">
        <v>3.5299999999999998E-2</v>
      </c>
      <c r="H426" s="48">
        <v>3.5299999999999998E-2</v>
      </c>
      <c r="I426" s="48">
        <v>5.1282850989016693E-2</v>
      </c>
      <c r="K426" s="62">
        <v>0</v>
      </c>
      <c r="M426" s="64"/>
      <c r="N426" s="64"/>
    </row>
    <row r="427" spans="1:14" x14ac:dyDescent="0.25">
      <c r="A427" s="45" t="s">
        <v>495</v>
      </c>
      <c r="B427" s="46">
        <v>4456.66</v>
      </c>
      <c r="C427" s="60">
        <v>0.21</v>
      </c>
      <c r="D427" s="47" t="s">
        <v>1839</v>
      </c>
      <c r="E427" s="47" t="s">
        <v>1839</v>
      </c>
      <c r="F427" s="47" t="s">
        <v>1839</v>
      </c>
      <c r="G427" s="48">
        <v>3.5299999999999998E-2</v>
      </c>
      <c r="H427" s="48">
        <v>3.5299999999999998E-2</v>
      </c>
      <c r="I427" s="48">
        <v>5.1282850989016693E-2</v>
      </c>
      <c r="K427" s="62">
        <v>0</v>
      </c>
      <c r="M427" s="64"/>
      <c r="N427" s="64"/>
    </row>
    <row r="428" spans="1:14" x14ac:dyDescent="0.25">
      <c r="A428" s="45" t="s">
        <v>496</v>
      </c>
      <c r="B428" s="46">
        <v>4651.41</v>
      </c>
      <c r="C428" s="60">
        <v>0.21</v>
      </c>
      <c r="D428" s="47" t="s">
        <v>1839</v>
      </c>
      <c r="E428" s="47" t="s">
        <v>1839</v>
      </c>
      <c r="F428" s="47" t="s">
        <v>1839</v>
      </c>
      <c r="G428" s="48">
        <v>3.5299999999999998E-2</v>
      </c>
      <c r="H428" s="48">
        <v>3.5299999999999998E-2</v>
      </c>
      <c r="I428" s="48">
        <v>5.0286324380605832E-2</v>
      </c>
      <c r="K428" s="62">
        <v>0</v>
      </c>
      <c r="M428" s="64"/>
      <c r="N428" s="64"/>
    </row>
    <row r="429" spans="1:14" x14ac:dyDescent="0.25">
      <c r="A429" s="45" t="s">
        <v>497</v>
      </c>
      <c r="B429" s="46">
        <v>5818.3600000000006</v>
      </c>
      <c r="C429" s="60">
        <v>0.21</v>
      </c>
      <c r="D429" s="47" t="s">
        <v>1839</v>
      </c>
      <c r="E429" s="47" t="s">
        <v>1839</v>
      </c>
      <c r="F429" s="47" t="s">
        <v>1839</v>
      </c>
      <c r="G429" s="48">
        <v>0.1736</v>
      </c>
      <c r="H429" s="48">
        <v>0.1736</v>
      </c>
      <c r="I429" s="48">
        <v>0.25558537946524101</v>
      </c>
      <c r="K429" s="62">
        <v>0</v>
      </c>
      <c r="M429" s="64"/>
      <c r="N429" s="64"/>
    </row>
    <row r="430" spans="1:14" x14ac:dyDescent="0.25">
      <c r="A430" s="45" t="s">
        <v>498</v>
      </c>
      <c r="B430" s="46">
        <v>10863.94</v>
      </c>
      <c r="C430" s="60">
        <v>0.21</v>
      </c>
      <c r="D430" s="47" t="s">
        <v>1839</v>
      </c>
      <c r="E430" s="47" t="s">
        <v>1839</v>
      </c>
      <c r="F430" s="47" t="s">
        <v>1839</v>
      </c>
      <c r="G430" s="48">
        <v>0.1206</v>
      </c>
      <c r="H430" s="48">
        <v>0.1206</v>
      </c>
      <c r="I430" s="48">
        <v>0.17361486398683179</v>
      </c>
      <c r="K430" s="62">
        <v>0</v>
      </c>
      <c r="M430" s="64"/>
      <c r="N430" s="64"/>
    </row>
    <row r="431" spans="1:14" x14ac:dyDescent="0.25">
      <c r="A431" s="45" t="s">
        <v>499</v>
      </c>
      <c r="B431" s="46">
        <v>5139</v>
      </c>
      <c r="C431" s="60">
        <v>0.21</v>
      </c>
      <c r="D431" s="47" t="s">
        <v>1839</v>
      </c>
      <c r="E431" s="47" t="s">
        <v>1839</v>
      </c>
      <c r="F431" s="47" t="s">
        <v>1839</v>
      </c>
      <c r="G431" s="48">
        <v>0.1686</v>
      </c>
      <c r="H431" s="48">
        <v>0.1686</v>
      </c>
      <c r="I431" s="48">
        <v>0.21658441124711361</v>
      </c>
      <c r="K431" s="62">
        <v>0</v>
      </c>
      <c r="M431" s="64"/>
      <c r="N431" s="64"/>
    </row>
    <row r="432" spans="1:14" x14ac:dyDescent="0.25">
      <c r="A432" s="45" t="s">
        <v>500</v>
      </c>
      <c r="B432" s="46">
        <v>21573.55</v>
      </c>
      <c r="C432" s="60">
        <v>0.21</v>
      </c>
      <c r="D432" s="47" t="s">
        <v>1839</v>
      </c>
      <c r="E432" s="47" t="s">
        <v>1839</v>
      </c>
      <c r="F432" s="47" t="s">
        <v>1839</v>
      </c>
      <c r="G432" s="48">
        <v>0.16450000000000001</v>
      </c>
      <c r="H432" s="48">
        <v>0.16450000000000001</v>
      </c>
      <c r="I432" s="48">
        <v>0.21248577509117619</v>
      </c>
      <c r="K432" s="62">
        <v>0</v>
      </c>
      <c r="M432" s="64"/>
      <c r="N432" s="64"/>
    </row>
    <row r="433" spans="1:14" x14ac:dyDescent="0.25">
      <c r="A433" s="45" t="s">
        <v>501</v>
      </c>
      <c r="B433" s="46">
        <v>151.13</v>
      </c>
      <c r="C433" s="60">
        <v>0.21</v>
      </c>
      <c r="D433" s="47" t="s">
        <v>1839</v>
      </c>
      <c r="E433" s="47" t="s">
        <v>1839</v>
      </c>
      <c r="F433" s="47" t="s">
        <v>1839</v>
      </c>
      <c r="G433" s="48">
        <v>3.5999999999999997E-2</v>
      </c>
      <c r="H433" s="48">
        <v>3.5999999999999997E-2</v>
      </c>
      <c r="I433" s="48">
        <v>0.37597648199781791</v>
      </c>
      <c r="K433" s="62">
        <v>0</v>
      </c>
      <c r="M433" s="64"/>
      <c r="N433" s="64"/>
    </row>
    <row r="434" spans="1:14" x14ac:dyDescent="0.25">
      <c r="A434" s="45" t="s">
        <v>502</v>
      </c>
      <c r="B434" s="46">
        <v>515.70000000000005</v>
      </c>
      <c r="C434" s="60">
        <v>0.21</v>
      </c>
      <c r="D434" s="47" t="s">
        <v>1839</v>
      </c>
      <c r="E434" s="47" t="s">
        <v>1839</v>
      </c>
      <c r="F434" s="47" t="s">
        <v>1839</v>
      </c>
      <c r="G434" s="48">
        <v>0.14799999999999999</v>
      </c>
      <c r="H434" s="48">
        <v>0.14799999999999999</v>
      </c>
      <c r="I434" s="48">
        <v>0.26402021389563107</v>
      </c>
      <c r="K434" s="62">
        <v>0</v>
      </c>
      <c r="M434" s="64"/>
      <c r="N434" s="64"/>
    </row>
    <row r="435" spans="1:14" x14ac:dyDescent="0.25">
      <c r="A435" s="45" t="s">
        <v>503</v>
      </c>
      <c r="B435" s="46">
        <v>2177.69</v>
      </c>
      <c r="C435" s="60">
        <v>0.21</v>
      </c>
      <c r="D435" s="47" t="s">
        <v>1839</v>
      </c>
      <c r="E435" s="47" t="s">
        <v>1839</v>
      </c>
      <c r="F435" s="47" t="s">
        <v>1839</v>
      </c>
      <c r="G435" s="48">
        <v>7.7299999999999994E-2</v>
      </c>
      <c r="H435" s="48">
        <v>7.7299999999999994E-2</v>
      </c>
      <c r="I435" s="48">
        <v>0.1122929330334697</v>
      </c>
      <c r="K435" s="62">
        <v>0</v>
      </c>
      <c r="M435" s="64"/>
      <c r="N435" s="64"/>
    </row>
    <row r="436" spans="1:14" x14ac:dyDescent="0.25">
      <c r="A436" s="45" t="s">
        <v>504</v>
      </c>
      <c r="B436" s="46">
        <v>1587.36</v>
      </c>
      <c r="C436" s="60">
        <v>0.21</v>
      </c>
      <c r="D436" s="47" t="s">
        <v>1839</v>
      </c>
      <c r="E436" s="47" t="s">
        <v>1839</v>
      </c>
      <c r="F436" s="47" t="s">
        <v>1839</v>
      </c>
      <c r="G436" s="48">
        <v>3.5299999999999998E-2</v>
      </c>
      <c r="H436" s="48">
        <v>3.5299999999999998E-2</v>
      </c>
      <c r="I436" s="48">
        <v>5.5024818491628387E-2</v>
      </c>
      <c r="K436" s="62">
        <v>0</v>
      </c>
      <c r="M436" s="64"/>
      <c r="N436" s="64"/>
    </row>
    <row r="437" spans="1:14" x14ac:dyDescent="0.25">
      <c r="A437" s="45" t="s">
        <v>505</v>
      </c>
      <c r="B437" s="46">
        <v>5779.8</v>
      </c>
      <c r="C437" s="60">
        <v>0.21</v>
      </c>
      <c r="D437" s="47" t="s">
        <v>1839</v>
      </c>
      <c r="E437" s="47" t="s">
        <v>1839</v>
      </c>
      <c r="F437" s="47" t="s">
        <v>1839</v>
      </c>
      <c r="G437" s="48">
        <v>3.5999999999999997E-2</v>
      </c>
      <c r="H437" s="48">
        <v>3.5999999999999997E-2</v>
      </c>
      <c r="I437" s="48">
        <v>0.102021645860884</v>
      </c>
      <c r="K437" s="62">
        <v>0</v>
      </c>
      <c r="M437" s="64"/>
      <c r="N437" s="64"/>
    </row>
    <row r="438" spans="1:14" x14ac:dyDescent="0.25">
      <c r="A438" s="45" t="s">
        <v>506</v>
      </c>
      <c r="B438" s="46">
        <v>5006.0300000000007</v>
      </c>
      <c r="C438" s="60">
        <v>0.21</v>
      </c>
      <c r="D438" s="47" t="s">
        <v>1839</v>
      </c>
      <c r="E438" s="47" t="s">
        <v>1839</v>
      </c>
      <c r="F438" s="47" t="s">
        <v>1839</v>
      </c>
      <c r="G438" s="48">
        <v>7.7299999999999994E-2</v>
      </c>
      <c r="H438" s="48">
        <v>7.7299999999999994E-2</v>
      </c>
      <c r="I438" s="48">
        <v>0.15433924266910509</v>
      </c>
      <c r="K438" s="62">
        <v>0</v>
      </c>
      <c r="M438" s="64"/>
      <c r="N438" s="64"/>
    </row>
    <row r="439" spans="1:14" x14ac:dyDescent="0.25">
      <c r="A439" s="45" t="s">
        <v>507</v>
      </c>
      <c r="B439" s="46">
        <v>4982.09</v>
      </c>
      <c r="C439" s="60">
        <v>0.21</v>
      </c>
      <c r="D439" s="47" t="s">
        <v>1839</v>
      </c>
      <c r="E439" s="47" t="s">
        <v>1839</v>
      </c>
      <c r="F439" s="47" t="s">
        <v>1839</v>
      </c>
      <c r="G439" s="48">
        <v>3.5299999999999998E-2</v>
      </c>
      <c r="H439" s="48">
        <v>3.5299999999999998E-2</v>
      </c>
      <c r="I439" s="48">
        <v>5.0285588924548548E-2</v>
      </c>
      <c r="K439" s="62">
        <v>0</v>
      </c>
      <c r="M439" s="64"/>
      <c r="N439" s="64"/>
    </row>
    <row r="440" spans="1:14" x14ac:dyDescent="0.25">
      <c r="A440" s="45" t="s">
        <v>508</v>
      </c>
      <c r="B440" s="46">
        <v>3820.2200000000003</v>
      </c>
      <c r="C440" s="60">
        <v>0.21</v>
      </c>
      <c r="D440" s="47" t="s">
        <v>1839</v>
      </c>
      <c r="E440" s="47" t="s">
        <v>1839</v>
      </c>
      <c r="F440" s="47" t="s">
        <v>1839</v>
      </c>
      <c r="G440" s="48">
        <v>0.18160000000000001</v>
      </c>
      <c r="H440" s="48">
        <v>0.18160000000000001</v>
      </c>
      <c r="I440" s="48">
        <v>0.24888722325791249</v>
      </c>
      <c r="K440" s="62">
        <v>0</v>
      </c>
      <c r="M440" s="64"/>
      <c r="N440" s="64"/>
    </row>
    <row r="441" spans="1:14" x14ac:dyDescent="0.25">
      <c r="A441" s="45" t="s">
        <v>509</v>
      </c>
      <c r="B441" s="46">
        <v>5729.55</v>
      </c>
      <c r="C441" s="60">
        <v>0.21</v>
      </c>
      <c r="D441" s="47" t="s">
        <v>1839</v>
      </c>
      <c r="E441" s="47" t="s">
        <v>1839</v>
      </c>
      <c r="F441" s="47" t="s">
        <v>1839</v>
      </c>
      <c r="G441" s="48">
        <v>0.16600000000000001</v>
      </c>
      <c r="H441" s="48">
        <v>0.16600000000000001</v>
      </c>
      <c r="I441" s="48">
        <v>0.25228439071327952</v>
      </c>
      <c r="K441" s="62">
        <v>0</v>
      </c>
      <c r="M441" s="64"/>
      <c r="N441" s="64"/>
    </row>
    <row r="442" spans="1:14" x14ac:dyDescent="0.25">
      <c r="A442" s="45" t="s">
        <v>510</v>
      </c>
      <c r="B442" s="46">
        <v>5729.55</v>
      </c>
      <c r="C442" s="60">
        <v>0.21</v>
      </c>
      <c r="D442" s="47" t="s">
        <v>1839</v>
      </c>
      <c r="E442" s="47" t="s">
        <v>1839</v>
      </c>
      <c r="F442" s="47" t="s">
        <v>1839</v>
      </c>
      <c r="G442" s="48">
        <v>3.5299999999999998E-2</v>
      </c>
      <c r="H442" s="48">
        <v>3.5299999999999998E-2</v>
      </c>
      <c r="I442" s="48">
        <v>0.10228450989038609</v>
      </c>
      <c r="K442" s="62">
        <v>0</v>
      </c>
      <c r="M442" s="64"/>
      <c r="N442" s="64"/>
    </row>
    <row r="443" spans="1:14" x14ac:dyDescent="0.25">
      <c r="A443" s="45" t="s">
        <v>511</v>
      </c>
      <c r="B443" s="46">
        <v>5509.87</v>
      </c>
      <c r="C443" s="60">
        <v>0.21</v>
      </c>
      <c r="D443" s="47" t="s">
        <v>1839</v>
      </c>
      <c r="E443" s="47" t="s">
        <v>1839</v>
      </c>
      <c r="F443" s="47" t="s">
        <v>1839</v>
      </c>
      <c r="G443" s="48">
        <v>0.16639999999999999</v>
      </c>
      <c r="H443" s="48">
        <v>0.16639999999999999</v>
      </c>
      <c r="I443" s="48">
        <v>0.25468551579214338</v>
      </c>
      <c r="K443" s="62">
        <v>0</v>
      </c>
      <c r="M443" s="64"/>
      <c r="N443" s="64"/>
    </row>
    <row r="444" spans="1:14" x14ac:dyDescent="0.25">
      <c r="A444" s="45" t="s">
        <v>512</v>
      </c>
      <c r="B444" s="46">
        <v>5509.87</v>
      </c>
      <c r="C444" s="60">
        <v>0.21</v>
      </c>
      <c r="D444" s="47" t="s">
        <v>1839</v>
      </c>
      <c r="E444" s="47" t="s">
        <v>1839</v>
      </c>
      <c r="F444" s="47" t="s">
        <v>1839</v>
      </c>
      <c r="G444" s="48">
        <v>0.16639999999999999</v>
      </c>
      <c r="H444" s="48">
        <v>0.16639999999999999</v>
      </c>
      <c r="I444" s="48">
        <v>0.25468551579214338</v>
      </c>
      <c r="K444" s="62">
        <v>0</v>
      </c>
      <c r="M444" s="64"/>
      <c r="N444" s="64"/>
    </row>
    <row r="445" spans="1:14" x14ac:dyDescent="0.25">
      <c r="A445" s="45" t="s">
        <v>513</v>
      </c>
      <c r="B445" s="46">
        <v>5093.1100000000006</v>
      </c>
      <c r="C445" s="60">
        <v>0.21</v>
      </c>
      <c r="D445" s="47" t="s">
        <v>1839</v>
      </c>
      <c r="E445" s="47" t="s">
        <v>1839</v>
      </c>
      <c r="F445" s="47" t="s">
        <v>1839</v>
      </c>
      <c r="G445" s="48">
        <v>0.1293</v>
      </c>
      <c r="H445" s="48">
        <v>0.1293</v>
      </c>
      <c r="I445" s="48">
        <v>0.20393257340019549</v>
      </c>
      <c r="K445" s="62">
        <v>0</v>
      </c>
      <c r="M445" s="64"/>
      <c r="N445" s="64"/>
    </row>
    <row r="446" spans="1:14" x14ac:dyDescent="0.25">
      <c r="A446" s="45" t="s">
        <v>514</v>
      </c>
      <c r="B446" s="46">
        <v>5093.1100000000006</v>
      </c>
      <c r="C446" s="60">
        <v>0.21</v>
      </c>
      <c r="D446" s="47" t="s">
        <v>1839</v>
      </c>
      <c r="E446" s="47" t="s">
        <v>1839</v>
      </c>
      <c r="F446" s="47" t="s">
        <v>1839</v>
      </c>
      <c r="G446" s="48">
        <v>0.17230000000000001</v>
      </c>
      <c r="H446" s="48">
        <v>0.17230000000000001</v>
      </c>
      <c r="I446" s="48">
        <v>0.25728649780808571</v>
      </c>
      <c r="K446" s="62">
        <v>0</v>
      </c>
      <c r="M446" s="64"/>
      <c r="N446" s="64"/>
    </row>
    <row r="447" spans="1:14" x14ac:dyDescent="0.25">
      <c r="A447" s="45" t="s">
        <v>515</v>
      </c>
      <c r="B447" s="46">
        <v>5093.1100000000006</v>
      </c>
      <c r="C447" s="60">
        <v>0.21</v>
      </c>
      <c r="D447" s="47" t="s">
        <v>1839</v>
      </c>
      <c r="E447" s="47" t="s">
        <v>1839</v>
      </c>
      <c r="F447" s="47" t="s">
        <v>1839</v>
      </c>
      <c r="G447" s="48">
        <v>0.17230000000000001</v>
      </c>
      <c r="H447" s="48">
        <v>0.17230000000000001</v>
      </c>
      <c r="I447" s="48">
        <v>0.25728606652320168</v>
      </c>
      <c r="K447" s="62">
        <v>0</v>
      </c>
      <c r="M447" s="64"/>
      <c r="N447" s="64"/>
    </row>
    <row r="448" spans="1:14" x14ac:dyDescent="0.25">
      <c r="A448" s="45" t="s">
        <v>516</v>
      </c>
      <c r="B448" s="46">
        <v>4346.82</v>
      </c>
      <c r="C448" s="60">
        <v>0.21</v>
      </c>
      <c r="D448" s="47" t="s">
        <v>1839</v>
      </c>
      <c r="E448" s="47" t="s">
        <v>1839</v>
      </c>
      <c r="F448" s="47" t="s">
        <v>1839</v>
      </c>
      <c r="G448" s="48">
        <v>3.5299999999999998E-2</v>
      </c>
      <c r="H448" s="48">
        <v>3.5299999999999998E-2</v>
      </c>
      <c r="I448" s="48">
        <v>5.2019678251944083E-2</v>
      </c>
      <c r="K448" s="62">
        <v>0</v>
      </c>
      <c r="M448" s="64"/>
      <c r="N448" s="64"/>
    </row>
    <row r="449" spans="1:14" x14ac:dyDescent="0.25">
      <c r="A449" s="45" t="s">
        <v>517</v>
      </c>
      <c r="B449" s="46">
        <v>2032.34</v>
      </c>
      <c r="C449" s="60">
        <v>0.21</v>
      </c>
      <c r="D449" s="47" t="s">
        <v>1839</v>
      </c>
      <c r="E449" s="47" t="s">
        <v>1839</v>
      </c>
      <c r="F449" s="47" t="s">
        <v>1839</v>
      </c>
      <c r="G449" s="48">
        <v>7.1999999999999995E-2</v>
      </c>
      <c r="H449" s="48">
        <v>7.1999999999999995E-2</v>
      </c>
      <c r="I449" s="48">
        <v>0.1050184484976719</v>
      </c>
      <c r="K449" s="62">
        <v>0</v>
      </c>
      <c r="M449" s="64"/>
      <c r="N449" s="64"/>
    </row>
    <row r="450" spans="1:14" x14ac:dyDescent="0.25">
      <c r="A450" s="45" t="s">
        <v>518</v>
      </c>
      <c r="B450" s="46">
        <v>3081.42</v>
      </c>
      <c r="C450" s="60">
        <v>0.21</v>
      </c>
      <c r="D450" s="47" t="s">
        <v>1839</v>
      </c>
      <c r="E450" s="47" t="s">
        <v>1839</v>
      </c>
      <c r="F450" s="47" t="s">
        <v>1839</v>
      </c>
      <c r="G450" s="48">
        <v>3.7999999999999999E-2</v>
      </c>
      <c r="H450" s="48">
        <v>3.7999999999999999E-2</v>
      </c>
      <c r="I450" s="48">
        <v>5.6017835729669951E-2</v>
      </c>
      <c r="K450" s="62">
        <v>0</v>
      </c>
      <c r="M450" s="64"/>
      <c r="N450" s="64"/>
    </row>
    <row r="451" spans="1:14" x14ac:dyDescent="0.25">
      <c r="A451" s="45" t="s">
        <v>519</v>
      </c>
      <c r="B451" s="46">
        <v>4430.6099999999997</v>
      </c>
      <c r="C451" s="60">
        <v>0.21</v>
      </c>
      <c r="D451" s="47" t="s">
        <v>1839</v>
      </c>
      <c r="E451" s="47" t="s">
        <v>1839</v>
      </c>
      <c r="F451" s="47" t="s">
        <v>1839</v>
      </c>
      <c r="G451" s="48">
        <v>7.4999999999999997E-2</v>
      </c>
      <c r="H451" s="48">
        <v>7.4999999999999997E-2</v>
      </c>
      <c r="I451" s="48">
        <v>0.1050177345863378</v>
      </c>
      <c r="K451" s="62">
        <v>0</v>
      </c>
      <c r="M451" s="64"/>
      <c r="N451" s="64"/>
    </row>
    <row r="452" spans="1:14" x14ac:dyDescent="0.25">
      <c r="A452" s="45" t="s">
        <v>520</v>
      </c>
      <c r="B452" s="46">
        <v>6834.87</v>
      </c>
      <c r="C452" s="60">
        <v>0.21</v>
      </c>
      <c r="D452" s="47" t="s">
        <v>1839</v>
      </c>
      <c r="E452" s="47" t="s">
        <v>1839</v>
      </c>
      <c r="F452" s="47" t="s">
        <v>1839</v>
      </c>
      <c r="G452" s="48">
        <v>7.9100000000000004E-2</v>
      </c>
      <c r="H452" s="48">
        <v>7.9100000000000004E-2</v>
      </c>
      <c r="I452" s="48">
        <v>0.12908986583237619</v>
      </c>
      <c r="K452" s="62">
        <v>0</v>
      </c>
      <c r="M452" s="64"/>
      <c r="N452" s="64"/>
    </row>
    <row r="453" spans="1:14" x14ac:dyDescent="0.25">
      <c r="A453" s="45" t="s">
        <v>521</v>
      </c>
      <c r="B453" s="46">
        <v>5953.37</v>
      </c>
      <c r="C453" s="60">
        <v>0.21</v>
      </c>
      <c r="D453" s="47" t="s">
        <v>1839</v>
      </c>
      <c r="E453" s="47" t="s">
        <v>1839</v>
      </c>
      <c r="F453" s="47" t="s">
        <v>1839</v>
      </c>
      <c r="G453" s="48">
        <v>8.43E-2</v>
      </c>
      <c r="H453" s="48">
        <v>8.43E-2</v>
      </c>
      <c r="I453" s="48">
        <v>0.14855755009504981</v>
      </c>
      <c r="K453" s="62">
        <v>0</v>
      </c>
      <c r="M453" s="64"/>
      <c r="N453" s="64"/>
    </row>
    <row r="454" spans="1:14" x14ac:dyDescent="0.25">
      <c r="A454" s="45" t="s">
        <v>522</v>
      </c>
      <c r="B454" s="46">
        <v>1493.12</v>
      </c>
      <c r="C454" s="60">
        <v>0.21</v>
      </c>
      <c r="D454" s="47" t="s">
        <v>1839</v>
      </c>
      <c r="E454" s="47" t="s">
        <v>1839</v>
      </c>
      <c r="F454" s="47" t="s">
        <v>1839</v>
      </c>
      <c r="G454" s="48">
        <v>0.1615</v>
      </c>
      <c r="H454" s="48">
        <v>0.1615</v>
      </c>
      <c r="I454" s="48">
        <v>0.22652580796101779</v>
      </c>
      <c r="K454" s="62">
        <v>0</v>
      </c>
      <c r="M454" s="64"/>
      <c r="N454" s="64"/>
    </row>
    <row r="455" spans="1:14" x14ac:dyDescent="0.25">
      <c r="A455" s="45" t="s">
        <v>523</v>
      </c>
      <c r="B455" s="46">
        <v>3399.48</v>
      </c>
      <c r="C455" s="60">
        <v>0.21</v>
      </c>
      <c r="D455" s="47" t="s">
        <v>1839</v>
      </c>
      <c r="E455" s="47" t="s">
        <v>1839</v>
      </c>
      <c r="F455" s="47" t="s">
        <v>1839</v>
      </c>
      <c r="G455" s="48">
        <v>0.12039999999999999</v>
      </c>
      <c r="H455" s="48">
        <v>0.12039999999999999</v>
      </c>
      <c r="I455" s="48">
        <v>0.16638867211818201</v>
      </c>
      <c r="K455" s="62">
        <v>0</v>
      </c>
      <c r="M455" s="64"/>
      <c r="N455" s="64"/>
    </row>
    <row r="456" spans="1:14" x14ac:dyDescent="0.25">
      <c r="A456" s="45" t="s">
        <v>524</v>
      </c>
      <c r="B456" s="46">
        <v>3717.54</v>
      </c>
      <c r="C456" s="60">
        <v>0.21</v>
      </c>
      <c r="D456" s="47" t="s">
        <v>1839</v>
      </c>
      <c r="E456" s="47" t="s">
        <v>1839</v>
      </c>
      <c r="F456" s="47" t="s">
        <v>1839</v>
      </c>
      <c r="G456" s="48">
        <v>3.5299999999999998E-2</v>
      </c>
      <c r="H456" s="48">
        <v>3.5299999999999998E-2</v>
      </c>
      <c r="I456" s="48">
        <v>5.2018641019565499E-2</v>
      </c>
      <c r="K456" s="62">
        <v>0</v>
      </c>
      <c r="M456" s="64"/>
      <c r="N456" s="64"/>
    </row>
    <row r="457" spans="1:14" x14ac:dyDescent="0.25">
      <c r="A457" s="45" t="s">
        <v>525</v>
      </c>
      <c r="B457" s="46">
        <v>27091.53</v>
      </c>
      <c r="C457" s="60">
        <v>0.21</v>
      </c>
      <c r="D457" s="47" t="s">
        <v>1839</v>
      </c>
      <c r="E457" s="47" t="s">
        <v>1839</v>
      </c>
      <c r="F457" s="47" t="s">
        <v>1839</v>
      </c>
      <c r="G457" s="48">
        <v>0.161</v>
      </c>
      <c r="H457" s="48">
        <v>0.161</v>
      </c>
      <c r="I457" s="48">
        <v>0.21598319895563239</v>
      </c>
      <c r="K457" s="62">
        <v>0</v>
      </c>
      <c r="M457" s="64"/>
      <c r="N457" s="64"/>
    </row>
    <row r="458" spans="1:14" x14ac:dyDescent="0.25">
      <c r="A458" s="45" t="s">
        <v>526</v>
      </c>
      <c r="B458" s="46">
        <v>3966.3500000000004</v>
      </c>
      <c r="C458" s="60">
        <v>0.21</v>
      </c>
      <c r="D458" s="47" t="s">
        <v>1839</v>
      </c>
      <c r="E458" s="47" t="s">
        <v>1839</v>
      </c>
      <c r="F458" s="47" t="s">
        <v>1839</v>
      </c>
      <c r="G458" s="48">
        <v>0.1341</v>
      </c>
      <c r="H458" s="48">
        <v>0.1341</v>
      </c>
      <c r="I458" s="48">
        <v>0.19307637457953111</v>
      </c>
      <c r="K458" s="62">
        <v>0</v>
      </c>
      <c r="M458" s="64"/>
      <c r="N458" s="64"/>
    </row>
    <row r="459" spans="1:14" x14ac:dyDescent="0.25">
      <c r="A459" s="45" t="s">
        <v>527</v>
      </c>
      <c r="B459" s="46">
        <v>4512.2300000000005</v>
      </c>
      <c r="C459" s="60">
        <v>0.21</v>
      </c>
      <c r="D459" s="47" t="s">
        <v>1839</v>
      </c>
      <c r="E459" s="47" t="s">
        <v>1839</v>
      </c>
      <c r="F459" s="47" t="s">
        <v>1839</v>
      </c>
      <c r="G459" s="48">
        <v>0.14449999999999999</v>
      </c>
      <c r="H459" s="48">
        <v>0.14449999999999999</v>
      </c>
      <c r="I459" s="48">
        <v>0.213108373032149</v>
      </c>
      <c r="K459" s="62">
        <v>0</v>
      </c>
      <c r="M459" s="64"/>
      <c r="N459" s="64"/>
    </row>
    <row r="460" spans="1:14" x14ac:dyDescent="0.25">
      <c r="A460" s="45" t="s">
        <v>528</v>
      </c>
      <c r="B460" s="46">
        <v>8273.9500000000007</v>
      </c>
      <c r="C460" s="60">
        <v>0.21</v>
      </c>
      <c r="D460" s="47" t="s">
        <v>1839</v>
      </c>
      <c r="E460" s="47" t="s">
        <v>1839</v>
      </c>
      <c r="F460" s="47" t="s">
        <v>1839</v>
      </c>
      <c r="G460" s="48">
        <v>0.17510000000000001</v>
      </c>
      <c r="H460" s="48">
        <v>0.17510000000000001</v>
      </c>
      <c r="I460" s="48">
        <v>0.26195460747557159</v>
      </c>
      <c r="K460" s="62">
        <v>0</v>
      </c>
      <c r="M460" s="64"/>
      <c r="N460" s="64"/>
    </row>
    <row r="461" spans="1:14" x14ac:dyDescent="0.25">
      <c r="A461" s="45" t="s">
        <v>529</v>
      </c>
      <c r="B461" s="46">
        <v>2128.1000000000004</v>
      </c>
      <c r="C461" s="60">
        <v>0.21</v>
      </c>
      <c r="D461" s="47" t="s">
        <v>1839</v>
      </c>
      <c r="E461" s="47" t="s">
        <v>1839</v>
      </c>
      <c r="F461" s="47" t="s">
        <v>1839</v>
      </c>
      <c r="G461" s="48">
        <v>0.1628</v>
      </c>
      <c r="H461" s="48">
        <v>0.1628</v>
      </c>
      <c r="I461" s="48">
        <v>0.2248259308221523</v>
      </c>
      <c r="K461" s="62">
        <v>0</v>
      </c>
      <c r="M461" s="64"/>
      <c r="N461" s="64"/>
    </row>
    <row r="462" spans="1:14" x14ac:dyDescent="0.25">
      <c r="A462" s="45" t="s">
        <v>530</v>
      </c>
      <c r="B462" s="46">
        <v>27507.919999999998</v>
      </c>
      <c r="C462" s="60">
        <v>0.21</v>
      </c>
      <c r="D462" s="47" t="s">
        <v>1839</v>
      </c>
      <c r="E462" s="47" t="s">
        <v>1839</v>
      </c>
      <c r="F462" s="47" t="s">
        <v>1839</v>
      </c>
      <c r="G462" s="48">
        <v>7.0900000000000005E-2</v>
      </c>
      <c r="H462" s="48">
        <v>7.0900000000000005E-2</v>
      </c>
      <c r="I462" s="48">
        <v>0.1028780214623885</v>
      </c>
      <c r="K462" s="62">
        <v>0</v>
      </c>
      <c r="M462" s="64"/>
      <c r="N462" s="64"/>
    </row>
    <row r="463" spans="1:14" x14ac:dyDescent="0.25">
      <c r="A463" s="45" t="s">
        <v>531</v>
      </c>
      <c r="B463" s="46">
        <v>4077.5</v>
      </c>
      <c r="C463" s="60">
        <v>0.21</v>
      </c>
      <c r="D463" s="47" t="s">
        <v>1839</v>
      </c>
      <c r="E463" s="47" t="s">
        <v>1839</v>
      </c>
      <c r="F463" s="47" t="s">
        <v>1839</v>
      </c>
      <c r="G463" s="48">
        <v>0.15909999999999999</v>
      </c>
      <c r="H463" s="48">
        <v>0.15909999999999999</v>
      </c>
      <c r="I463" s="48">
        <v>0.21406861078104639</v>
      </c>
      <c r="K463" s="62">
        <v>0</v>
      </c>
      <c r="M463" s="64"/>
      <c r="N463" s="64"/>
    </row>
    <row r="464" spans="1:14" x14ac:dyDescent="0.25">
      <c r="A464" s="45" t="s">
        <v>532</v>
      </c>
      <c r="B464" s="46">
        <v>726</v>
      </c>
      <c r="C464" s="60">
        <v>0.21</v>
      </c>
      <c r="D464" s="47" t="s">
        <v>1839</v>
      </c>
      <c r="E464" s="47" t="s">
        <v>1839</v>
      </c>
      <c r="F464" s="47" t="s">
        <v>1839</v>
      </c>
      <c r="G464" s="48">
        <v>0.17030000000000001</v>
      </c>
      <c r="H464" s="48">
        <v>0.17030000000000001</v>
      </c>
      <c r="I464" s="48">
        <v>0.25328933100158579</v>
      </c>
      <c r="K464" s="62">
        <v>0</v>
      </c>
      <c r="M464" s="64"/>
      <c r="N464" s="64"/>
    </row>
    <row r="465" spans="1:14" x14ac:dyDescent="0.25">
      <c r="A465" s="45" t="s">
        <v>533</v>
      </c>
      <c r="B465" s="46">
        <v>11226.15</v>
      </c>
      <c r="C465" s="60">
        <v>0.21</v>
      </c>
      <c r="D465" s="47" t="s">
        <v>1839</v>
      </c>
      <c r="E465" s="47" t="s">
        <v>1839</v>
      </c>
      <c r="F465" s="47" t="s">
        <v>1839</v>
      </c>
      <c r="G465" s="48">
        <v>0.1231</v>
      </c>
      <c r="H465" s="48">
        <v>0.1231</v>
      </c>
      <c r="I465" s="48">
        <v>0.1911006542559581</v>
      </c>
      <c r="K465" s="62">
        <v>0</v>
      </c>
      <c r="M465" s="64"/>
      <c r="N465" s="64"/>
    </row>
    <row r="466" spans="1:14" x14ac:dyDescent="0.25">
      <c r="A466" s="45" t="s">
        <v>534</v>
      </c>
      <c r="B466" s="46">
        <v>7942.1</v>
      </c>
      <c r="C466" s="60">
        <v>0.21</v>
      </c>
      <c r="D466" s="47" t="s">
        <v>1839</v>
      </c>
      <c r="E466" s="47" t="s">
        <v>1839</v>
      </c>
      <c r="F466" s="47" t="s">
        <v>1839</v>
      </c>
      <c r="G466" s="48">
        <v>0.16389999999999999</v>
      </c>
      <c r="H466" s="48">
        <v>0.16389999999999999</v>
      </c>
      <c r="I466" s="48">
        <v>0.24218528572000461</v>
      </c>
      <c r="K466" s="62">
        <v>0</v>
      </c>
      <c r="M466" s="64"/>
      <c r="N466" s="64"/>
    </row>
    <row r="467" spans="1:14" x14ac:dyDescent="0.25">
      <c r="A467" s="45" t="s">
        <v>535</v>
      </c>
      <c r="B467" s="46">
        <v>7942.1</v>
      </c>
      <c r="C467" s="60">
        <v>0.21</v>
      </c>
      <c r="D467" s="47" t="s">
        <v>1839</v>
      </c>
      <c r="E467" s="47" t="s">
        <v>1839</v>
      </c>
      <c r="F467" s="47" t="s">
        <v>1839</v>
      </c>
      <c r="G467" s="48">
        <v>0.22900000000000001</v>
      </c>
      <c r="H467" s="48">
        <v>0.22900000000000001</v>
      </c>
      <c r="I467" s="48">
        <v>0.32124499210747559</v>
      </c>
      <c r="K467" s="62">
        <v>0</v>
      </c>
      <c r="M467" s="64"/>
      <c r="N467" s="64"/>
    </row>
    <row r="468" spans="1:14" x14ac:dyDescent="0.25">
      <c r="A468" s="45" t="s">
        <v>536</v>
      </c>
      <c r="B468" s="46">
        <v>27911.48</v>
      </c>
      <c r="C468" s="60">
        <v>0.21</v>
      </c>
      <c r="D468" s="47" t="s">
        <v>1839</v>
      </c>
      <c r="E468" s="47" t="s">
        <v>1839</v>
      </c>
      <c r="F468" s="47" t="s">
        <v>1839</v>
      </c>
      <c r="G468" s="48">
        <v>0.1641</v>
      </c>
      <c r="H468" s="48">
        <v>0.1641</v>
      </c>
      <c r="I468" s="48">
        <v>0.21208587424809139</v>
      </c>
      <c r="K468" s="62">
        <v>0</v>
      </c>
      <c r="M468" s="64"/>
      <c r="N468" s="64"/>
    </row>
    <row r="469" spans="1:14" x14ac:dyDescent="0.25">
      <c r="A469" s="45" t="s">
        <v>537</v>
      </c>
      <c r="B469" s="46">
        <v>10263.42</v>
      </c>
      <c r="C469" s="60">
        <v>0.21</v>
      </c>
      <c r="D469" s="47" t="s">
        <v>1839</v>
      </c>
      <c r="E469" s="47" t="s">
        <v>1839</v>
      </c>
      <c r="F469" s="47" t="s">
        <v>1839</v>
      </c>
      <c r="G469" s="48">
        <v>0.1759</v>
      </c>
      <c r="H469" s="48">
        <v>0.1759</v>
      </c>
      <c r="I469" s="48">
        <v>0.25564279004591978</v>
      </c>
      <c r="K469" s="62">
        <v>0</v>
      </c>
      <c r="M469" s="64"/>
      <c r="N469" s="64"/>
    </row>
    <row r="470" spans="1:14" x14ac:dyDescent="0.25">
      <c r="A470" s="45" t="s">
        <v>538</v>
      </c>
      <c r="B470" s="46">
        <v>18179.009999999998</v>
      </c>
      <c r="C470" s="60">
        <v>0.21</v>
      </c>
      <c r="D470" s="47" t="s">
        <v>1839</v>
      </c>
      <c r="E470" s="47" t="s">
        <v>1839</v>
      </c>
      <c r="F470" s="47" t="s">
        <v>1839</v>
      </c>
      <c r="G470" s="48">
        <v>0.1137</v>
      </c>
      <c r="H470" s="48">
        <v>0.1137</v>
      </c>
      <c r="I470" s="48">
        <v>0.1596847836263445</v>
      </c>
      <c r="K470" s="62">
        <v>0</v>
      </c>
      <c r="M470" s="64"/>
      <c r="N470" s="64"/>
    </row>
    <row r="471" spans="1:14" x14ac:dyDescent="0.25">
      <c r="A471" s="45" t="s">
        <v>539</v>
      </c>
      <c r="B471" s="46">
        <v>6694.7300000000005</v>
      </c>
      <c r="C471" s="60">
        <v>0.21</v>
      </c>
      <c r="D471" s="47" t="s">
        <v>1839</v>
      </c>
      <c r="E471" s="47" t="s">
        <v>1839</v>
      </c>
      <c r="F471" s="47" t="s">
        <v>1839</v>
      </c>
      <c r="G471" s="48">
        <v>5.9299999999999999E-2</v>
      </c>
      <c r="H471" s="48">
        <v>5.9299999999999999E-2</v>
      </c>
      <c r="I471" s="48">
        <v>0.11128683089257491</v>
      </c>
      <c r="K471" s="62">
        <v>0</v>
      </c>
      <c r="M471" s="64"/>
      <c r="N471" s="64"/>
    </row>
    <row r="472" spans="1:14" x14ac:dyDescent="0.25">
      <c r="A472" s="45" t="s">
        <v>540</v>
      </c>
      <c r="B472" s="46">
        <v>6694.7300000000005</v>
      </c>
      <c r="C472" s="60">
        <v>0.21</v>
      </c>
      <c r="D472" s="47" t="s">
        <v>1839</v>
      </c>
      <c r="E472" s="47" t="s">
        <v>1839</v>
      </c>
      <c r="F472" s="47" t="s">
        <v>1839</v>
      </c>
      <c r="G472" s="48">
        <v>0.1144</v>
      </c>
      <c r="H472" s="48">
        <v>0.1144</v>
      </c>
      <c r="I472" s="48">
        <v>0.1863692972216337</v>
      </c>
      <c r="K472" s="62">
        <v>0</v>
      </c>
      <c r="M472" s="64"/>
      <c r="N472" s="64"/>
    </row>
    <row r="473" spans="1:14" x14ac:dyDescent="0.25">
      <c r="A473" s="45" t="s">
        <v>541</v>
      </c>
      <c r="B473" s="46">
        <v>6694.7300000000005</v>
      </c>
      <c r="C473" s="60">
        <v>0.21</v>
      </c>
      <c r="D473" s="47" t="s">
        <v>1839</v>
      </c>
      <c r="E473" s="47" t="s">
        <v>1839</v>
      </c>
      <c r="F473" s="47" t="s">
        <v>1839</v>
      </c>
      <c r="G473" s="48">
        <v>0.13850000000000001</v>
      </c>
      <c r="H473" s="48">
        <v>0.13850000000000001</v>
      </c>
      <c r="I473" s="48">
        <v>0.2055221720055192</v>
      </c>
      <c r="K473" s="62">
        <v>0</v>
      </c>
      <c r="M473" s="64"/>
      <c r="N473" s="64"/>
    </row>
    <row r="474" spans="1:14" x14ac:dyDescent="0.25">
      <c r="A474" s="45" t="s">
        <v>542</v>
      </c>
      <c r="B474" s="46">
        <v>6694.7300000000005</v>
      </c>
      <c r="C474" s="60">
        <v>0.21</v>
      </c>
      <c r="D474" s="47" t="s">
        <v>1839</v>
      </c>
      <c r="E474" s="47" t="s">
        <v>1839</v>
      </c>
      <c r="F474" s="47" t="s">
        <v>1839</v>
      </c>
      <c r="G474" s="48">
        <v>0.1605</v>
      </c>
      <c r="H474" s="48">
        <v>0.1605</v>
      </c>
      <c r="I474" s="48">
        <v>0.23452311491785571</v>
      </c>
      <c r="K474" s="62">
        <v>0</v>
      </c>
      <c r="M474" s="64"/>
      <c r="N474" s="64"/>
    </row>
    <row r="475" spans="1:14" x14ac:dyDescent="0.25">
      <c r="A475" s="45" t="s">
        <v>543</v>
      </c>
      <c r="B475" s="46">
        <v>6694.7300000000005</v>
      </c>
      <c r="C475" s="60">
        <v>0.21</v>
      </c>
      <c r="D475" s="47" t="s">
        <v>1839</v>
      </c>
      <c r="E475" s="47" t="s">
        <v>1839</v>
      </c>
      <c r="F475" s="47" t="s">
        <v>1839</v>
      </c>
      <c r="G475" s="48">
        <v>4.4299999999999999E-2</v>
      </c>
      <c r="H475" s="48">
        <v>4.4299999999999999E-2</v>
      </c>
      <c r="I475" s="48">
        <v>9.6287257067226656E-2</v>
      </c>
      <c r="K475" s="62">
        <v>0</v>
      </c>
      <c r="M475" s="64"/>
      <c r="N475" s="64"/>
    </row>
    <row r="476" spans="1:14" x14ac:dyDescent="0.25">
      <c r="A476" s="45" t="s">
        <v>544</v>
      </c>
      <c r="B476" s="46">
        <v>6694.7300000000005</v>
      </c>
      <c r="C476" s="60">
        <v>0.21</v>
      </c>
      <c r="D476" s="47" t="s">
        <v>1839</v>
      </c>
      <c r="E476" s="47" t="s">
        <v>1839</v>
      </c>
      <c r="F476" s="47" t="s">
        <v>1839</v>
      </c>
      <c r="G476" s="48">
        <v>0.15529999999999999</v>
      </c>
      <c r="H476" s="48">
        <v>0.15529999999999999</v>
      </c>
      <c r="I476" s="48">
        <v>0.22825868472454061</v>
      </c>
      <c r="K476" s="62">
        <v>0</v>
      </c>
      <c r="M476" s="64"/>
      <c r="N476" s="64"/>
    </row>
    <row r="477" spans="1:14" x14ac:dyDescent="0.25">
      <c r="A477" s="45" t="s">
        <v>545</v>
      </c>
      <c r="B477" s="46">
        <v>6694.7300000000005</v>
      </c>
      <c r="C477" s="60">
        <v>0.21</v>
      </c>
      <c r="D477" s="47" t="s">
        <v>1839</v>
      </c>
      <c r="E477" s="47" t="s">
        <v>1839</v>
      </c>
      <c r="F477" s="47" t="s">
        <v>1839</v>
      </c>
      <c r="G477" s="48">
        <v>3.9E-2</v>
      </c>
      <c r="H477" s="48">
        <v>3.9E-2</v>
      </c>
      <c r="I477" s="48">
        <v>9.10229258826835E-2</v>
      </c>
      <c r="K477" s="62">
        <v>0</v>
      </c>
      <c r="M477" s="64"/>
      <c r="N477" s="64"/>
    </row>
    <row r="478" spans="1:14" x14ac:dyDescent="0.25">
      <c r="A478" s="45" t="s">
        <v>546</v>
      </c>
      <c r="B478" s="46">
        <v>6694.7300000000005</v>
      </c>
      <c r="C478" s="60">
        <v>0.21</v>
      </c>
      <c r="D478" s="47" t="s">
        <v>1839</v>
      </c>
      <c r="E478" s="47" t="s">
        <v>1839</v>
      </c>
      <c r="F478" s="47" t="s">
        <v>1839</v>
      </c>
      <c r="G478" s="48">
        <v>0.15529999999999999</v>
      </c>
      <c r="H478" s="48">
        <v>0.15529999999999999</v>
      </c>
      <c r="I478" s="48">
        <v>0.22825868472454061</v>
      </c>
      <c r="K478" s="62">
        <v>0</v>
      </c>
      <c r="M478" s="64"/>
      <c r="N478" s="64"/>
    </row>
    <row r="479" spans="1:14" x14ac:dyDescent="0.25">
      <c r="A479" s="45" t="s">
        <v>547</v>
      </c>
      <c r="B479" s="46">
        <v>6694.7300000000005</v>
      </c>
      <c r="C479" s="60">
        <v>0.21</v>
      </c>
      <c r="D479" s="47" t="s">
        <v>1839</v>
      </c>
      <c r="E479" s="47" t="s">
        <v>1839</v>
      </c>
      <c r="F479" s="47" t="s">
        <v>1839</v>
      </c>
      <c r="G479" s="48">
        <v>3.9E-2</v>
      </c>
      <c r="H479" s="48">
        <v>3.9E-2</v>
      </c>
      <c r="I479" s="48">
        <v>9.10229258826835E-2</v>
      </c>
      <c r="K479" s="62">
        <v>0</v>
      </c>
      <c r="M479" s="64"/>
      <c r="N479" s="64"/>
    </row>
    <row r="480" spans="1:14" x14ac:dyDescent="0.25">
      <c r="A480" s="45" t="s">
        <v>548</v>
      </c>
      <c r="B480" s="46">
        <v>6694.7300000000005</v>
      </c>
      <c r="C480" s="60">
        <v>0.21</v>
      </c>
      <c r="D480" s="47" t="s">
        <v>1839</v>
      </c>
      <c r="E480" s="47" t="s">
        <v>1839</v>
      </c>
      <c r="F480" s="47" t="s">
        <v>1839</v>
      </c>
      <c r="G480" s="48">
        <v>0.15529999999999999</v>
      </c>
      <c r="H480" s="48">
        <v>0.15529999999999999</v>
      </c>
      <c r="I480" s="48">
        <v>0.22825868472454061</v>
      </c>
      <c r="K480" s="62">
        <v>0</v>
      </c>
      <c r="M480" s="64"/>
      <c r="N480" s="64"/>
    </row>
    <row r="481" spans="1:14" x14ac:dyDescent="0.25">
      <c r="A481" s="45" t="s">
        <v>549</v>
      </c>
      <c r="B481" s="46">
        <v>2808.3</v>
      </c>
      <c r="C481" s="60">
        <v>0.21</v>
      </c>
      <c r="D481" s="47" t="s">
        <v>1839</v>
      </c>
      <c r="E481" s="47" t="s">
        <v>1839</v>
      </c>
      <c r="F481" s="47" t="s">
        <v>1839</v>
      </c>
      <c r="G481" s="48">
        <v>3.5999999999999997E-2</v>
      </c>
      <c r="H481" s="48">
        <v>3.5999999999999997E-2</v>
      </c>
      <c r="I481" s="48">
        <v>5.3022834378882312E-2</v>
      </c>
      <c r="K481" s="62">
        <v>0</v>
      </c>
      <c r="M481" s="64"/>
      <c r="N481" s="64"/>
    </row>
    <row r="482" spans="1:14" x14ac:dyDescent="0.25">
      <c r="A482" s="45" t="s">
        <v>550</v>
      </c>
      <c r="B482" s="46">
        <v>2808.3</v>
      </c>
      <c r="C482" s="60">
        <v>0.21</v>
      </c>
      <c r="D482" s="47" t="s">
        <v>1839</v>
      </c>
      <c r="E482" s="47" t="s">
        <v>1839</v>
      </c>
      <c r="F482" s="47" t="s">
        <v>1839</v>
      </c>
      <c r="G482" s="48">
        <v>0.2044</v>
      </c>
      <c r="H482" s="48">
        <v>0.2044</v>
      </c>
      <c r="I482" s="48">
        <v>0.27241988938955952</v>
      </c>
      <c r="K482" s="62">
        <v>0</v>
      </c>
      <c r="M482" s="64"/>
      <c r="N482" s="64"/>
    </row>
    <row r="483" spans="1:14" x14ac:dyDescent="0.25">
      <c r="A483" s="45" t="s">
        <v>551</v>
      </c>
      <c r="B483" s="46">
        <v>6694.7300000000005</v>
      </c>
      <c r="C483" s="60">
        <v>0.21</v>
      </c>
      <c r="D483" s="47" t="s">
        <v>1839</v>
      </c>
      <c r="E483" s="47" t="s">
        <v>1839</v>
      </c>
      <c r="F483" s="47" t="s">
        <v>1839</v>
      </c>
      <c r="G483" s="48">
        <v>0.1605</v>
      </c>
      <c r="H483" s="48">
        <v>0.1605</v>
      </c>
      <c r="I483" s="48">
        <v>0.23452311491785571</v>
      </c>
      <c r="K483" s="62">
        <v>0</v>
      </c>
      <c r="M483" s="64"/>
      <c r="N483" s="64"/>
    </row>
    <row r="484" spans="1:14" x14ac:dyDescent="0.25">
      <c r="A484" s="45" t="s">
        <v>552</v>
      </c>
      <c r="B484" s="46">
        <v>6694.7300000000005</v>
      </c>
      <c r="C484" s="60">
        <v>0.21</v>
      </c>
      <c r="D484" s="47" t="s">
        <v>1839</v>
      </c>
      <c r="E484" s="47" t="s">
        <v>1839</v>
      </c>
      <c r="F484" s="47" t="s">
        <v>1839</v>
      </c>
      <c r="G484" s="48">
        <v>0.1605</v>
      </c>
      <c r="H484" s="48">
        <v>0.1605</v>
      </c>
      <c r="I484" s="48">
        <v>0.23452311491785571</v>
      </c>
      <c r="K484" s="62">
        <v>0</v>
      </c>
      <c r="M484" s="64"/>
      <c r="N484" s="64"/>
    </row>
    <row r="485" spans="1:14" x14ac:dyDescent="0.25">
      <c r="A485" s="45" t="s">
        <v>553</v>
      </c>
      <c r="B485" s="46">
        <v>6694.7300000000005</v>
      </c>
      <c r="C485" s="60">
        <v>0.21</v>
      </c>
      <c r="D485" s="47" t="s">
        <v>1839</v>
      </c>
      <c r="E485" s="47" t="s">
        <v>1839</v>
      </c>
      <c r="F485" s="47" t="s">
        <v>1839</v>
      </c>
      <c r="G485" s="48">
        <v>3.5999999999999997E-2</v>
      </c>
      <c r="H485" s="48">
        <v>3.5999999999999997E-2</v>
      </c>
      <c r="I485" s="48">
        <v>8.8022661180089723E-2</v>
      </c>
      <c r="K485" s="62">
        <v>0</v>
      </c>
      <c r="M485" s="64"/>
      <c r="N485" s="64"/>
    </row>
    <row r="486" spans="1:14" x14ac:dyDescent="0.25">
      <c r="A486" s="45" t="s">
        <v>554</v>
      </c>
      <c r="B486" s="46">
        <v>6694.7300000000005</v>
      </c>
      <c r="C486" s="60">
        <v>0.21</v>
      </c>
      <c r="D486" s="47" t="s">
        <v>1839</v>
      </c>
      <c r="E486" s="47" t="s">
        <v>1839</v>
      </c>
      <c r="F486" s="47" t="s">
        <v>1839</v>
      </c>
      <c r="G486" s="48">
        <v>0.1133</v>
      </c>
      <c r="H486" s="48">
        <v>0.1133</v>
      </c>
      <c r="I486" s="48">
        <v>0.17125786119117681</v>
      </c>
      <c r="K486" s="62">
        <v>0</v>
      </c>
      <c r="M486" s="64"/>
      <c r="N486" s="64"/>
    </row>
    <row r="487" spans="1:14" x14ac:dyDescent="0.25">
      <c r="A487" s="45" t="s">
        <v>555</v>
      </c>
      <c r="B487" s="46">
        <v>7215.1</v>
      </c>
      <c r="C487" s="60">
        <v>0.21</v>
      </c>
      <c r="D487" s="47" t="s">
        <v>1839</v>
      </c>
      <c r="E487" s="47" t="s">
        <v>1839</v>
      </c>
      <c r="F487" s="47" t="s">
        <v>1839</v>
      </c>
      <c r="G487" s="48">
        <v>0.16589999999999999</v>
      </c>
      <c r="H487" s="48">
        <v>0.16589999999999999</v>
      </c>
      <c r="I487" s="48">
        <v>0.23992155871348861</v>
      </c>
      <c r="K487" s="62">
        <v>0</v>
      </c>
      <c r="M487" s="64"/>
      <c r="N487" s="64"/>
    </row>
    <row r="488" spans="1:14" x14ac:dyDescent="0.25">
      <c r="A488" s="45" t="s">
        <v>556</v>
      </c>
      <c r="B488" s="46">
        <v>7215.1</v>
      </c>
      <c r="C488" s="60">
        <v>0.21</v>
      </c>
      <c r="D488" s="47" t="s">
        <v>1839</v>
      </c>
      <c r="E488" s="47" t="s">
        <v>1839</v>
      </c>
      <c r="F488" s="47" t="s">
        <v>1839</v>
      </c>
      <c r="G488" s="48">
        <v>0.15529999999999999</v>
      </c>
      <c r="H488" s="48">
        <v>0.15529999999999999</v>
      </c>
      <c r="I488" s="48">
        <v>0.23221873832004891</v>
      </c>
      <c r="K488" s="62">
        <v>0</v>
      </c>
      <c r="M488" s="64"/>
      <c r="N488" s="64"/>
    </row>
    <row r="489" spans="1:14" x14ac:dyDescent="0.25">
      <c r="A489" s="45" t="s">
        <v>557</v>
      </c>
      <c r="B489" s="46">
        <v>7215.1</v>
      </c>
      <c r="C489" s="60">
        <v>0.21</v>
      </c>
      <c r="D489" s="47" t="s">
        <v>1839</v>
      </c>
      <c r="E489" s="47" t="s">
        <v>1839</v>
      </c>
      <c r="F489" s="47" t="s">
        <v>1839</v>
      </c>
      <c r="G489" s="48">
        <v>3.5999999999999997E-2</v>
      </c>
      <c r="H489" s="48">
        <v>3.5999999999999997E-2</v>
      </c>
      <c r="I489" s="48">
        <v>8.2050676107925199E-2</v>
      </c>
      <c r="K489" s="62">
        <v>0</v>
      </c>
      <c r="M489" s="64"/>
      <c r="N489" s="64"/>
    </row>
    <row r="490" spans="1:14" x14ac:dyDescent="0.25">
      <c r="A490" s="45" t="s">
        <v>558</v>
      </c>
      <c r="B490" s="46">
        <v>22165.09</v>
      </c>
      <c r="C490" s="60">
        <v>0.21</v>
      </c>
      <c r="D490" s="47" t="s">
        <v>1839</v>
      </c>
      <c r="E490" s="47" t="s">
        <v>1839</v>
      </c>
      <c r="F490" s="47" t="s">
        <v>1839</v>
      </c>
      <c r="G490" s="48">
        <v>0.16819999999999999</v>
      </c>
      <c r="H490" s="48">
        <v>0.16819999999999999</v>
      </c>
      <c r="I490" s="48">
        <v>0.22944066830532231</v>
      </c>
      <c r="K490" s="62">
        <v>0</v>
      </c>
      <c r="M490" s="64"/>
      <c r="N490" s="64"/>
    </row>
    <row r="491" spans="1:14" x14ac:dyDescent="0.25">
      <c r="A491" s="45" t="s">
        <v>559</v>
      </c>
      <c r="B491" s="46">
        <v>25931.8</v>
      </c>
      <c r="C491" s="60">
        <v>0.21</v>
      </c>
      <c r="D491" s="47" t="s">
        <v>1839</v>
      </c>
      <c r="E491" s="47" t="s">
        <v>1839</v>
      </c>
      <c r="F491" s="47" t="s">
        <v>1839</v>
      </c>
      <c r="G491" s="48">
        <v>0.16420000000000001</v>
      </c>
      <c r="H491" s="48">
        <v>0.16420000000000001</v>
      </c>
      <c r="I491" s="48">
        <v>0.22175030464703541</v>
      </c>
      <c r="K491" s="62">
        <v>0</v>
      </c>
      <c r="M491" s="64"/>
      <c r="N491" s="64"/>
    </row>
    <row r="492" spans="1:14" x14ac:dyDescent="0.25">
      <c r="A492" s="45" t="s">
        <v>560</v>
      </c>
      <c r="B492" s="46">
        <v>4067.1600000000003</v>
      </c>
      <c r="C492" s="60">
        <v>0.21</v>
      </c>
      <c r="D492" s="47" t="s">
        <v>1839</v>
      </c>
      <c r="E492" s="47" t="s">
        <v>1839</v>
      </c>
      <c r="F492" s="47" t="s">
        <v>1839</v>
      </c>
      <c r="G492" s="48">
        <v>0.18659999999999999</v>
      </c>
      <c r="H492" s="48">
        <v>0.18659999999999999</v>
      </c>
      <c r="I492" s="48">
        <v>0.26735601784178631</v>
      </c>
      <c r="K492" s="62">
        <v>0</v>
      </c>
      <c r="M492" s="64"/>
      <c r="N492" s="64"/>
    </row>
    <row r="493" spans="1:14" x14ac:dyDescent="0.25">
      <c r="A493" s="45" t="s">
        <v>561</v>
      </c>
      <c r="B493" s="46">
        <v>5958.58</v>
      </c>
      <c r="C493" s="60">
        <v>0.21</v>
      </c>
      <c r="D493" s="47" t="s">
        <v>1839</v>
      </c>
      <c r="E493" s="47" t="s">
        <v>1839</v>
      </c>
      <c r="F493" s="47" t="s">
        <v>1839</v>
      </c>
      <c r="G493" s="48">
        <v>3.4599999999999999E-2</v>
      </c>
      <c r="H493" s="48">
        <v>3.4599999999999999E-2</v>
      </c>
      <c r="I493" s="48">
        <v>0.1030209546243879</v>
      </c>
      <c r="K493" s="62">
        <v>0</v>
      </c>
      <c r="M493" s="64"/>
      <c r="N493" s="64"/>
    </row>
    <row r="494" spans="1:14" x14ac:dyDescent="0.25">
      <c r="A494" s="45" t="s">
        <v>562</v>
      </c>
      <c r="B494" s="46">
        <v>16448.59</v>
      </c>
      <c r="C494" s="60">
        <v>0.21</v>
      </c>
      <c r="D494" s="47" t="s">
        <v>1839</v>
      </c>
      <c r="E494" s="47" t="s">
        <v>1839</v>
      </c>
      <c r="F494" s="47" t="s">
        <v>1839</v>
      </c>
      <c r="G494" s="48">
        <v>0.11799999999999999</v>
      </c>
      <c r="H494" s="48">
        <v>0.11799999999999999</v>
      </c>
      <c r="I494" s="48">
        <v>0.1670079433434449</v>
      </c>
      <c r="K494" s="62">
        <v>0</v>
      </c>
      <c r="M494" s="64"/>
      <c r="N494" s="64"/>
    </row>
    <row r="495" spans="1:14" x14ac:dyDescent="0.25">
      <c r="A495" s="45" t="s">
        <v>563</v>
      </c>
      <c r="B495" s="46">
        <v>7215.1</v>
      </c>
      <c r="C495" s="60">
        <v>0.21</v>
      </c>
      <c r="D495" s="47" t="s">
        <v>1839</v>
      </c>
      <c r="E495" s="47" t="s">
        <v>1839</v>
      </c>
      <c r="F495" s="47" t="s">
        <v>1839</v>
      </c>
      <c r="G495" s="48">
        <v>0.15529999999999999</v>
      </c>
      <c r="H495" s="48">
        <v>0.15529999999999999</v>
      </c>
      <c r="I495" s="48">
        <v>0.23260186300670399</v>
      </c>
      <c r="K495" s="62">
        <v>0</v>
      </c>
      <c r="M495" s="64"/>
      <c r="N495" s="64"/>
    </row>
    <row r="496" spans="1:14" x14ac:dyDescent="0.25">
      <c r="A496" s="45" t="s">
        <v>564</v>
      </c>
      <c r="B496" s="46">
        <v>3407</v>
      </c>
      <c r="C496" s="60">
        <v>0.21</v>
      </c>
      <c r="D496" s="47" t="s">
        <v>1839</v>
      </c>
      <c r="E496" s="47" t="s">
        <v>1839</v>
      </c>
      <c r="F496" s="47" t="s">
        <v>1839</v>
      </c>
      <c r="G496" s="48">
        <v>0.157</v>
      </c>
      <c r="H496" s="48">
        <v>0.157</v>
      </c>
      <c r="I496" s="48">
        <v>0.21303458964055391</v>
      </c>
      <c r="K496" s="62">
        <v>0</v>
      </c>
      <c r="M496" s="64"/>
      <c r="N496" s="64"/>
    </row>
    <row r="497" spans="1:14" x14ac:dyDescent="0.25">
      <c r="A497" s="45" t="s">
        <v>565</v>
      </c>
      <c r="B497" s="46">
        <v>27112.32</v>
      </c>
      <c r="C497" s="60">
        <v>0.21</v>
      </c>
      <c r="D497" s="47" t="s">
        <v>1839</v>
      </c>
      <c r="E497" s="47" t="s">
        <v>1839</v>
      </c>
      <c r="F497" s="47" t="s">
        <v>1839</v>
      </c>
      <c r="G497" s="48">
        <v>6.7199999999999996E-2</v>
      </c>
      <c r="H497" s="48">
        <v>6.7199999999999996E-2</v>
      </c>
      <c r="I497" s="48">
        <v>9.645531225267398E-2</v>
      </c>
      <c r="K497" s="62">
        <v>0</v>
      </c>
      <c r="M497" s="64"/>
      <c r="N497" s="64"/>
    </row>
    <row r="498" spans="1:14" x14ac:dyDescent="0.25">
      <c r="A498" s="45" t="s">
        <v>566</v>
      </c>
      <c r="B498" s="46">
        <v>37957.560000000005</v>
      </c>
      <c r="C498" s="60">
        <v>0.21</v>
      </c>
      <c r="D498" s="47" t="s">
        <v>1839</v>
      </c>
      <c r="E498" s="47" t="s">
        <v>1839</v>
      </c>
      <c r="F498" s="47" t="s">
        <v>1839</v>
      </c>
      <c r="G498" s="48">
        <v>0.1807</v>
      </c>
      <c r="H498" s="48">
        <v>0.1807</v>
      </c>
      <c r="I498" s="48">
        <v>0.25174019266326608</v>
      </c>
      <c r="K498" s="62">
        <v>0</v>
      </c>
      <c r="M498" s="64"/>
      <c r="N498" s="64"/>
    </row>
    <row r="499" spans="1:14" x14ac:dyDescent="0.25">
      <c r="A499" s="45" t="s">
        <v>567</v>
      </c>
      <c r="B499" s="46">
        <v>41663.26</v>
      </c>
      <c r="C499" s="60">
        <v>0.21</v>
      </c>
      <c r="D499" s="47" t="s">
        <v>1839</v>
      </c>
      <c r="E499" s="47" t="s">
        <v>1839</v>
      </c>
      <c r="F499" s="47" t="s">
        <v>1839</v>
      </c>
      <c r="G499" s="48">
        <v>3.4099999999999998E-2</v>
      </c>
      <c r="H499" s="48">
        <v>3.4099999999999998E-2</v>
      </c>
      <c r="I499" s="48">
        <v>5.021201566316038E-2</v>
      </c>
      <c r="K499" s="62">
        <v>0</v>
      </c>
      <c r="M499" s="64"/>
      <c r="N499" s="64"/>
    </row>
    <row r="500" spans="1:14" x14ac:dyDescent="0.25">
      <c r="A500" s="45" t="s">
        <v>568</v>
      </c>
      <c r="B500" s="46">
        <v>46001.51</v>
      </c>
      <c r="C500" s="60">
        <v>0.21</v>
      </c>
      <c r="D500" s="47" t="s">
        <v>1839</v>
      </c>
      <c r="E500" s="47" t="s">
        <v>1839</v>
      </c>
      <c r="F500" s="47" t="s">
        <v>1839</v>
      </c>
      <c r="G500" s="48">
        <v>0.19570000000000001</v>
      </c>
      <c r="H500" s="48">
        <v>0.19570000000000001</v>
      </c>
      <c r="I500" s="48">
        <v>0.25667928872220291</v>
      </c>
      <c r="K500" s="62">
        <v>0</v>
      </c>
      <c r="M500" s="64"/>
      <c r="N500" s="64"/>
    </row>
    <row r="501" spans="1:14" x14ac:dyDescent="0.25">
      <c r="A501" s="45" t="s">
        <v>569</v>
      </c>
      <c r="B501" s="46">
        <v>59196.21</v>
      </c>
      <c r="C501" s="60">
        <v>0.21</v>
      </c>
      <c r="D501" s="47" t="s">
        <v>1839</v>
      </c>
      <c r="E501" s="47" t="s">
        <v>1839</v>
      </c>
      <c r="F501" s="47" t="s">
        <v>1839</v>
      </c>
      <c r="G501" s="48">
        <v>0.19650000000000001</v>
      </c>
      <c r="H501" s="48">
        <v>0.19650000000000001</v>
      </c>
      <c r="I501" s="48">
        <v>0.25749357798903028</v>
      </c>
      <c r="K501" s="62">
        <v>0</v>
      </c>
      <c r="M501" s="64"/>
      <c r="N501" s="64"/>
    </row>
    <row r="502" spans="1:14" x14ac:dyDescent="0.25">
      <c r="A502" s="45" t="s">
        <v>570</v>
      </c>
      <c r="B502" s="46">
        <v>24672.489999999998</v>
      </c>
      <c r="C502" s="60">
        <v>0.21</v>
      </c>
      <c r="D502" s="47" t="s">
        <v>1839</v>
      </c>
      <c r="E502" s="47" t="s">
        <v>1839</v>
      </c>
      <c r="F502" s="47" t="s">
        <v>1839</v>
      </c>
      <c r="G502" s="48">
        <v>3.5299999999999998E-2</v>
      </c>
      <c r="H502" s="48">
        <v>3.5299999999999998E-2</v>
      </c>
      <c r="I502" s="48">
        <v>5.302013436545136E-2</v>
      </c>
      <c r="K502" s="62">
        <v>0</v>
      </c>
      <c r="M502" s="64"/>
      <c r="N502" s="64"/>
    </row>
    <row r="503" spans="1:14" x14ac:dyDescent="0.25">
      <c r="A503" s="45" t="s">
        <v>571</v>
      </c>
      <c r="B503" s="46">
        <v>59286.58</v>
      </c>
      <c r="C503" s="60">
        <v>0.21</v>
      </c>
      <c r="D503" s="47" t="s">
        <v>1839</v>
      </c>
      <c r="E503" s="47" t="s">
        <v>1839</v>
      </c>
      <c r="F503" s="47" t="s">
        <v>1839</v>
      </c>
      <c r="G503" s="48">
        <v>0.19750000000000001</v>
      </c>
      <c r="H503" s="48">
        <v>0.19750000000000001</v>
      </c>
      <c r="I503" s="48">
        <v>0.25846376520285169</v>
      </c>
      <c r="K503" s="62">
        <v>0</v>
      </c>
      <c r="M503" s="64"/>
      <c r="N503" s="64"/>
    </row>
    <row r="504" spans="1:14" x14ac:dyDescent="0.25">
      <c r="A504" s="45" t="s">
        <v>572</v>
      </c>
      <c r="B504" s="46">
        <v>58744.39</v>
      </c>
      <c r="C504" s="60">
        <v>0.21</v>
      </c>
      <c r="D504" s="47" t="s">
        <v>1839</v>
      </c>
      <c r="E504" s="47" t="s">
        <v>1839</v>
      </c>
      <c r="F504" s="47" t="s">
        <v>1839</v>
      </c>
      <c r="G504" s="48">
        <v>0.19839999999999999</v>
      </c>
      <c r="H504" s="48">
        <v>0.19839999999999999</v>
      </c>
      <c r="I504" s="48">
        <v>0.25935862828897138</v>
      </c>
      <c r="K504" s="62">
        <v>0</v>
      </c>
      <c r="M504" s="64"/>
      <c r="N504" s="64"/>
    </row>
    <row r="505" spans="1:14" x14ac:dyDescent="0.25">
      <c r="A505" s="45" t="s">
        <v>573</v>
      </c>
      <c r="B505" s="46">
        <v>7626.41</v>
      </c>
      <c r="C505" s="60">
        <v>0.21</v>
      </c>
      <c r="D505" s="47" t="s">
        <v>1839</v>
      </c>
      <c r="E505" s="47" t="s">
        <v>1839</v>
      </c>
      <c r="F505" s="47" t="s">
        <v>1839</v>
      </c>
      <c r="G505" s="48">
        <v>3.4599999999999999E-2</v>
      </c>
      <c r="H505" s="48">
        <v>3.4599999999999999E-2</v>
      </c>
      <c r="I505" s="48">
        <v>7.4585432291738071E-2</v>
      </c>
      <c r="K505" s="62">
        <v>0</v>
      </c>
      <c r="M505" s="64"/>
      <c r="N505" s="64"/>
    </row>
    <row r="506" spans="1:14" x14ac:dyDescent="0.25">
      <c r="A506" s="45" t="s">
        <v>574</v>
      </c>
      <c r="B506" s="46">
        <v>12321.45</v>
      </c>
      <c r="C506" s="60">
        <v>0.21</v>
      </c>
      <c r="D506" s="47" t="s">
        <v>1839</v>
      </c>
      <c r="E506" s="47" t="s">
        <v>1839</v>
      </c>
      <c r="F506" s="47" t="s">
        <v>1839</v>
      </c>
      <c r="G506" s="48">
        <v>3.6999999999999998E-2</v>
      </c>
      <c r="H506" s="48">
        <v>3.6999999999999998E-2</v>
      </c>
      <c r="I506" s="48">
        <v>5.5019181156795542E-2</v>
      </c>
      <c r="K506" s="62">
        <v>0</v>
      </c>
      <c r="M506" s="64"/>
      <c r="N506" s="64"/>
    </row>
    <row r="507" spans="1:14" x14ac:dyDescent="0.25">
      <c r="A507" s="45" t="s">
        <v>575</v>
      </c>
      <c r="B507" s="46">
        <v>7679.39</v>
      </c>
      <c r="C507" s="60">
        <v>0.21</v>
      </c>
      <c r="D507" s="47" t="s">
        <v>1839</v>
      </c>
      <c r="E507" s="47" t="s">
        <v>1839</v>
      </c>
      <c r="F507" s="47" t="s">
        <v>1839</v>
      </c>
      <c r="G507" s="48">
        <v>0.1605</v>
      </c>
      <c r="H507" s="48">
        <v>0.1605</v>
      </c>
      <c r="I507" s="48">
        <v>0.2343085043900657</v>
      </c>
      <c r="K507" s="62">
        <v>0</v>
      </c>
      <c r="M507" s="64"/>
      <c r="N507" s="64"/>
    </row>
    <row r="508" spans="1:14" x14ac:dyDescent="0.25">
      <c r="A508" s="45" t="s">
        <v>576</v>
      </c>
      <c r="B508" s="46">
        <v>1681.09</v>
      </c>
      <c r="C508" s="60">
        <v>0.21</v>
      </c>
      <c r="D508" s="47" t="s">
        <v>1839</v>
      </c>
      <c r="E508" s="47" t="s">
        <v>1839</v>
      </c>
      <c r="F508" s="47" t="s">
        <v>1839</v>
      </c>
      <c r="G508" s="48">
        <v>9.1999999999999998E-2</v>
      </c>
      <c r="H508" s="48">
        <v>9.1999999999999998E-2</v>
      </c>
      <c r="I508" s="48">
        <v>0.13602283835255249</v>
      </c>
      <c r="K508" s="62">
        <v>0</v>
      </c>
      <c r="M508" s="64"/>
      <c r="N508" s="64"/>
    </row>
    <row r="509" spans="1:14" x14ac:dyDescent="0.25">
      <c r="A509" s="45" t="s">
        <v>577</v>
      </c>
      <c r="B509" s="46">
        <v>1934.26</v>
      </c>
      <c r="C509" s="60">
        <v>0.21</v>
      </c>
      <c r="D509" s="47" t="s">
        <v>1839</v>
      </c>
      <c r="E509" s="47" t="s">
        <v>1839</v>
      </c>
      <c r="F509" s="47" t="s">
        <v>1839</v>
      </c>
      <c r="G509" s="48">
        <v>0.25800000000000001</v>
      </c>
      <c r="H509" s="48">
        <v>0.25800000000000001</v>
      </c>
      <c r="I509" s="48">
        <v>0.33301939637689509</v>
      </c>
      <c r="K509" s="62">
        <v>0</v>
      </c>
      <c r="M509" s="64"/>
      <c r="N509" s="64"/>
    </row>
    <row r="510" spans="1:14" x14ac:dyDescent="0.25">
      <c r="A510" s="45" t="s">
        <v>578</v>
      </c>
      <c r="B510" s="46">
        <v>1928.03</v>
      </c>
      <c r="C510" s="60">
        <v>0.21</v>
      </c>
      <c r="D510" s="47" t="s">
        <v>1839</v>
      </c>
      <c r="E510" s="47" t="s">
        <v>1839</v>
      </c>
      <c r="F510" s="47" t="s">
        <v>1839</v>
      </c>
      <c r="G510" s="48">
        <v>0.29399999999999998</v>
      </c>
      <c r="H510" s="48">
        <v>0.29399999999999998</v>
      </c>
      <c r="I510" s="48">
        <v>0.36601811359965308</v>
      </c>
      <c r="K510" s="62">
        <v>0</v>
      </c>
      <c r="M510" s="64"/>
      <c r="N510" s="64"/>
    </row>
    <row r="511" spans="1:14" x14ac:dyDescent="0.25">
      <c r="A511" s="45" t="s">
        <v>579</v>
      </c>
      <c r="B511" s="46">
        <v>1765.22</v>
      </c>
      <c r="C511" s="60">
        <v>0.21</v>
      </c>
      <c r="D511" s="47" t="s">
        <v>1839</v>
      </c>
      <c r="E511" s="47" t="s">
        <v>1839</v>
      </c>
      <c r="F511" s="47" t="s">
        <v>1839</v>
      </c>
      <c r="G511" s="48">
        <v>0.28299999999999997</v>
      </c>
      <c r="H511" s="48">
        <v>0.28299999999999997</v>
      </c>
      <c r="I511" s="48">
        <v>0.359022339862822</v>
      </c>
      <c r="K511" s="62">
        <v>0</v>
      </c>
      <c r="M511" s="64"/>
      <c r="N511" s="64"/>
    </row>
    <row r="512" spans="1:14" x14ac:dyDescent="0.25">
      <c r="A512" s="45" t="s">
        <v>580</v>
      </c>
      <c r="B512" s="46">
        <v>5422.62</v>
      </c>
      <c r="C512" s="60">
        <v>0.21</v>
      </c>
      <c r="D512" s="47" t="s">
        <v>1839</v>
      </c>
      <c r="E512" s="47" t="s">
        <v>1839</v>
      </c>
      <c r="F512" s="47" t="s">
        <v>1839</v>
      </c>
      <c r="G512" s="48">
        <v>0.15809999999999999</v>
      </c>
      <c r="H512" s="48">
        <v>0.15809999999999999</v>
      </c>
      <c r="I512" s="48">
        <v>0.2381419423886055</v>
      </c>
      <c r="K512" s="62">
        <v>0</v>
      </c>
      <c r="M512" s="64"/>
      <c r="N512" s="64"/>
    </row>
    <row r="513" spans="1:14" x14ac:dyDescent="0.25">
      <c r="A513" s="45" t="s">
        <v>581</v>
      </c>
      <c r="B513" s="46">
        <v>5422.62</v>
      </c>
      <c r="C513" s="60">
        <v>0.21</v>
      </c>
      <c r="D513" s="47" t="s">
        <v>1839</v>
      </c>
      <c r="E513" s="47" t="s">
        <v>1839</v>
      </c>
      <c r="F513" s="47" t="s">
        <v>1839</v>
      </c>
      <c r="G513" s="48">
        <v>4.1300000000000003E-2</v>
      </c>
      <c r="H513" s="48">
        <v>4.1300000000000003E-2</v>
      </c>
      <c r="I513" s="48">
        <v>0.1182876260585929</v>
      </c>
      <c r="K513" s="62">
        <v>0</v>
      </c>
      <c r="M513" s="64"/>
      <c r="N513" s="64"/>
    </row>
    <row r="514" spans="1:14" x14ac:dyDescent="0.25">
      <c r="A514" s="45" t="s">
        <v>582</v>
      </c>
      <c r="B514" s="46">
        <v>16267.86</v>
      </c>
      <c r="C514" s="60">
        <v>0.21</v>
      </c>
      <c r="D514" s="47" t="s">
        <v>1839</v>
      </c>
      <c r="E514" s="47" t="s">
        <v>1839</v>
      </c>
      <c r="F514" s="47" t="s">
        <v>1839</v>
      </c>
      <c r="G514" s="48">
        <v>0.2321</v>
      </c>
      <c r="H514" s="48">
        <v>0.2321</v>
      </c>
      <c r="I514" s="48">
        <v>0.3081136077372798</v>
      </c>
      <c r="K514" s="62">
        <v>0</v>
      </c>
      <c r="M514" s="64"/>
      <c r="N514" s="64"/>
    </row>
    <row r="515" spans="1:14" x14ac:dyDescent="0.25">
      <c r="A515" s="45" t="s">
        <v>583</v>
      </c>
      <c r="B515" s="46">
        <v>14369.44</v>
      </c>
      <c r="C515" s="60">
        <v>0.21</v>
      </c>
      <c r="D515" s="47" t="s">
        <v>1839</v>
      </c>
      <c r="E515" s="47" t="s">
        <v>1839</v>
      </c>
      <c r="F515" s="47" t="s">
        <v>1839</v>
      </c>
      <c r="G515" s="48">
        <v>0.13400000000000001</v>
      </c>
      <c r="H515" s="48">
        <v>0.13400000000000001</v>
      </c>
      <c r="I515" s="48">
        <v>0.12627290858488771</v>
      </c>
      <c r="K515" s="62">
        <v>0</v>
      </c>
      <c r="M515" s="64"/>
      <c r="N515" s="64"/>
    </row>
    <row r="516" spans="1:14" x14ac:dyDescent="0.25">
      <c r="A516" s="45" t="s">
        <v>584</v>
      </c>
      <c r="B516" s="46">
        <v>11477.79</v>
      </c>
      <c r="C516" s="60">
        <v>0.21</v>
      </c>
      <c r="D516" s="47" t="s">
        <v>1839</v>
      </c>
      <c r="E516" s="47" t="s">
        <v>1839</v>
      </c>
      <c r="F516" s="47" t="s">
        <v>1839</v>
      </c>
      <c r="G516" s="48">
        <v>0.14680000000000001</v>
      </c>
      <c r="H516" s="48">
        <v>0.14680000000000001</v>
      </c>
      <c r="I516" s="48">
        <v>0.20776533769335981</v>
      </c>
      <c r="K516" s="62">
        <v>0</v>
      </c>
      <c r="M516" s="64"/>
      <c r="N516" s="64"/>
    </row>
    <row r="517" spans="1:14" x14ac:dyDescent="0.25">
      <c r="A517" s="45" t="s">
        <v>585</v>
      </c>
      <c r="B517" s="46">
        <v>12742.89</v>
      </c>
      <c r="C517" s="60">
        <v>0.21</v>
      </c>
      <c r="D517" s="47" t="s">
        <v>1839</v>
      </c>
      <c r="E517" s="47" t="s">
        <v>1839</v>
      </c>
      <c r="F517" s="47" t="s">
        <v>1839</v>
      </c>
      <c r="G517" s="48">
        <v>0.13519999999999999</v>
      </c>
      <c r="H517" s="48">
        <v>0.13519999999999999</v>
      </c>
      <c r="I517" s="48">
        <v>0.19272820784446379</v>
      </c>
      <c r="K517" s="62">
        <v>0</v>
      </c>
      <c r="M517" s="64"/>
      <c r="N517" s="64"/>
    </row>
    <row r="518" spans="1:14" x14ac:dyDescent="0.25">
      <c r="A518" s="45" t="s">
        <v>586</v>
      </c>
      <c r="B518" s="46">
        <v>14279.07</v>
      </c>
      <c r="C518" s="60">
        <v>0.21</v>
      </c>
      <c r="D518" s="47" t="s">
        <v>1839</v>
      </c>
      <c r="E518" s="47" t="s">
        <v>1839</v>
      </c>
      <c r="F518" s="47" t="s">
        <v>1839</v>
      </c>
      <c r="G518" s="48">
        <v>0.2316</v>
      </c>
      <c r="H518" s="48">
        <v>0.2316</v>
      </c>
      <c r="I518" s="48">
        <v>0.30902363686646089</v>
      </c>
      <c r="K518" s="62">
        <v>0</v>
      </c>
      <c r="M518" s="64"/>
      <c r="N518" s="64"/>
    </row>
    <row r="519" spans="1:14" x14ac:dyDescent="0.25">
      <c r="A519" s="45" t="s">
        <v>587</v>
      </c>
      <c r="B519" s="46">
        <v>63330.71</v>
      </c>
      <c r="C519" s="60">
        <v>0.21</v>
      </c>
      <c r="D519" s="47" t="s">
        <v>1839</v>
      </c>
      <c r="E519" s="47" t="s">
        <v>1839</v>
      </c>
      <c r="F519" s="47" t="s">
        <v>1839</v>
      </c>
      <c r="G519" s="48">
        <v>0.16589999999999999</v>
      </c>
      <c r="H519" s="48">
        <v>0.16589999999999999</v>
      </c>
      <c r="I519" s="48">
        <v>0.21992994163202459</v>
      </c>
      <c r="K519" s="62">
        <v>0</v>
      </c>
      <c r="M519" s="64"/>
      <c r="N519" s="64"/>
    </row>
    <row r="520" spans="1:14" x14ac:dyDescent="0.25">
      <c r="A520" s="45" t="s">
        <v>588</v>
      </c>
      <c r="B520" s="46">
        <v>2831.67</v>
      </c>
      <c r="C520" s="60">
        <v>0.21</v>
      </c>
      <c r="D520" s="47" t="s">
        <v>1839</v>
      </c>
      <c r="E520" s="47" t="s">
        <v>1839</v>
      </c>
      <c r="F520" s="47" t="s">
        <v>1839</v>
      </c>
      <c r="G520" s="48">
        <v>0.1986</v>
      </c>
      <c r="H520" s="48">
        <v>0.1986</v>
      </c>
      <c r="I520" s="48">
        <v>0.26257991397343011</v>
      </c>
      <c r="K520" s="62">
        <v>0</v>
      </c>
      <c r="M520" s="64"/>
      <c r="N520" s="64"/>
    </row>
    <row r="521" spans="1:14" x14ac:dyDescent="0.25">
      <c r="A521" s="45" t="s">
        <v>589</v>
      </c>
      <c r="B521" s="46">
        <v>34523.730000000003</v>
      </c>
      <c r="C521" s="60">
        <v>0.21</v>
      </c>
      <c r="D521" s="47" t="s">
        <v>1839</v>
      </c>
      <c r="E521" s="47" t="s">
        <v>1839</v>
      </c>
      <c r="F521" s="47" t="s">
        <v>1839</v>
      </c>
      <c r="G521" s="48">
        <v>0.191</v>
      </c>
      <c r="H521" s="48">
        <v>0.191</v>
      </c>
      <c r="I521" s="48">
        <v>0.25299978164339099</v>
      </c>
      <c r="K521" s="62">
        <v>0</v>
      </c>
      <c r="M521" s="64"/>
      <c r="N521" s="64"/>
    </row>
    <row r="522" spans="1:14" x14ac:dyDescent="0.25">
      <c r="A522" s="45" t="s">
        <v>590</v>
      </c>
      <c r="B522" s="46">
        <v>26299.040000000001</v>
      </c>
      <c r="C522" s="60">
        <v>0.21</v>
      </c>
      <c r="D522" s="47" t="s">
        <v>1839</v>
      </c>
      <c r="E522" s="47" t="s">
        <v>1839</v>
      </c>
      <c r="F522" s="47" t="s">
        <v>1839</v>
      </c>
      <c r="G522" s="48">
        <v>3.4500000000000003E-2</v>
      </c>
      <c r="H522" s="48">
        <v>3.4500000000000003E-2</v>
      </c>
      <c r="I522" s="48">
        <v>4.9503461062461708E-2</v>
      </c>
      <c r="K522" s="62">
        <v>0</v>
      </c>
      <c r="M522" s="64"/>
      <c r="N522" s="64"/>
    </row>
    <row r="523" spans="1:14" x14ac:dyDescent="0.25">
      <c r="A523" s="45" t="s">
        <v>591</v>
      </c>
      <c r="B523" s="46">
        <v>20856.169999999998</v>
      </c>
      <c r="C523" s="60">
        <v>0.21</v>
      </c>
      <c r="D523" s="47" t="s">
        <v>1839</v>
      </c>
      <c r="E523" s="47" t="s">
        <v>1839</v>
      </c>
      <c r="F523" s="47" t="s">
        <v>1839</v>
      </c>
      <c r="G523" s="48">
        <v>7.8700000000000006E-2</v>
      </c>
      <c r="H523" s="48">
        <v>7.8700000000000006E-2</v>
      </c>
      <c r="I523" s="48">
        <v>0.11272689889631909</v>
      </c>
      <c r="K523" s="62">
        <v>0</v>
      </c>
      <c r="M523" s="64"/>
      <c r="N523" s="64"/>
    </row>
    <row r="524" spans="1:14" x14ac:dyDescent="0.25">
      <c r="A524" s="45" t="s">
        <v>592</v>
      </c>
      <c r="B524" s="46">
        <v>994.01</v>
      </c>
      <c r="C524" s="60">
        <v>0.21</v>
      </c>
      <c r="D524" s="47" t="s">
        <v>1839</v>
      </c>
      <c r="E524" s="47" t="s">
        <v>1839</v>
      </c>
      <c r="F524" s="47" t="s">
        <v>1839</v>
      </c>
      <c r="G524" s="48">
        <v>0.16839999999999999</v>
      </c>
      <c r="H524" s="48">
        <v>0.16839999999999999</v>
      </c>
      <c r="I524" s="48">
        <v>0.24742344648904491</v>
      </c>
      <c r="K524" s="62">
        <v>0</v>
      </c>
      <c r="M524" s="64"/>
      <c r="N524" s="64"/>
    </row>
    <row r="525" spans="1:14" x14ac:dyDescent="0.25">
      <c r="A525" s="45" t="s">
        <v>593</v>
      </c>
      <c r="B525" s="46">
        <v>4265.8100000000004</v>
      </c>
      <c r="C525" s="60">
        <v>0.21</v>
      </c>
      <c r="D525" s="47" t="s">
        <v>1839</v>
      </c>
      <c r="E525" s="47" t="s">
        <v>1839</v>
      </c>
      <c r="F525" s="47" t="s">
        <v>1839</v>
      </c>
      <c r="G525" s="48">
        <v>5.1999999999999998E-2</v>
      </c>
      <c r="H525" s="48">
        <v>5.1999999999999998E-2</v>
      </c>
      <c r="I525" s="48">
        <v>7.5017319912918642E-2</v>
      </c>
      <c r="K525" s="62">
        <v>0</v>
      </c>
      <c r="M525" s="64"/>
      <c r="N525" s="64"/>
    </row>
    <row r="526" spans="1:14" x14ac:dyDescent="0.25">
      <c r="A526" s="45" t="s">
        <v>594</v>
      </c>
      <c r="B526" s="46">
        <v>1150.5899999999999</v>
      </c>
      <c r="C526" s="60">
        <v>0.21</v>
      </c>
      <c r="D526" s="47" t="s">
        <v>1839</v>
      </c>
      <c r="E526" s="47" t="s">
        <v>1839</v>
      </c>
      <c r="F526" s="47" t="s">
        <v>1839</v>
      </c>
      <c r="G526" s="48">
        <v>7.4300000000000005E-2</v>
      </c>
      <c r="H526" s="48">
        <v>7.4300000000000005E-2</v>
      </c>
      <c r="I526" s="48">
        <v>0.1232957151006073</v>
      </c>
      <c r="K526" s="62">
        <v>0</v>
      </c>
      <c r="M526" s="64"/>
      <c r="N526" s="64"/>
    </row>
    <row r="527" spans="1:14" x14ac:dyDescent="0.25">
      <c r="A527" s="45" t="s">
        <v>595</v>
      </c>
      <c r="B527" s="46">
        <v>11098.42</v>
      </c>
      <c r="C527" s="60">
        <v>0.21</v>
      </c>
      <c r="D527" s="47" t="s">
        <v>1839</v>
      </c>
      <c r="E527" s="47" t="s">
        <v>1839</v>
      </c>
      <c r="F527" s="47" t="s">
        <v>1839</v>
      </c>
      <c r="G527" s="48">
        <v>0.1807</v>
      </c>
      <c r="H527" s="48">
        <v>0.1807</v>
      </c>
      <c r="I527" s="48">
        <v>0.24899361576580761</v>
      </c>
      <c r="K527" s="62">
        <v>0</v>
      </c>
      <c r="M527" s="64"/>
      <c r="N527" s="64"/>
    </row>
    <row r="528" spans="1:14" x14ac:dyDescent="0.25">
      <c r="A528" s="45" t="s">
        <v>596</v>
      </c>
      <c r="B528" s="46">
        <v>7910.75</v>
      </c>
      <c r="C528" s="60">
        <v>0.21</v>
      </c>
      <c r="D528" s="47" t="s">
        <v>1839</v>
      </c>
      <c r="E528" s="47" t="s">
        <v>1839</v>
      </c>
      <c r="F528" s="47" t="s">
        <v>1839</v>
      </c>
      <c r="G528" s="48">
        <v>0.18590000000000001</v>
      </c>
      <c r="H528" s="48">
        <v>0.18590000000000001</v>
      </c>
      <c r="I528" s="48">
        <v>0.25993255916038149</v>
      </c>
      <c r="K528" s="62">
        <v>0</v>
      </c>
      <c r="M528" s="64"/>
      <c r="N528" s="64"/>
    </row>
    <row r="529" spans="1:14" x14ac:dyDescent="0.25">
      <c r="A529" s="45" t="s">
        <v>597</v>
      </c>
      <c r="B529" s="46">
        <v>19701.689999999999</v>
      </c>
      <c r="C529" s="60">
        <v>0.21</v>
      </c>
      <c r="D529" s="47" t="s">
        <v>1839</v>
      </c>
      <c r="E529" s="47" t="s">
        <v>1839</v>
      </c>
      <c r="F529" s="47" t="s">
        <v>1839</v>
      </c>
      <c r="G529" s="48">
        <v>0.17219999999999999</v>
      </c>
      <c r="H529" s="48">
        <v>0.17219999999999999</v>
      </c>
      <c r="I529" s="48">
        <v>0.24619815562967989</v>
      </c>
      <c r="K529" s="62">
        <v>0</v>
      </c>
      <c r="M529" s="64"/>
      <c r="N529" s="64"/>
    </row>
    <row r="530" spans="1:14" x14ac:dyDescent="0.25">
      <c r="A530" s="45" t="s">
        <v>598</v>
      </c>
      <c r="B530" s="46">
        <v>451.82</v>
      </c>
      <c r="C530" s="60">
        <v>0.21</v>
      </c>
      <c r="D530" s="47" t="s">
        <v>1839</v>
      </c>
      <c r="E530" s="47" t="s">
        <v>1839</v>
      </c>
      <c r="F530" s="47" t="s">
        <v>1839</v>
      </c>
      <c r="G530" s="48">
        <v>0.17860000000000001</v>
      </c>
      <c r="H530" s="48">
        <v>0.17860000000000001</v>
      </c>
      <c r="I530" s="48">
        <v>0.30563080241164647</v>
      </c>
      <c r="K530" s="62">
        <v>0</v>
      </c>
      <c r="M530" s="64"/>
      <c r="N530" s="64"/>
    </row>
    <row r="531" spans="1:14" x14ac:dyDescent="0.25">
      <c r="A531" s="45" t="s">
        <v>599</v>
      </c>
      <c r="B531" s="46">
        <v>2167.98</v>
      </c>
      <c r="C531" s="60">
        <v>0.21</v>
      </c>
      <c r="D531" s="47" t="s">
        <v>1839</v>
      </c>
      <c r="E531" s="47" t="s">
        <v>1839</v>
      </c>
      <c r="F531" s="47" t="s">
        <v>1839</v>
      </c>
      <c r="G531" s="48">
        <v>3.5999999999999997E-2</v>
      </c>
      <c r="H531" s="48">
        <v>3.5999999999999997E-2</v>
      </c>
      <c r="I531" s="48">
        <v>5.4019769108880997E-2</v>
      </c>
      <c r="K531" s="62">
        <v>0</v>
      </c>
      <c r="M531" s="64"/>
      <c r="N531" s="64"/>
    </row>
    <row r="532" spans="1:14" x14ac:dyDescent="0.25">
      <c r="A532" s="45" t="s">
        <v>600</v>
      </c>
      <c r="B532" s="46">
        <v>2167.98</v>
      </c>
      <c r="C532" s="60">
        <v>0.21</v>
      </c>
      <c r="D532" s="47" t="s">
        <v>1839</v>
      </c>
      <c r="E532" s="47" t="s">
        <v>1839</v>
      </c>
      <c r="F532" s="47" t="s">
        <v>1839</v>
      </c>
      <c r="G532" s="48">
        <v>3.5999999999999997E-2</v>
      </c>
      <c r="H532" s="48">
        <v>3.5999999999999997E-2</v>
      </c>
      <c r="I532" s="48">
        <v>5.4019769108880997E-2</v>
      </c>
      <c r="K532" s="62">
        <v>0</v>
      </c>
      <c r="M532" s="64"/>
      <c r="N532" s="64"/>
    </row>
    <row r="533" spans="1:14" x14ac:dyDescent="0.25">
      <c r="A533" s="45" t="s">
        <v>601</v>
      </c>
      <c r="B533" s="46">
        <v>2167.98</v>
      </c>
      <c r="C533" s="60">
        <v>0.21</v>
      </c>
      <c r="D533" s="47" t="s">
        <v>1839</v>
      </c>
      <c r="E533" s="47" t="s">
        <v>1839</v>
      </c>
      <c r="F533" s="47" t="s">
        <v>1839</v>
      </c>
      <c r="G533" s="48">
        <v>3.5999999999999997E-2</v>
      </c>
      <c r="H533" s="48">
        <v>3.5999999999999997E-2</v>
      </c>
      <c r="I533" s="48">
        <v>5.4019769108880997E-2</v>
      </c>
      <c r="K533" s="62">
        <v>0</v>
      </c>
      <c r="M533" s="64"/>
      <c r="N533" s="64"/>
    </row>
    <row r="534" spans="1:14" x14ac:dyDescent="0.25">
      <c r="A534" s="45" t="s">
        <v>602</v>
      </c>
      <c r="B534" s="46">
        <v>5422.62</v>
      </c>
      <c r="C534" s="60">
        <v>0.21</v>
      </c>
      <c r="D534" s="47" t="s">
        <v>1839</v>
      </c>
      <c r="E534" s="47" t="s">
        <v>1839</v>
      </c>
      <c r="F534" s="47" t="s">
        <v>1839</v>
      </c>
      <c r="G534" s="48">
        <v>0.16189999999999999</v>
      </c>
      <c r="H534" s="48">
        <v>0.16189999999999999</v>
      </c>
      <c r="I534" s="48">
        <v>0.24498313197292471</v>
      </c>
      <c r="K534" s="62">
        <v>0</v>
      </c>
      <c r="M534" s="64"/>
      <c r="N534" s="64"/>
    </row>
    <row r="535" spans="1:14" x14ac:dyDescent="0.25">
      <c r="A535" s="45" t="s">
        <v>603</v>
      </c>
      <c r="B535" s="46">
        <v>5422.62</v>
      </c>
      <c r="C535" s="60">
        <v>0.21</v>
      </c>
      <c r="D535" s="47" t="s">
        <v>1839</v>
      </c>
      <c r="E535" s="47" t="s">
        <v>1839</v>
      </c>
      <c r="F535" s="47" t="s">
        <v>1839</v>
      </c>
      <c r="G535" s="48">
        <v>0.1182</v>
      </c>
      <c r="H535" s="48">
        <v>0.1182</v>
      </c>
      <c r="I535" s="48">
        <v>0.19328404728618509</v>
      </c>
      <c r="K535" s="62">
        <v>0</v>
      </c>
      <c r="M535" s="64"/>
      <c r="N535" s="64"/>
    </row>
    <row r="536" spans="1:14" x14ac:dyDescent="0.25">
      <c r="A536" s="45" t="s">
        <v>604</v>
      </c>
      <c r="B536" s="46">
        <v>62565.5</v>
      </c>
      <c r="C536" s="60">
        <v>0.21</v>
      </c>
      <c r="D536" s="47" t="s">
        <v>1839</v>
      </c>
      <c r="E536" s="47" t="s">
        <v>1839</v>
      </c>
      <c r="F536" s="47" t="s">
        <v>1839</v>
      </c>
      <c r="G536" s="48">
        <v>6.7400000000000002E-2</v>
      </c>
      <c r="H536" s="48">
        <v>6.7400000000000002E-2</v>
      </c>
      <c r="I536" s="48">
        <v>9.6140154022979971E-2</v>
      </c>
      <c r="K536" s="62">
        <v>0</v>
      </c>
      <c r="M536" s="64"/>
      <c r="N536" s="64"/>
    </row>
    <row r="537" spans="1:14" x14ac:dyDescent="0.25">
      <c r="A537" s="45" t="s">
        <v>605</v>
      </c>
      <c r="B537" s="46">
        <v>102652.93999999999</v>
      </c>
      <c r="C537" s="60">
        <v>0.21</v>
      </c>
      <c r="D537" s="47" t="s">
        <v>1839</v>
      </c>
      <c r="E537" s="47" t="s">
        <v>1839</v>
      </c>
      <c r="F537" s="47" t="s">
        <v>1839</v>
      </c>
      <c r="G537" s="48">
        <v>6.6400000000000001E-2</v>
      </c>
      <c r="H537" s="48">
        <v>6.6400000000000001E-2</v>
      </c>
      <c r="I537" s="48">
        <v>9.29278679350901E-2</v>
      </c>
      <c r="K537" s="62">
        <v>0</v>
      </c>
      <c r="M537" s="64"/>
      <c r="N537" s="64"/>
    </row>
    <row r="538" spans="1:14" x14ac:dyDescent="0.25">
      <c r="A538" s="45" t="s">
        <v>606</v>
      </c>
      <c r="B538" s="46">
        <v>34672.82</v>
      </c>
      <c r="C538" s="60">
        <v>0.21</v>
      </c>
      <c r="D538" s="47" t="s">
        <v>1839</v>
      </c>
      <c r="E538" s="47" t="s">
        <v>1839</v>
      </c>
      <c r="F538" s="47" t="s">
        <v>1839</v>
      </c>
      <c r="G538" s="48">
        <v>0.1673</v>
      </c>
      <c r="H538" s="48">
        <v>0.1673</v>
      </c>
      <c r="I538" s="48">
        <v>0.2233122400494999</v>
      </c>
      <c r="K538" s="62">
        <v>0</v>
      </c>
      <c r="M538" s="64"/>
      <c r="N538" s="64"/>
    </row>
    <row r="539" spans="1:14" x14ac:dyDescent="0.25">
      <c r="A539" s="45" t="s">
        <v>607</v>
      </c>
      <c r="B539" s="46">
        <v>3516.6200000000003</v>
      </c>
      <c r="C539" s="60">
        <v>0.21</v>
      </c>
      <c r="D539" s="47" t="s">
        <v>1839</v>
      </c>
      <c r="E539" s="47" t="s">
        <v>1839</v>
      </c>
      <c r="F539" s="47" t="s">
        <v>1839</v>
      </c>
      <c r="G539" s="48">
        <v>0.154</v>
      </c>
      <c r="H539" s="48">
        <v>0.154</v>
      </c>
      <c r="I539" s="48">
        <v>0.209092409575905</v>
      </c>
      <c r="K539" s="62">
        <v>0</v>
      </c>
      <c r="M539" s="64"/>
      <c r="N539" s="64"/>
    </row>
    <row r="540" spans="1:14" x14ac:dyDescent="0.25">
      <c r="A540" s="45" t="s">
        <v>608</v>
      </c>
      <c r="B540" s="46">
        <v>18179.009999999998</v>
      </c>
      <c r="C540" s="60">
        <v>0.21</v>
      </c>
      <c r="D540" s="47" t="s">
        <v>1839</v>
      </c>
      <c r="E540" s="47" t="s">
        <v>1839</v>
      </c>
      <c r="F540" s="47" t="s">
        <v>1839</v>
      </c>
      <c r="G540" s="48">
        <v>4.4400000000000002E-2</v>
      </c>
      <c r="H540" s="48">
        <v>4.4400000000000002E-2</v>
      </c>
      <c r="I540" s="48">
        <v>7.2210529354704608E-2</v>
      </c>
      <c r="K540" s="62">
        <v>0</v>
      </c>
      <c r="M540" s="64"/>
      <c r="N540" s="64"/>
    </row>
    <row r="541" spans="1:14" x14ac:dyDescent="0.25">
      <c r="A541" s="45" t="s">
        <v>609</v>
      </c>
      <c r="B541" s="46">
        <v>5925.15</v>
      </c>
      <c r="C541" s="60">
        <v>0.21</v>
      </c>
      <c r="D541" s="47" t="s">
        <v>1839</v>
      </c>
      <c r="E541" s="47" t="s">
        <v>1839</v>
      </c>
      <c r="F541" s="47" t="s">
        <v>1839</v>
      </c>
      <c r="G541" s="48">
        <v>0.1759</v>
      </c>
      <c r="H541" s="48">
        <v>0.1759</v>
      </c>
      <c r="I541" s="48">
        <v>0.26303187584327631</v>
      </c>
      <c r="K541" s="62">
        <v>0</v>
      </c>
      <c r="M541" s="64"/>
      <c r="N541" s="64"/>
    </row>
    <row r="542" spans="1:14" x14ac:dyDescent="0.25">
      <c r="A542" s="45" t="s">
        <v>610</v>
      </c>
      <c r="B542" s="46">
        <v>5289.03</v>
      </c>
      <c r="C542" s="60">
        <v>0.21</v>
      </c>
      <c r="D542" s="47" t="s">
        <v>1839</v>
      </c>
      <c r="E542" s="47" t="s">
        <v>1839</v>
      </c>
      <c r="F542" s="47" t="s">
        <v>1839</v>
      </c>
      <c r="G542" s="48">
        <v>8.43E-2</v>
      </c>
      <c r="H542" s="48">
        <v>8.43E-2</v>
      </c>
      <c r="I542" s="48">
        <v>0.159887447379292</v>
      </c>
      <c r="K542" s="62">
        <v>0</v>
      </c>
      <c r="M542" s="64"/>
      <c r="N542" s="64"/>
    </row>
    <row r="543" spans="1:14" x14ac:dyDescent="0.25">
      <c r="A543" s="45" t="s">
        <v>611</v>
      </c>
      <c r="B543" s="46">
        <v>5360.85</v>
      </c>
      <c r="C543" s="60">
        <v>0.21</v>
      </c>
      <c r="D543" s="47" t="s">
        <v>1839</v>
      </c>
      <c r="E543" s="47" t="s">
        <v>1839</v>
      </c>
      <c r="F543" s="47" t="s">
        <v>1839</v>
      </c>
      <c r="G543" s="48">
        <v>0.1007</v>
      </c>
      <c r="H543" s="48">
        <v>0.1007</v>
      </c>
      <c r="I543" s="48">
        <v>0.1754001450056728</v>
      </c>
      <c r="K543" s="62">
        <v>0</v>
      </c>
      <c r="M543" s="64"/>
      <c r="N543" s="64"/>
    </row>
    <row r="544" spans="1:14" x14ac:dyDescent="0.25">
      <c r="A544" s="45" t="s">
        <v>612</v>
      </c>
      <c r="B544" s="46">
        <v>18179.009999999998</v>
      </c>
      <c r="C544" s="60">
        <v>0.21</v>
      </c>
      <c r="D544" s="47" t="s">
        <v>1839</v>
      </c>
      <c r="E544" s="47" t="s">
        <v>1839</v>
      </c>
      <c r="F544" s="47" t="s">
        <v>1839</v>
      </c>
      <c r="G544" s="48">
        <v>4.4400000000000002E-2</v>
      </c>
      <c r="H544" s="48">
        <v>4.4400000000000002E-2</v>
      </c>
      <c r="I544" s="48">
        <v>6.7234326822660062E-2</v>
      </c>
      <c r="K544" s="62">
        <v>0</v>
      </c>
      <c r="M544" s="64"/>
      <c r="N544" s="64"/>
    </row>
    <row r="545" spans="1:14" x14ac:dyDescent="0.25">
      <c r="A545" s="45" t="s">
        <v>613</v>
      </c>
      <c r="B545" s="46">
        <v>954.18</v>
      </c>
      <c r="C545" s="60">
        <v>0.21</v>
      </c>
      <c r="D545" s="47" t="s">
        <v>1839</v>
      </c>
      <c r="E545" s="47" t="s">
        <v>1839</v>
      </c>
      <c r="F545" s="47" t="s">
        <v>1839</v>
      </c>
      <c r="G545" s="48">
        <v>0.17430000000000001</v>
      </c>
      <c r="H545" s="48">
        <v>0.17430000000000001</v>
      </c>
      <c r="I545" s="48">
        <v>0.2532948574065722</v>
      </c>
      <c r="K545" s="62">
        <v>0</v>
      </c>
      <c r="M545" s="64"/>
      <c r="N545" s="64"/>
    </row>
    <row r="546" spans="1:14" x14ac:dyDescent="0.25">
      <c r="A546" s="45" t="s">
        <v>614</v>
      </c>
      <c r="B546" s="46">
        <v>9818.82</v>
      </c>
      <c r="C546" s="60">
        <v>0.21</v>
      </c>
      <c r="D546" s="47" t="s">
        <v>1839</v>
      </c>
      <c r="E546" s="47" t="s">
        <v>1839</v>
      </c>
      <c r="F546" s="47" t="s">
        <v>1839</v>
      </c>
      <c r="G546" s="48">
        <v>0.1011</v>
      </c>
      <c r="H546" s="48">
        <v>0.1011</v>
      </c>
      <c r="I546" s="48">
        <v>0.1497962922868403</v>
      </c>
      <c r="K546" s="62">
        <v>0</v>
      </c>
      <c r="M546" s="64"/>
      <c r="N546" s="64"/>
    </row>
    <row r="547" spans="1:14" x14ac:dyDescent="0.25">
      <c r="A547" s="45" t="s">
        <v>615</v>
      </c>
      <c r="B547" s="46">
        <v>8333.69</v>
      </c>
      <c r="C547" s="60">
        <v>0.21</v>
      </c>
      <c r="D547" s="47" t="s">
        <v>1839</v>
      </c>
      <c r="E547" s="47" t="s">
        <v>1839</v>
      </c>
      <c r="F547" s="47" t="s">
        <v>1839</v>
      </c>
      <c r="G547" s="48">
        <v>0.1419</v>
      </c>
      <c r="H547" s="48">
        <v>0.1419</v>
      </c>
      <c r="I547" s="48">
        <v>0.21192229643176111</v>
      </c>
      <c r="K547" s="62">
        <v>0</v>
      </c>
      <c r="M547" s="64"/>
      <c r="N547" s="64"/>
    </row>
    <row r="548" spans="1:14" x14ac:dyDescent="0.25">
      <c r="A548" s="45" t="s">
        <v>616</v>
      </c>
      <c r="B548" s="46">
        <v>1300.46</v>
      </c>
      <c r="C548" s="60">
        <v>0.21</v>
      </c>
      <c r="D548" s="47" t="s">
        <v>1839</v>
      </c>
      <c r="E548" s="47" t="s">
        <v>1839</v>
      </c>
      <c r="F548" s="47" t="s">
        <v>1839</v>
      </c>
      <c r="G548" s="48">
        <v>7.4300000000000005E-2</v>
      </c>
      <c r="H548" s="48">
        <v>7.4300000000000005E-2</v>
      </c>
      <c r="I548" s="48">
        <v>0.1122694402420575</v>
      </c>
      <c r="K548" s="62">
        <v>0</v>
      </c>
      <c r="M548" s="64"/>
      <c r="N548" s="64"/>
    </row>
    <row r="549" spans="1:14" x14ac:dyDescent="0.25">
      <c r="A549" s="45" t="s">
        <v>617</v>
      </c>
      <c r="B549" s="46">
        <v>1137.1500000000001</v>
      </c>
      <c r="C549" s="60">
        <v>0.21</v>
      </c>
      <c r="D549" s="47" t="s">
        <v>1839</v>
      </c>
      <c r="E549" s="47" t="s">
        <v>1839</v>
      </c>
      <c r="F549" s="47" t="s">
        <v>1839</v>
      </c>
      <c r="G549" s="48">
        <v>3.5299999999999998E-2</v>
      </c>
      <c r="H549" s="48">
        <v>3.5299999999999998E-2</v>
      </c>
      <c r="I549" s="48">
        <v>7.6290331456243005E-2</v>
      </c>
      <c r="K549" s="62">
        <v>0</v>
      </c>
      <c r="M549" s="64"/>
      <c r="N549" s="64"/>
    </row>
    <row r="550" spans="1:14" x14ac:dyDescent="0.25">
      <c r="A550" s="45" t="s">
        <v>618</v>
      </c>
      <c r="B550" s="46">
        <v>1241.46</v>
      </c>
      <c r="C550" s="60">
        <v>0.21</v>
      </c>
      <c r="D550" s="47" t="s">
        <v>1839</v>
      </c>
      <c r="E550" s="47" t="s">
        <v>1839</v>
      </c>
      <c r="F550" s="47" t="s">
        <v>1839</v>
      </c>
      <c r="G550" s="48">
        <v>0.17050000000000001</v>
      </c>
      <c r="H550" s="48">
        <v>0.17050000000000001</v>
      </c>
      <c r="I550" s="48">
        <v>0.24248886191248911</v>
      </c>
      <c r="K550" s="62">
        <v>0</v>
      </c>
      <c r="M550" s="64"/>
      <c r="N550" s="64"/>
    </row>
    <row r="551" spans="1:14" x14ac:dyDescent="0.25">
      <c r="A551" s="45" t="s">
        <v>619</v>
      </c>
      <c r="B551" s="46">
        <v>1397.93</v>
      </c>
      <c r="C551" s="60">
        <v>0.21</v>
      </c>
      <c r="D551" s="47" t="s">
        <v>1839</v>
      </c>
      <c r="E551" s="47" t="s">
        <v>1839</v>
      </c>
      <c r="F551" s="47" t="s">
        <v>1839</v>
      </c>
      <c r="G551" s="48">
        <v>3.5299999999999998E-2</v>
      </c>
      <c r="H551" s="48">
        <v>3.5299999999999998E-2</v>
      </c>
      <c r="I551" s="48">
        <v>5.9284944506586168E-2</v>
      </c>
      <c r="K551" s="62">
        <v>0</v>
      </c>
      <c r="M551" s="64"/>
      <c r="N551" s="64"/>
    </row>
    <row r="552" spans="1:14" x14ac:dyDescent="0.25">
      <c r="A552" s="45" t="s">
        <v>620</v>
      </c>
      <c r="B552" s="46">
        <v>1607.4</v>
      </c>
      <c r="C552" s="60">
        <v>0.21</v>
      </c>
      <c r="D552" s="47" t="s">
        <v>1839</v>
      </c>
      <c r="E552" s="47" t="s">
        <v>1839</v>
      </c>
      <c r="F552" s="47" t="s">
        <v>1839</v>
      </c>
      <c r="G552" s="48">
        <v>0.1623</v>
      </c>
      <c r="H552" s="48">
        <v>0.1623</v>
      </c>
      <c r="I552" s="48">
        <v>0.23457945773504041</v>
      </c>
      <c r="K552" s="62">
        <v>0</v>
      </c>
      <c r="M552" s="64"/>
      <c r="N552" s="64"/>
    </row>
    <row r="553" spans="1:14" x14ac:dyDescent="0.25">
      <c r="A553" s="45" t="s">
        <v>621</v>
      </c>
      <c r="B553" s="46">
        <v>28207.239999999998</v>
      </c>
      <c r="C553" s="60">
        <v>0.21</v>
      </c>
      <c r="D553" s="47" t="s">
        <v>1839</v>
      </c>
      <c r="E553" s="47" t="s">
        <v>1839</v>
      </c>
      <c r="F553" s="47" t="s">
        <v>1839</v>
      </c>
      <c r="G553" s="48" t="s">
        <v>1839</v>
      </c>
      <c r="H553" s="48" t="s">
        <v>1839</v>
      </c>
      <c r="K553" s="62">
        <v>0</v>
      </c>
      <c r="M553" s="64"/>
      <c r="N553" s="64"/>
    </row>
    <row r="554" spans="1:14" x14ac:dyDescent="0.25">
      <c r="A554" s="45" t="s">
        <v>622</v>
      </c>
      <c r="B554" s="46">
        <v>26841.87</v>
      </c>
      <c r="C554" s="60">
        <v>0.21</v>
      </c>
      <c r="D554" s="47" t="s">
        <v>1839</v>
      </c>
      <c r="E554" s="47" t="s">
        <v>1839</v>
      </c>
      <c r="F554" s="47" t="s">
        <v>1839</v>
      </c>
      <c r="G554" s="48">
        <v>0.12189999999999999</v>
      </c>
      <c r="H554" s="48">
        <v>0.12189999999999999</v>
      </c>
      <c r="I554" s="48">
        <v>0.16857768652244401</v>
      </c>
      <c r="K554" s="62">
        <v>0</v>
      </c>
      <c r="M554" s="64"/>
      <c r="N554" s="64"/>
    </row>
    <row r="555" spans="1:14" x14ac:dyDescent="0.25">
      <c r="A555" s="45" t="s">
        <v>623</v>
      </c>
      <c r="B555" s="46">
        <v>33273.51</v>
      </c>
      <c r="C555" s="60">
        <v>0.21</v>
      </c>
      <c r="D555" s="47" t="s">
        <v>1839</v>
      </c>
      <c r="E555" s="47" t="s">
        <v>1839</v>
      </c>
      <c r="F555" s="47" t="s">
        <v>1839</v>
      </c>
      <c r="G555" s="48" t="s">
        <v>1839</v>
      </c>
      <c r="H555" s="48" t="s">
        <v>1839</v>
      </c>
      <c r="K555" s="62">
        <v>0</v>
      </c>
      <c r="M555" s="64"/>
      <c r="N555" s="64"/>
    </row>
    <row r="556" spans="1:14" x14ac:dyDescent="0.25">
      <c r="A556" s="45" t="s">
        <v>624</v>
      </c>
      <c r="B556" s="46">
        <v>33023.519999999997</v>
      </c>
      <c r="C556" s="60">
        <v>0.21</v>
      </c>
      <c r="D556" s="47" t="s">
        <v>1839</v>
      </c>
      <c r="E556" s="47" t="s">
        <v>1839</v>
      </c>
      <c r="F556" s="47" t="s">
        <v>1839</v>
      </c>
      <c r="G556" s="48">
        <v>0.10580000000000001</v>
      </c>
      <c r="H556" s="48">
        <v>0.10580000000000001</v>
      </c>
      <c r="I556" s="48">
        <v>0.14576175448722509</v>
      </c>
      <c r="K556" s="62">
        <v>0</v>
      </c>
      <c r="M556" s="64"/>
      <c r="N556" s="64"/>
    </row>
    <row r="557" spans="1:14" x14ac:dyDescent="0.25">
      <c r="A557" s="45" t="s">
        <v>625</v>
      </c>
      <c r="B557" s="46">
        <v>1432.98</v>
      </c>
      <c r="C557" s="60">
        <v>0.21</v>
      </c>
      <c r="D557" s="47" t="s">
        <v>1839</v>
      </c>
      <c r="E557" s="47" t="s">
        <v>1839</v>
      </c>
      <c r="F557" s="47" t="s">
        <v>1839</v>
      </c>
      <c r="G557" s="48">
        <v>0.14799999999999999</v>
      </c>
      <c r="H557" s="48">
        <v>0.14799999999999999</v>
      </c>
      <c r="I557" s="48">
        <v>0.21102089043972239</v>
      </c>
      <c r="K557" s="62">
        <v>0</v>
      </c>
      <c r="M557" s="64"/>
      <c r="N557" s="64"/>
    </row>
    <row r="558" spans="1:14" x14ac:dyDescent="0.25">
      <c r="A558" s="45" t="s">
        <v>626</v>
      </c>
      <c r="B558" s="46">
        <v>1709.15</v>
      </c>
      <c r="C558" s="60">
        <v>0.21</v>
      </c>
      <c r="D558" s="47" t="s">
        <v>1839</v>
      </c>
      <c r="E558" s="47" t="s">
        <v>1839</v>
      </c>
      <c r="F558" s="47" t="s">
        <v>1839</v>
      </c>
      <c r="G558" s="48">
        <v>0.14799999999999999</v>
      </c>
      <c r="H558" s="48">
        <v>0.14799999999999999</v>
      </c>
      <c r="I558" s="48">
        <v>0.20902154277375271</v>
      </c>
      <c r="K558" s="62">
        <v>0</v>
      </c>
      <c r="M558" s="64"/>
      <c r="N558" s="64"/>
    </row>
    <row r="559" spans="1:14" x14ac:dyDescent="0.25">
      <c r="A559" s="45" t="s">
        <v>627</v>
      </c>
      <c r="B559" s="46">
        <v>1758.74</v>
      </c>
      <c r="C559" s="60">
        <v>0.21</v>
      </c>
      <c r="D559" s="47" t="s">
        <v>1839</v>
      </c>
      <c r="E559" s="47" t="s">
        <v>1839</v>
      </c>
      <c r="F559" s="47" t="s">
        <v>1839</v>
      </c>
      <c r="G559" s="48">
        <v>0.16500000000000001</v>
      </c>
      <c r="H559" s="48">
        <v>0.16500000000000001</v>
      </c>
      <c r="I559" s="48">
        <v>0.23002204731947071</v>
      </c>
      <c r="K559" s="62">
        <v>0</v>
      </c>
      <c r="M559" s="64"/>
      <c r="N559" s="64"/>
    </row>
    <row r="560" spans="1:14" x14ac:dyDescent="0.25">
      <c r="A560" s="45" t="s">
        <v>628</v>
      </c>
      <c r="B560" s="46">
        <v>3116.48</v>
      </c>
      <c r="C560" s="60">
        <v>0.21</v>
      </c>
      <c r="D560" s="47" t="s">
        <v>1839</v>
      </c>
      <c r="E560" s="47" t="s">
        <v>1839</v>
      </c>
      <c r="F560" s="47" t="s">
        <v>1839</v>
      </c>
      <c r="G560" s="48">
        <v>0.16639999999999999</v>
      </c>
      <c r="H560" s="48">
        <v>0.16639999999999999</v>
      </c>
      <c r="I560" s="48">
        <v>0.22538854573879191</v>
      </c>
      <c r="K560" s="62">
        <v>0</v>
      </c>
      <c r="M560" s="64"/>
      <c r="N560" s="64"/>
    </row>
    <row r="561" spans="1:14" x14ac:dyDescent="0.25">
      <c r="A561" s="45" t="s">
        <v>629</v>
      </c>
      <c r="B561" s="46">
        <v>2008.4</v>
      </c>
      <c r="C561" s="60">
        <v>0.21</v>
      </c>
      <c r="D561" s="47" t="s">
        <v>1839</v>
      </c>
      <c r="E561" s="47" t="s">
        <v>1839</v>
      </c>
      <c r="F561" s="47" t="s">
        <v>1839</v>
      </c>
      <c r="G561" s="48">
        <v>0.111</v>
      </c>
      <c r="H561" s="48">
        <v>0.111</v>
      </c>
      <c r="I561" s="48">
        <v>0.1580201307898623</v>
      </c>
      <c r="K561" s="62">
        <v>0</v>
      </c>
      <c r="M561" s="64"/>
      <c r="N561" s="64"/>
    </row>
    <row r="562" spans="1:14" x14ac:dyDescent="0.25">
      <c r="A562" s="45" t="s">
        <v>630</v>
      </c>
      <c r="B562" s="46">
        <v>1758.74</v>
      </c>
      <c r="C562" s="60">
        <v>0.21</v>
      </c>
      <c r="D562" s="47" t="s">
        <v>1839</v>
      </c>
      <c r="E562" s="47" t="s">
        <v>1839</v>
      </c>
      <c r="F562" s="47" t="s">
        <v>1839</v>
      </c>
      <c r="G562" s="48">
        <v>0.16500000000000001</v>
      </c>
      <c r="H562" s="48">
        <v>0.16500000000000001</v>
      </c>
      <c r="I562" s="48">
        <v>0.23002204731947071</v>
      </c>
      <c r="K562" s="62">
        <v>0</v>
      </c>
      <c r="M562" s="64"/>
      <c r="N562" s="64"/>
    </row>
    <row r="563" spans="1:14" x14ac:dyDescent="0.25">
      <c r="A563" s="45" t="s">
        <v>631</v>
      </c>
      <c r="B563" s="46">
        <v>9064.18</v>
      </c>
      <c r="C563" s="60">
        <v>0.21</v>
      </c>
      <c r="D563" s="47" t="s">
        <v>1839</v>
      </c>
      <c r="E563" s="47" t="s">
        <v>1839</v>
      </c>
      <c r="F563" s="47" t="s">
        <v>1839</v>
      </c>
      <c r="G563" s="48">
        <v>0.109</v>
      </c>
      <c r="H563" s="48">
        <v>0.109</v>
      </c>
      <c r="I563" s="48">
        <v>0.15897228951663789</v>
      </c>
      <c r="K563" s="62">
        <v>0</v>
      </c>
      <c r="M563" s="64"/>
      <c r="N563" s="64"/>
    </row>
    <row r="564" spans="1:14" x14ac:dyDescent="0.25">
      <c r="A564" s="45" t="s">
        <v>632</v>
      </c>
      <c r="B564" s="46">
        <v>5052.97</v>
      </c>
      <c r="C564" s="60">
        <v>0.21</v>
      </c>
      <c r="D564" s="47" t="s">
        <v>1839</v>
      </c>
      <c r="E564" s="47" t="s">
        <v>1839</v>
      </c>
      <c r="F564" s="47" t="s">
        <v>1839</v>
      </c>
      <c r="G564" s="48">
        <v>0.1169</v>
      </c>
      <c r="H564" s="48">
        <v>0.1169</v>
      </c>
      <c r="I564" s="48">
        <v>0.1921772718756678</v>
      </c>
      <c r="K564" s="62">
        <v>0</v>
      </c>
      <c r="M564" s="64"/>
      <c r="N564" s="64"/>
    </row>
    <row r="565" spans="1:14" x14ac:dyDescent="0.25">
      <c r="A565" s="45" t="s">
        <v>633</v>
      </c>
      <c r="B565" s="46">
        <v>7100.96</v>
      </c>
      <c r="C565" s="60">
        <v>0.21</v>
      </c>
      <c r="D565" s="47" t="s">
        <v>1839</v>
      </c>
      <c r="E565" s="47" t="s">
        <v>1839</v>
      </c>
      <c r="F565" s="47" t="s">
        <v>1839</v>
      </c>
      <c r="G565" s="48">
        <v>0.17680000000000001</v>
      </c>
      <c r="H565" s="48">
        <v>0.17680000000000001</v>
      </c>
      <c r="I565" s="48">
        <v>0.26529106065427499</v>
      </c>
      <c r="K565" s="62">
        <v>0</v>
      </c>
      <c r="M565" s="64"/>
      <c r="N565" s="64"/>
    </row>
    <row r="566" spans="1:14" x14ac:dyDescent="0.25">
      <c r="A566" s="45" t="s">
        <v>634</v>
      </c>
      <c r="B566" s="46">
        <v>3519.0400000000004</v>
      </c>
      <c r="C566" s="60">
        <v>0.21</v>
      </c>
      <c r="D566" s="47" t="s">
        <v>1839</v>
      </c>
      <c r="E566" s="47" t="s">
        <v>1839</v>
      </c>
      <c r="F566" s="47" t="s">
        <v>1839</v>
      </c>
      <c r="G566" s="48">
        <v>7.4300000000000005E-2</v>
      </c>
      <c r="H566" s="48">
        <v>7.4300000000000005E-2</v>
      </c>
      <c r="I566" s="48">
        <v>0.105286167935687</v>
      </c>
      <c r="K566" s="62">
        <v>0</v>
      </c>
      <c r="M566" s="64"/>
      <c r="N566" s="64"/>
    </row>
    <row r="567" spans="1:14" x14ac:dyDescent="0.25">
      <c r="A567" s="45" t="s">
        <v>635</v>
      </c>
      <c r="B567" s="46">
        <v>17538.41</v>
      </c>
      <c r="C567" s="60">
        <v>0.21</v>
      </c>
      <c r="D567" s="47" t="s">
        <v>1839</v>
      </c>
      <c r="E567" s="47" t="s">
        <v>1839</v>
      </c>
      <c r="F567" s="47" t="s">
        <v>1839</v>
      </c>
      <c r="G567" s="48">
        <v>0.15579999999999999</v>
      </c>
      <c r="H567" s="48">
        <v>0.15579999999999999</v>
      </c>
      <c r="I567" s="48">
        <v>0.23116717626523711</v>
      </c>
      <c r="K567" s="62">
        <v>0</v>
      </c>
      <c r="M567" s="64"/>
      <c r="N567" s="64"/>
    </row>
    <row r="568" spans="1:14" x14ac:dyDescent="0.25">
      <c r="A568" s="45" t="s">
        <v>636</v>
      </c>
      <c r="B568" s="46">
        <v>5982.6500000000005</v>
      </c>
      <c r="C568" s="60">
        <v>0.21</v>
      </c>
      <c r="D568" s="47" t="s">
        <v>1839</v>
      </c>
      <c r="E568" s="47" t="s">
        <v>1839</v>
      </c>
      <c r="F568" s="47" t="s">
        <v>1839</v>
      </c>
      <c r="G568" s="48">
        <v>0.20169999999999999</v>
      </c>
      <c r="H568" s="48">
        <v>0.20169999999999999</v>
      </c>
      <c r="I568" s="48">
        <v>0.28967516207954491</v>
      </c>
      <c r="K568" s="62">
        <v>0</v>
      </c>
      <c r="M568" s="64"/>
      <c r="N568" s="64"/>
    </row>
    <row r="569" spans="1:14" x14ac:dyDescent="0.25">
      <c r="A569" s="45" t="s">
        <v>637</v>
      </c>
      <c r="B569" s="46">
        <v>5449.4400000000005</v>
      </c>
      <c r="C569" s="60">
        <v>0.21</v>
      </c>
      <c r="D569" s="47" t="s">
        <v>1839</v>
      </c>
      <c r="E569" s="47" t="s">
        <v>1839</v>
      </c>
      <c r="F569" s="47" t="s">
        <v>1839</v>
      </c>
      <c r="G569" s="48">
        <v>7.2900000000000006E-2</v>
      </c>
      <c r="H569" s="48">
        <v>7.2900000000000006E-2</v>
      </c>
      <c r="I569" s="48">
        <v>0.12693433312599159</v>
      </c>
      <c r="K569" s="62">
        <v>0</v>
      </c>
      <c r="M569" s="64"/>
      <c r="N569" s="64"/>
    </row>
    <row r="570" spans="1:14" x14ac:dyDescent="0.25">
      <c r="A570" s="45" t="s">
        <v>638</v>
      </c>
      <c r="B570" s="46">
        <v>3581.92</v>
      </c>
      <c r="C570" s="60">
        <v>0.21</v>
      </c>
      <c r="D570" s="47" t="s">
        <v>1839</v>
      </c>
      <c r="E570" s="47" t="s">
        <v>1839</v>
      </c>
      <c r="F570" s="47" t="s">
        <v>1839</v>
      </c>
      <c r="G570" s="48">
        <v>7.9299999999999995E-2</v>
      </c>
      <c r="H570" s="48">
        <v>7.9299999999999995E-2</v>
      </c>
      <c r="I570" s="48">
        <v>0.1112868946870984</v>
      </c>
      <c r="K570" s="62">
        <v>0</v>
      </c>
      <c r="M570" s="64"/>
      <c r="N570" s="64"/>
    </row>
    <row r="571" spans="1:14" x14ac:dyDescent="0.25">
      <c r="A571" s="45" t="s">
        <v>639</v>
      </c>
      <c r="B571" s="46">
        <v>4347.99</v>
      </c>
      <c r="C571" s="60">
        <v>0.21</v>
      </c>
      <c r="D571" s="47" t="s">
        <v>1839</v>
      </c>
      <c r="E571" s="47" t="s">
        <v>1839</v>
      </c>
      <c r="F571" s="47" t="s">
        <v>1839</v>
      </c>
      <c r="G571" s="48">
        <v>0.18509999999999999</v>
      </c>
      <c r="H571" s="48">
        <v>0.18509999999999999</v>
      </c>
      <c r="I571" s="48">
        <v>0.26058202292854132</v>
      </c>
      <c r="K571" s="62">
        <v>0</v>
      </c>
      <c r="M571" s="64"/>
      <c r="N571" s="64"/>
    </row>
    <row r="572" spans="1:14" x14ac:dyDescent="0.25">
      <c r="A572" s="45" t="s">
        <v>640</v>
      </c>
      <c r="B572" s="46">
        <v>9563.7900000000009</v>
      </c>
      <c r="C572" s="60">
        <v>0.21</v>
      </c>
      <c r="D572" s="47" t="s">
        <v>1839</v>
      </c>
      <c r="E572" s="47" t="s">
        <v>1839</v>
      </c>
      <c r="F572" s="47" t="s">
        <v>1839</v>
      </c>
      <c r="G572" s="48">
        <v>0.15040000000000001</v>
      </c>
      <c r="H572" s="48">
        <v>0.15040000000000001</v>
      </c>
      <c r="I572" s="48">
        <v>0.22037137024828549</v>
      </c>
      <c r="K572" s="62">
        <v>0</v>
      </c>
      <c r="M572" s="64"/>
      <c r="N572" s="64"/>
    </row>
    <row r="573" spans="1:14" x14ac:dyDescent="0.25">
      <c r="A573" s="45" t="s">
        <v>641</v>
      </c>
      <c r="B573" s="46">
        <v>6559.5700000000006</v>
      </c>
      <c r="C573" s="60">
        <v>0.21</v>
      </c>
      <c r="D573" s="47" t="s">
        <v>1839</v>
      </c>
      <c r="E573" s="47" t="s">
        <v>1839</v>
      </c>
      <c r="F573" s="47" t="s">
        <v>1839</v>
      </c>
      <c r="G573" s="48">
        <v>0.18890000000000001</v>
      </c>
      <c r="H573" s="48">
        <v>0.18890000000000001</v>
      </c>
      <c r="I573" s="48">
        <v>0.28070360627308322</v>
      </c>
      <c r="K573" s="62">
        <v>0</v>
      </c>
      <c r="M573" s="64"/>
      <c r="N573" s="64"/>
    </row>
    <row r="574" spans="1:14" x14ac:dyDescent="0.25">
      <c r="A574" s="45" t="s">
        <v>642</v>
      </c>
      <c r="B574" s="46">
        <v>5288.12</v>
      </c>
      <c r="C574" s="60">
        <v>0.21</v>
      </c>
      <c r="D574" s="47" t="s">
        <v>1839</v>
      </c>
      <c r="E574" s="47" t="s">
        <v>1839</v>
      </c>
      <c r="F574" s="47" t="s">
        <v>1839</v>
      </c>
      <c r="G574" s="48">
        <v>6.08E-2</v>
      </c>
      <c r="H574" s="48">
        <v>6.08E-2</v>
      </c>
      <c r="I574" s="48">
        <v>0.1258486153642793</v>
      </c>
      <c r="K574" s="62">
        <v>0</v>
      </c>
      <c r="M574" s="64"/>
      <c r="N574" s="64"/>
    </row>
    <row r="575" spans="1:14" x14ac:dyDescent="0.25">
      <c r="A575" s="45" t="s">
        <v>643</v>
      </c>
      <c r="B575" s="46">
        <v>3379.59</v>
      </c>
      <c r="C575" s="60">
        <v>0.21</v>
      </c>
      <c r="D575" s="47" t="s">
        <v>1839</v>
      </c>
      <c r="E575" s="47" t="s">
        <v>1839</v>
      </c>
      <c r="F575" s="47" t="s">
        <v>1839</v>
      </c>
      <c r="G575" s="48">
        <v>3.5999999999999997E-2</v>
      </c>
      <c r="H575" s="48">
        <v>3.5999999999999997E-2</v>
      </c>
      <c r="I575" s="48">
        <v>5.2023129806571887E-2</v>
      </c>
      <c r="K575" s="62">
        <v>0</v>
      </c>
      <c r="M575" s="64"/>
      <c r="N575" s="64"/>
    </row>
    <row r="576" spans="1:14" x14ac:dyDescent="0.25">
      <c r="A576" s="45" t="s">
        <v>644</v>
      </c>
      <c r="B576" s="46">
        <v>19621.269999999997</v>
      </c>
      <c r="C576" s="60">
        <v>0.21</v>
      </c>
      <c r="D576" s="47" t="s">
        <v>1839</v>
      </c>
      <c r="E576" s="47" t="s">
        <v>1839</v>
      </c>
      <c r="F576" s="47" t="s">
        <v>1839</v>
      </c>
      <c r="G576" s="48">
        <v>0.1666</v>
      </c>
      <c r="H576" s="48">
        <v>0.1666</v>
      </c>
      <c r="I576" s="48">
        <v>0.23058588813497091</v>
      </c>
      <c r="K576" s="62">
        <v>0</v>
      </c>
      <c r="M576" s="64"/>
      <c r="N576" s="64"/>
    </row>
    <row r="577" spans="1:14" x14ac:dyDescent="0.25">
      <c r="A577" s="45" t="s">
        <v>645</v>
      </c>
      <c r="B577" s="46">
        <v>12651.56</v>
      </c>
      <c r="C577" s="60">
        <v>0.21</v>
      </c>
      <c r="D577" s="47" t="s">
        <v>1839</v>
      </c>
      <c r="E577" s="47" t="s">
        <v>1839</v>
      </c>
      <c r="F577" s="47" t="s">
        <v>1839</v>
      </c>
      <c r="G577" s="48">
        <v>0.18509999999999999</v>
      </c>
      <c r="H577" s="48">
        <v>0.18509999999999999</v>
      </c>
      <c r="I577" s="48">
        <v>0.25417471946535969</v>
      </c>
      <c r="K577" s="62">
        <v>0</v>
      </c>
      <c r="M577" s="64"/>
      <c r="N577" s="64"/>
    </row>
    <row r="578" spans="1:14" x14ac:dyDescent="0.25">
      <c r="A578" s="45" t="s">
        <v>646</v>
      </c>
      <c r="B578" s="46">
        <v>7844.68</v>
      </c>
      <c r="C578" s="60">
        <v>0.21</v>
      </c>
      <c r="D578" s="47" t="s">
        <v>1839</v>
      </c>
      <c r="E578" s="47" t="s">
        <v>1839</v>
      </c>
      <c r="F578" s="47" t="s">
        <v>1839</v>
      </c>
      <c r="G578" s="48">
        <v>3.6900000000000002E-2</v>
      </c>
      <c r="H578" s="48">
        <v>3.6900000000000002E-2</v>
      </c>
      <c r="I578" s="48">
        <v>5.7940190796466631E-2</v>
      </c>
      <c r="K578" s="62">
        <v>0</v>
      </c>
      <c r="M578" s="64"/>
      <c r="N578" s="64"/>
    </row>
    <row r="579" spans="1:14" x14ac:dyDescent="0.25">
      <c r="A579" s="45" t="s">
        <v>647</v>
      </c>
      <c r="B579" s="46">
        <v>7508.37</v>
      </c>
      <c r="C579" s="60">
        <v>0.21</v>
      </c>
      <c r="D579" s="47" t="s">
        <v>1839</v>
      </c>
      <c r="E579" s="47" t="s">
        <v>1839</v>
      </c>
      <c r="F579" s="47" t="s">
        <v>1839</v>
      </c>
      <c r="G579" s="48">
        <v>0.17580000000000001</v>
      </c>
      <c r="H579" s="48">
        <v>0.17580000000000001</v>
      </c>
      <c r="I579" s="48">
        <v>0.26312073421087268</v>
      </c>
      <c r="K579" s="62">
        <v>0</v>
      </c>
      <c r="M579" s="64"/>
      <c r="N579" s="64"/>
    </row>
    <row r="580" spans="1:14" x14ac:dyDescent="0.25">
      <c r="A580" s="45" t="s">
        <v>648</v>
      </c>
      <c r="B580" s="46">
        <v>3718.6400000000003</v>
      </c>
      <c r="C580" s="60">
        <v>0.21</v>
      </c>
      <c r="D580" s="47" t="s">
        <v>1839</v>
      </c>
      <c r="E580" s="47" t="s">
        <v>1839</v>
      </c>
      <c r="F580" s="47" t="s">
        <v>1839</v>
      </c>
      <c r="G580" s="48">
        <v>0.15440000000000001</v>
      </c>
      <c r="H580" s="48">
        <v>0.15440000000000001</v>
      </c>
      <c r="I580" s="48">
        <v>0.20841800435589261</v>
      </c>
      <c r="K580" s="62">
        <v>0</v>
      </c>
      <c r="M580" s="64"/>
      <c r="N580" s="64"/>
    </row>
    <row r="581" spans="1:14" x14ac:dyDescent="0.25">
      <c r="A581" s="45" t="s">
        <v>649</v>
      </c>
      <c r="B581" s="46">
        <v>5348.27</v>
      </c>
      <c r="C581" s="60">
        <v>0.21</v>
      </c>
      <c r="D581" s="47" t="s">
        <v>1839</v>
      </c>
      <c r="E581" s="47" t="s">
        <v>1839</v>
      </c>
      <c r="F581" s="47" t="s">
        <v>1839</v>
      </c>
      <c r="G581" s="48">
        <v>0.19719999999999999</v>
      </c>
      <c r="H581" s="48">
        <v>0.19719999999999999</v>
      </c>
      <c r="I581" s="48">
        <v>0.29893614350105341</v>
      </c>
      <c r="K581" s="62">
        <v>0</v>
      </c>
      <c r="M581" s="64"/>
      <c r="N581" s="64"/>
    </row>
    <row r="582" spans="1:14" x14ac:dyDescent="0.25">
      <c r="A582" s="45" t="s">
        <v>650</v>
      </c>
      <c r="B582" s="46">
        <v>3040.5400000000004</v>
      </c>
      <c r="C582" s="60">
        <v>0.21</v>
      </c>
      <c r="D582" s="47" t="s">
        <v>1839</v>
      </c>
      <c r="E582" s="47" t="s">
        <v>1839</v>
      </c>
      <c r="F582" s="47" t="s">
        <v>1839</v>
      </c>
      <c r="G582" s="48">
        <v>0.11360000000000001</v>
      </c>
      <c r="H582" s="48">
        <v>0.11360000000000001</v>
      </c>
      <c r="I582" s="48">
        <v>0.1688898548667542</v>
      </c>
      <c r="K582" s="62">
        <v>0</v>
      </c>
      <c r="M582" s="64"/>
      <c r="N582" s="64"/>
    </row>
    <row r="583" spans="1:14" x14ac:dyDescent="0.25">
      <c r="A583" s="45" t="s">
        <v>651</v>
      </c>
      <c r="B583" s="46">
        <v>620.13</v>
      </c>
      <c r="C583" s="60">
        <v>0.21</v>
      </c>
      <c r="D583" s="47" t="s">
        <v>1839</v>
      </c>
      <c r="E583" s="47" t="s">
        <v>1839</v>
      </c>
      <c r="F583" s="47" t="s">
        <v>1839</v>
      </c>
      <c r="G583" s="48">
        <v>0.15390000000000001</v>
      </c>
      <c r="H583" s="48">
        <v>0.15390000000000001</v>
      </c>
      <c r="I583" s="48">
        <v>0.24990729446206389</v>
      </c>
      <c r="K583" s="62">
        <v>0</v>
      </c>
      <c r="M583" s="64"/>
      <c r="N583" s="64"/>
    </row>
    <row r="584" spans="1:14" x14ac:dyDescent="0.25">
      <c r="A584" s="45" t="s">
        <v>652</v>
      </c>
      <c r="B584" s="46">
        <v>620.13</v>
      </c>
      <c r="C584" s="60">
        <v>0.21</v>
      </c>
      <c r="D584" s="47" t="s">
        <v>1839</v>
      </c>
      <c r="E584" s="47" t="s">
        <v>1839</v>
      </c>
      <c r="F584" s="47" t="s">
        <v>1839</v>
      </c>
      <c r="G584" s="48">
        <v>0.17</v>
      </c>
      <c r="H584" s="48">
        <v>0.17</v>
      </c>
      <c r="I584" s="48">
        <v>0.25802717383411028</v>
      </c>
      <c r="K584" s="62">
        <v>0</v>
      </c>
      <c r="M584" s="64"/>
      <c r="N584" s="64"/>
    </row>
    <row r="585" spans="1:14" x14ac:dyDescent="0.25">
      <c r="A585" s="45" t="s">
        <v>653</v>
      </c>
      <c r="B585" s="46">
        <v>620.13</v>
      </c>
      <c r="C585" s="60">
        <v>0.21</v>
      </c>
      <c r="D585" s="47" t="s">
        <v>1839</v>
      </c>
      <c r="E585" s="47" t="s">
        <v>1839</v>
      </c>
      <c r="F585" s="47" t="s">
        <v>1839</v>
      </c>
      <c r="G585" s="48">
        <v>0.17</v>
      </c>
      <c r="H585" s="48">
        <v>0.17</v>
      </c>
      <c r="I585" s="48">
        <v>0.25802717383411028</v>
      </c>
      <c r="K585" s="62">
        <v>0</v>
      </c>
      <c r="M585" s="64"/>
      <c r="N585" s="64"/>
    </row>
    <row r="586" spans="1:14" x14ac:dyDescent="0.25">
      <c r="A586" s="45" t="s">
        <v>654</v>
      </c>
      <c r="B586" s="46">
        <v>620.13</v>
      </c>
      <c r="C586" s="60">
        <v>0.21</v>
      </c>
      <c r="D586" s="47" t="s">
        <v>1839</v>
      </c>
      <c r="E586" s="47" t="s">
        <v>1839</v>
      </c>
      <c r="F586" s="47" t="s">
        <v>1839</v>
      </c>
      <c r="G586" s="48">
        <v>0.17</v>
      </c>
      <c r="H586" s="48">
        <v>0.17</v>
      </c>
      <c r="I586" s="48">
        <v>0.25802717383411028</v>
      </c>
      <c r="K586" s="62">
        <v>0</v>
      </c>
      <c r="M586" s="64"/>
      <c r="N586" s="64"/>
    </row>
    <row r="587" spans="1:14" x14ac:dyDescent="0.25">
      <c r="A587" s="45" t="s">
        <v>655</v>
      </c>
      <c r="B587" s="46">
        <v>620.13</v>
      </c>
      <c r="C587" s="60">
        <v>0.21</v>
      </c>
      <c r="D587" s="47" t="s">
        <v>1839</v>
      </c>
      <c r="E587" s="47" t="s">
        <v>1839</v>
      </c>
      <c r="F587" s="47" t="s">
        <v>1839</v>
      </c>
      <c r="G587" s="48">
        <v>0.17</v>
      </c>
      <c r="H587" s="48">
        <v>0.17</v>
      </c>
      <c r="I587" s="48">
        <v>0.25802717383411028</v>
      </c>
      <c r="K587" s="62">
        <v>0</v>
      </c>
      <c r="M587" s="64"/>
      <c r="N587" s="64"/>
    </row>
    <row r="588" spans="1:14" x14ac:dyDescent="0.25">
      <c r="A588" s="45" t="s">
        <v>656</v>
      </c>
      <c r="B588" s="46">
        <v>620.13</v>
      </c>
      <c r="C588" s="60">
        <v>0.21</v>
      </c>
      <c r="D588" s="47" t="s">
        <v>1839</v>
      </c>
      <c r="E588" s="47" t="s">
        <v>1839</v>
      </c>
      <c r="F588" s="47" t="s">
        <v>1839</v>
      </c>
      <c r="G588" s="48">
        <v>0.17</v>
      </c>
      <c r="H588" s="48">
        <v>0.17</v>
      </c>
      <c r="I588" s="48">
        <v>0.25802717383411028</v>
      </c>
      <c r="K588" s="62">
        <v>0</v>
      </c>
      <c r="M588" s="64"/>
      <c r="N588" s="64"/>
    </row>
    <row r="589" spans="1:14" x14ac:dyDescent="0.25">
      <c r="A589" s="45" t="s">
        <v>657</v>
      </c>
      <c r="B589" s="46">
        <v>1100.07</v>
      </c>
      <c r="C589" s="60">
        <v>0.21</v>
      </c>
      <c r="D589" s="47" t="s">
        <v>1839</v>
      </c>
      <c r="E589" s="47" t="s">
        <v>1839</v>
      </c>
      <c r="F589" s="47" t="s">
        <v>1839</v>
      </c>
      <c r="G589" s="48">
        <v>0.17449999999999999</v>
      </c>
      <c r="H589" s="48">
        <v>0.17449999999999999</v>
      </c>
      <c r="I589" s="48">
        <v>0.24851832964093129</v>
      </c>
      <c r="K589" s="62">
        <v>0</v>
      </c>
      <c r="M589" s="64"/>
      <c r="N589" s="64"/>
    </row>
    <row r="590" spans="1:14" x14ac:dyDescent="0.25">
      <c r="A590" s="45" t="s">
        <v>658</v>
      </c>
      <c r="B590" s="46">
        <v>1100.07</v>
      </c>
      <c r="C590" s="60">
        <v>0.21</v>
      </c>
      <c r="D590" s="47" t="s">
        <v>1839</v>
      </c>
      <c r="E590" s="47" t="s">
        <v>1839</v>
      </c>
      <c r="F590" s="47" t="s">
        <v>1839</v>
      </c>
      <c r="G590" s="48">
        <v>7.1999999999999995E-2</v>
      </c>
      <c r="H590" s="48">
        <v>7.1999999999999995E-2</v>
      </c>
      <c r="I590" s="48">
        <v>0.1100270318780356</v>
      </c>
      <c r="K590" s="62">
        <v>0</v>
      </c>
      <c r="M590" s="64"/>
      <c r="N590" s="64"/>
    </row>
    <row r="591" spans="1:14" x14ac:dyDescent="0.25">
      <c r="A591" s="45" t="s">
        <v>659</v>
      </c>
      <c r="B591" s="46">
        <v>1100.07</v>
      </c>
      <c r="C591" s="60">
        <v>0.21</v>
      </c>
      <c r="D591" s="47" t="s">
        <v>1839</v>
      </c>
      <c r="E591" s="47" t="s">
        <v>1839</v>
      </c>
      <c r="F591" s="47" t="s">
        <v>1839</v>
      </c>
      <c r="G591" s="48">
        <v>9.5299999999999996E-2</v>
      </c>
      <c r="H591" s="48">
        <v>9.5299999999999996E-2</v>
      </c>
      <c r="I591" s="48">
        <v>0.14328751431844211</v>
      </c>
      <c r="K591" s="62">
        <v>0</v>
      </c>
      <c r="M591" s="64"/>
      <c r="N591" s="64"/>
    </row>
    <row r="592" spans="1:14" x14ac:dyDescent="0.25">
      <c r="A592" s="45" t="s">
        <v>660</v>
      </c>
      <c r="B592" s="46">
        <v>8612.82</v>
      </c>
      <c r="C592" s="60">
        <v>0.105</v>
      </c>
      <c r="D592" s="47" t="s">
        <v>1839</v>
      </c>
      <c r="E592" s="47" t="s">
        <v>1839</v>
      </c>
      <c r="F592" s="47" t="s">
        <v>1839</v>
      </c>
      <c r="G592" s="48">
        <v>0.188</v>
      </c>
      <c r="H592" s="48">
        <v>0.188</v>
      </c>
      <c r="I592" s="48">
        <v>0.2630201783971024</v>
      </c>
      <c r="K592" s="62">
        <v>0</v>
      </c>
      <c r="M592" s="64"/>
      <c r="N592" s="64"/>
    </row>
    <row r="593" spans="1:14" x14ac:dyDescent="0.25">
      <c r="A593" s="45" t="s">
        <v>661</v>
      </c>
      <c r="B593" s="46">
        <v>9522.81</v>
      </c>
      <c r="C593" s="60">
        <v>0.21</v>
      </c>
      <c r="D593" s="47" t="s">
        <v>1839</v>
      </c>
      <c r="E593" s="47" t="s">
        <v>1839</v>
      </c>
      <c r="F593" s="47" t="s">
        <v>1839</v>
      </c>
      <c r="G593" s="48">
        <v>0.16089999999999999</v>
      </c>
      <c r="H593" s="48">
        <v>0.16089999999999999</v>
      </c>
      <c r="I593" s="48">
        <v>0.2439851415864904</v>
      </c>
      <c r="K593" s="62">
        <v>0</v>
      </c>
      <c r="M593" s="64"/>
      <c r="N593" s="64"/>
    </row>
    <row r="594" spans="1:14" x14ac:dyDescent="0.25">
      <c r="A594" s="45" t="s">
        <v>662</v>
      </c>
      <c r="B594" s="46">
        <v>290.82</v>
      </c>
      <c r="C594" s="60">
        <v>0.21</v>
      </c>
      <c r="D594" s="47" t="s">
        <v>1839</v>
      </c>
      <c r="E594" s="47" t="s">
        <v>1839</v>
      </c>
      <c r="F594" s="47" t="s">
        <v>1839</v>
      </c>
      <c r="G594" s="48">
        <v>0.17949999999999999</v>
      </c>
      <c r="H594" s="48">
        <v>0.17949999999999999</v>
      </c>
      <c r="I594" s="48">
        <v>0.34855060808888122</v>
      </c>
      <c r="K594" s="62">
        <v>0</v>
      </c>
      <c r="M594" s="64"/>
      <c r="N594" s="64"/>
    </row>
    <row r="595" spans="1:14" x14ac:dyDescent="0.25">
      <c r="A595" s="45" t="s">
        <v>663</v>
      </c>
      <c r="B595" s="46">
        <v>1252.58</v>
      </c>
      <c r="C595" s="60">
        <v>0.21</v>
      </c>
      <c r="D595" s="47" t="s">
        <v>1839</v>
      </c>
      <c r="E595" s="47" t="s">
        <v>1839</v>
      </c>
      <c r="F595" s="47" t="s">
        <v>1839</v>
      </c>
      <c r="G595" s="48">
        <v>0.15740000000000001</v>
      </c>
      <c r="H595" s="48">
        <v>0.15740000000000001</v>
      </c>
      <c r="I595" s="48">
        <v>0.2264169255644253</v>
      </c>
      <c r="K595" s="62">
        <v>0</v>
      </c>
      <c r="M595" s="64"/>
      <c r="N595" s="64"/>
    </row>
    <row r="596" spans="1:14" x14ac:dyDescent="0.25">
      <c r="A596" s="45" t="s">
        <v>664</v>
      </c>
      <c r="B596" s="46">
        <v>26807.67</v>
      </c>
      <c r="C596" s="60">
        <v>0.21</v>
      </c>
      <c r="D596" s="47" t="s">
        <v>1839</v>
      </c>
      <c r="E596" s="47" t="s">
        <v>1839</v>
      </c>
      <c r="F596" s="47" t="s">
        <v>1839</v>
      </c>
      <c r="G596" s="48">
        <v>0.1668</v>
      </c>
      <c r="H596" s="48">
        <v>0.1668</v>
      </c>
      <c r="I596" s="48">
        <v>0.2347810943156364</v>
      </c>
      <c r="K596" s="62">
        <v>0</v>
      </c>
      <c r="M596" s="64"/>
      <c r="N596" s="64"/>
    </row>
    <row r="597" spans="1:14" x14ac:dyDescent="0.25">
      <c r="A597" s="45" t="s">
        <v>665</v>
      </c>
      <c r="B597" s="46">
        <v>27926.01</v>
      </c>
      <c r="C597" s="60">
        <v>0.21</v>
      </c>
      <c r="D597" s="47" t="s">
        <v>1839</v>
      </c>
      <c r="E597" s="47" t="s">
        <v>1839</v>
      </c>
      <c r="F597" s="47" t="s">
        <v>1839</v>
      </c>
      <c r="G597" s="48">
        <v>0.16539999999999999</v>
      </c>
      <c r="H597" s="48">
        <v>0.16539999999999999</v>
      </c>
      <c r="I597" s="48">
        <v>0.2332823597527908</v>
      </c>
      <c r="K597" s="62">
        <v>0</v>
      </c>
      <c r="M597" s="64"/>
      <c r="N597" s="64"/>
    </row>
    <row r="598" spans="1:14" x14ac:dyDescent="0.25">
      <c r="A598" s="45" t="s">
        <v>666</v>
      </c>
      <c r="B598" s="46">
        <v>67816.89</v>
      </c>
      <c r="C598" s="60">
        <v>0.21</v>
      </c>
      <c r="D598" s="47" t="s">
        <v>1839</v>
      </c>
      <c r="E598" s="47" t="s">
        <v>1839</v>
      </c>
      <c r="F598" s="47" t="s">
        <v>1839</v>
      </c>
      <c r="G598" s="48">
        <v>0.16009999999999999</v>
      </c>
      <c r="H598" s="48">
        <v>0.16009999999999999</v>
      </c>
      <c r="I598" s="48">
        <v>0.22007730836495651</v>
      </c>
      <c r="K598" s="62">
        <v>0</v>
      </c>
      <c r="M598" s="64"/>
      <c r="N598" s="64"/>
    </row>
    <row r="599" spans="1:14" x14ac:dyDescent="0.25">
      <c r="A599" s="45" t="s">
        <v>667</v>
      </c>
      <c r="B599" s="46">
        <v>33484.370000000003</v>
      </c>
      <c r="C599" s="60">
        <v>0.21</v>
      </c>
      <c r="D599" s="47" t="s">
        <v>1839</v>
      </c>
      <c r="E599" s="47" t="s">
        <v>1839</v>
      </c>
      <c r="F599" s="47" t="s">
        <v>1839</v>
      </c>
      <c r="G599" s="48">
        <v>0.1648</v>
      </c>
      <c r="H599" s="48">
        <v>0.1648</v>
      </c>
      <c r="I599" s="48">
        <v>0.22654521056307861</v>
      </c>
      <c r="K599" s="62">
        <v>0</v>
      </c>
      <c r="M599" s="64"/>
      <c r="N599" s="64"/>
    </row>
    <row r="600" spans="1:14" x14ac:dyDescent="0.25">
      <c r="A600" s="45" t="s">
        <v>668</v>
      </c>
      <c r="B600" s="46">
        <v>1757.03</v>
      </c>
      <c r="C600" s="60">
        <v>0.21</v>
      </c>
      <c r="D600" s="47" t="s">
        <v>1839</v>
      </c>
      <c r="E600" s="47" t="s">
        <v>1839</v>
      </c>
      <c r="F600" s="47" t="s">
        <v>1839</v>
      </c>
      <c r="G600" s="48">
        <v>0.1638</v>
      </c>
      <c r="H600" s="48">
        <v>0.1638</v>
      </c>
      <c r="I600" s="48">
        <v>0.2288173246923994</v>
      </c>
      <c r="K600" s="62">
        <v>0</v>
      </c>
      <c r="M600" s="64"/>
      <c r="N600" s="64"/>
    </row>
    <row r="601" spans="1:14" x14ac:dyDescent="0.25">
      <c r="A601" s="45" t="s">
        <v>669</v>
      </c>
      <c r="B601" s="46">
        <v>2826.63</v>
      </c>
      <c r="C601" s="60">
        <v>0.21</v>
      </c>
      <c r="D601" s="47" t="s">
        <v>1839</v>
      </c>
      <c r="E601" s="47" t="s">
        <v>1839</v>
      </c>
      <c r="F601" s="47" t="s">
        <v>1839</v>
      </c>
      <c r="G601" s="48">
        <v>0.16120000000000001</v>
      </c>
      <c r="H601" s="48">
        <v>0.16120000000000001</v>
      </c>
      <c r="I601" s="48">
        <v>0.21921964525695839</v>
      </c>
      <c r="K601" s="62">
        <v>0</v>
      </c>
      <c r="M601" s="64"/>
      <c r="N601" s="64"/>
    </row>
    <row r="602" spans="1:14" x14ac:dyDescent="0.25">
      <c r="A602" s="45" t="s">
        <v>670</v>
      </c>
      <c r="B602" s="46">
        <v>1324.4</v>
      </c>
      <c r="C602" s="60">
        <v>0.21</v>
      </c>
      <c r="D602" s="47" t="s">
        <v>1839</v>
      </c>
      <c r="E602" s="47" t="s">
        <v>1839</v>
      </c>
      <c r="F602" s="47" t="s">
        <v>1839</v>
      </c>
      <c r="G602" s="48">
        <v>0.13500000000000001</v>
      </c>
      <c r="H602" s="48">
        <v>0.13500000000000001</v>
      </c>
      <c r="I602" s="48">
        <v>0.1959991997548185</v>
      </c>
      <c r="K602" s="62">
        <v>0</v>
      </c>
      <c r="M602" s="64"/>
      <c r="N602" s="64"/>
    </row>
    <row r="603" spans="1:14" x14ac:dyDescent="0.25">
      <c r="A603" s="45" t="s">
        <v>671</v>
      </c>
      <c r="B603" s="46">
        <v>1934.01</v>
      </c>
      <c r="C603" s="60">
        <v>0.21</v>
      </c>
      <c r="D603" s="47" t="s">
        <v>1839</v>
      </c>
      <c r="E603" s="47" t="s">
        <v>1839</v>
      </c>
      <c r="F603" s="47" t="s">
        <v>1839</v>
      </c>
      <c r="G603" s="48">
        <v>0.16320000000000001</v>
      </c>
      <c r="H603" s="48">
        <v>0.16320000000000001</v>
      </c>
      <c r="I603" s="48">
        <v>0.22622681147496021</v>
      </c>
      <c r="K603" s="62">
        <v>0</v>
      </c>
      <c r="M603" s="64"/>
      <c r="N603" s="64"/>
    </row>
    <row r="604" spans="1:14" x14ac:dyDescent="0.25">
      <c r="A604" s="45" t="s">
        <v>672</v>
      </c>
      <c r="B604" s="46">
        <v>1138.01</v>
      </c>
      <c r="C604" s="60">
        <v>0.21</v>
      </c>
      <c r="D604" s="47" t="s">
        <v>1839</v>
      </c>
      <c r="E604" s="47" t="s">
        <v>1839</v>
      </c>
      <c r="F604" s="47" t="s">
        <v>1839</v>
      </c>
      <c r="G604" s="48">
        <v>0.16300000000000001</v>
      </c>
      <c r="H604" s="48">
        <v>0.16300000000000001</v>
      </c>
      <c r="I604" s="48">
        <v>0.23503600314741621</v>
      </c>
      <c r="K604" s="62">
        <v>0</v>
      </c>
      <c r="M604" s="64"/>
      <c r="N604" s="64"/>
    </row>
    <row r="605" spans="1:14" x14ac:dyDescent="0.25">
      <c r="A605" s="45" t="s">
        <v>673</v>
      </c>
      <c r="B605" s="46">
        <v>1144.29</v>
      </c>
      <c r="C605" s="60">
        <v>0.21</v>
      </c>
      <c r="D605" s="47" t="s">
        <v>1839</v>
      </c>
      <c r="E605" s="47" t="s">
        <v>1839</v>
      </c>
      <c r="F605" s="47" t="s">
        <v>1839</v>
      </c>
      <c r="G605" s="48">
        <v>3.9E-2</v>
      </c>
      <c r="H605" s="48">
        <v>3.9E-2</v>
      </c>
      <c r="I605" s="48">
        <v>7.1010693995766955E-2</v>
      </c>
      <c r="K605" s="62">
        <v>0</v>
      </c>
      <c r="M605" s="64"/>
      <c r="N605" s="64"/>
    </row>
    <row r="606" spans="1:14" x14ac:dyDescent="0.25">
      <c r="A606" s="45" t="s">
        <v>674</v>
      </c>
      <c r="B606" s="46">
        <v>3718.4</v>
      </c>
      <c r="C606" s="60">
        <v>0.21</v>
      </c>
      <c r="D606" s="47" t="s">
        <v>1839</v>
      </c>
      <c r="E606" s="47" t="s">
        <v>1839</v>
      </c>
      <c r="F606" s="47" t="s">
        <v>1839</v>
      </c>
      <c r="G606" s="48">
        <v>0.14349999999999999</v>
      </c>
      <c r="H606" s="48">
        <v>0.14349999999999999</v>
      </c>
      <c r="I606" s="48">
        <v>0.20173857265109699</v>
      </c>
      <c r="K606" s="62">
        <v>0</v>
      </c>
      <c r="M606" s="64"/>
      <c r="N606" s="64"/>
    </row>
    <row r="607" spans="1:14" x14ac:dyDescent="0.25">
      <c r="A607" s="45" t="s">
        <v>675</v>
      </c>
      <c r="B607" s="46">
        <v>1557.81</v>
      </c>
      <c r="C607" s="60">
        <v>0.21</v>
      </c>
      <c r="D607" s="47" t="s">
        <v>1839</v>
      </c>
      <c r="E607" s="47" t="s">
        <v>1839</v>
      </c>
      <c r="F607" s="47" t="s">
        <v>1839</v>
      </c>
      <c r="G607" s="48">
        <v>0.107</v>
      </c>
      <c r="H607" s="48">
        <v>0.107</v>
      </c>
      <c r="I607" s="48">
        <v>0.15601778162695251</v>
      </c>
      <c r="K607" s="62">
        <v>0</v>
      </c>
      <c r="M607" s="64"/>
      <c r="N607" s="64"/>
    </row>
    <row r="608" spans="1:14" x14ac:dyDescent="0.25">
      <c r="A608" s="45" t="s">
        <v>676</v>
      </c>
      <c r="B608" s="46">
        <v>1001.21</v>
      </c>
      <c r="C608" s="60">
        <v>0.21</v>
      </c>
      <c r="D608" s="47" t="s">
        <v>1839</v>
      </c>
      <c r="E608" s="47" t="s">
        <v>1839</v>
      </c>
      <c r="F608" s="47" t="s">
        <v>1839</v>
      </c>
      <c r="G608" s="48">
        <v>0.11890000000000001</v>
      </c>
      <c r="H608" s="48">
        <v>0.11890000000000001</v>
      </c>
      <c r="I608" s="48">
        <v>0.17888997441265411</v>
      </c>
      <c r="K608" s="62">
        <v>0</v>
      </c>
      <c r="M608" s="64"/>
      <c r="N608" s="64"/>
    </row>
    <row r="609" spans="1:14" x14ac:dyDescent="0.25">
      <c r="A609" s="45" t="s">
        <v>677</v>
      </c>
      <c r="B609" s="46">
        <v>1715.99</v>
      </c>
      <c r="C609" s="60">
        <v>0.21</v>
      </c>
      <c r="D609" s="47" t="s">
        <v>1839</v>
      </c>
      <c r="E609" s="47" t="s">
        <v>1839</v>
      </c>
      <c r="F609" s="47" t="s">
        <v>1839</v>
      </c>
      <c r="G609" s="48">
        <v>3.4000000000000002E-2</v>
      </c>
      <c r="H609" s="48">
        <v>3.4000000000000002E-2</v>
      </c>
      <c r="I609" s="48">
        <v>5.201161396200215E-2</v>
      </c>
      <c r="K609" s="62">
        <v>0</v>
      </c>
      <c r="M609" s="64"/>
      <c r="N609" s="64"/>
    </row>
    <row r="610" spans="1:14" x14ac:dyDescent="0.25">
      <c r="A610" s="45" t="s">
        <v>678</v>
      </c>
      <c r="B610" s="46">
        <v>1380.83</v>
      </c>
      <c r="C610" s="60">
        <v>0.21</v>
      </c>
      <c r="D610" s="47" t="s">
        <v>1839</v>
      </c>
      <c r="E610" s="47" t="s">
        <v>1839</v>
      </c>
      <c r="F610" s="47" t="s">
        <v>1839</v>
      </c>
      <c r="G610" s="48">
        <v>3.5999999999999997E-2</v>
      </c>
      <c r="H610" s="48">
        <v>3.5999999999999997E-2</v>
      </c>
      <c r="I610" s="48">
        <v>6.102894470910928E-2</v>
      </c>
      <c r="K610" s="62">
        <v>0</v>
      </c>
      <c r="M610" s="64"/>
      <c r="N610" s="64"/>
    </row>
    <row r="611" spans="1:14" x14ac:dyDescent="0.25">
      <c r="A611" s="45" t="s">
        <v>679</v>
      </c>
      <c r="B611" s="46">
        <v>1269.68</v>
      </c>
      <c r="C611" s="60">
        <v>0.21</v>
      </c>
      <c r="D611" s="47" t="s">
        <v>1839</v>
      </c>
      <c r="E611" s="47" t="s">
        <v>1839</v>
      </c>
      <c r="F611" s="47" t="s">
        <v>1839</v>
      </c>
      <c r="G611" s="48">
        <v>0.1716</v>
      </c>
      <c r="H611" s="48">
        <v>0.1716</v>
      </c>
      <c r="I611" s="48">
        <v>0.24359627229177569</v>
      </c>
      <c r="K611" s="62">
        <v>0</v>
      </c>
      <c r="M611" s="64"/>
      <c r="N611" s="64"/>
    </row>
    <row r="612" spans="1:14" x14ac:dyDescent="0.25">
      <c r="A612" s="45" t="s">
        <v>680</v>
      </c>
      <c r="B612" s="46">
        <v>1487.7</v>
      </c>
      <c r="C612" s="60">
        <v>0.21</v>
      </c>
      <c r="D612" s="47" t="s">
        <v>1839</v>
      </c>
      <c r="E612" s="47" t="s">
        <v>1839</v>
      </c>
      <c r="F612" s="47" t="s">
        <v>1839</v>
      </c>
      <c r="G612" s="48">
        <v>0.1706</v>
      </c>
      <c r="H612" s="48">
        <v>0.1706</v>
      </c>
      <c r="I612" s="48">
        <v>0.23957766985242879</v>
      </c>
      <c r="K612" s="62">
        <v>0</v>
      </c>
      <c r="M612" s="64"/>
      <c r="N612" s="64"/>
    </row>
    <row r="613" spans="1:14" x14ac:dyDescent="0.25">
      <c r="A613" s="45" t="s">
        <v>681</v>
      </c>
      <c r="B613" s="46">
        <v>3918.4700000000003</v>
      </c>
      <c r="C613" s="60">
        <v>0.21</v>
      </c>
      <c r="D613" s="47" t="s">
        <v>1839</v>
      </c>
      <c r="E613" s="47" t="s">
        <v>1839</v>
      </c>
      <c r="F613" s="47" t="s">
        <v>1839</v>
      </c>
      <c r="G613" s="48">
        <v>3.5999999999999997E-2</v>
      </c>
      <c r="H613" s="48">
        <v>3.5999999999999997E-2</v>
      </c>
      <c r="I613" s="48">
        <v>5.2018461708537161E-2</v>
      </c>
      <c r="K613" s="62">
        <v>0</v>
      </c>
      <c r="M613" s="64"/>
      <c r="N613" s="64"/>
    </row>
    <row r="614" spans="1:14" x14ac:dyDescent="0.25">
      <c r="A614" s="45" t="s">
        <v>682</v>
      </c>
      <c r="B614" s="46">
        <v>2605.19</v>
      </c>
      <c r="C614" s="60">
        <v>0.21</v>
      </c>
      <c r="D614" s="47" t="s">
        <v>1839</v>
      </c>
      <c r="E614" s="47" t="s">
        <v>1839</v>
      </c>
      <c r="F614" s="47" t="s">
        <v>1839</v>
      </c>
      <c r="G614" s="48">
        <v>4.1300000000000003E-2</v>
      </c>
      <c r="H614" s="48">
        <v>4.1300000000000003E-2</v>
      </c>
      <c r="I614" s="48">
        <v>6.0290758928693601E-2</v>
      </c>
      <c r="K614" s="62">
        <v>0</v>
      </c>
      <c r="M614" s="64"/>
      <c r="N614" s="64"/>
    </row>
    <row r="615" spans="1:14" x14ac:dyDescent="0.25">
      <c r="A615" s="45" t="s">
        <v>683</v>
      </c>
      <c r="B615" s="46">
        <v>1386.81</v>
      </c>
      <c r="C615" s="60">
        <v>0.21</v>
      </c>
      <c r="D615" s="47" t="s">
        <v>1839</v>
      </c>
      <c r="E615" s="47" t="s">
        <v>1839</v>
      </c>
      <c r="F615" s="47" t="s">
        <v>1839</v>
      </c>
      <c r="G615" s="48">
        <v>0.1711</v>
      </c>
      <c r="H615" s="48">
        <v>0.1711</v>
      </c>
      <c r="I615" s="48">
        <v>0.24106854554754159</v>
      </c>
      <c r="K615" s="62">
        <v>0</v>
      </c>
      <c r="M615" s="64"/>
      <c r="N615" s="64"/>
    </row>
    <row r="616" spans="1:14" x14ac:dyDescent="0.25">
      <c r="A616" s="45" t="s">
        <v>684</v>
      </c>
      <c r="B616" s="46">
        <v>1386.81</v>
      </c>
      <c r="C616" s="60">
        <v>0.21</v>
      </c>
      <c r="D616" s="47" t="s">
        <v>1839</v>
      </c>
      <c r="E616" s="47" t="s">
        <v>1839</v>
      </c>
      <c r="F616" s="47" t="s">
        <v>1839</v>
      </c>
      <c r="G616" s="48">
        <v>0.1313</v>
      </c>
      <c r="H616" s="48">
        <v>0.1313</v>
      </c>
      <c r="I616" s="48">
        <v>0.19029252718172929</v>
      </c>
      <c r="K616" s="62">
        <v>0</v>
      </c>
      <c r="M616" s="64"/>
      <c r="N616" s="64"/>
    </row>
    <row r="617" spans="1:14" x14ac:dyDescent="0.25">
      <c r="A617" s="45" t="s">
        <v>685</v>
      </c>
      <c r="B617" s="46">
        <v>1386.81</v>
      </c>
      <c r="C617" s="60">
        <v>0.21</v>
      </c>
      <c r="D617" s="47" t="s">
        <v>1839</v>
      </c>
      <c r="E617" s="47" t="s">
        <v>1839</v>
      </c>
      <c r="F617" s="47" t="s">
        <v>1839</v>
      </c>
      <c r="G617" s="48">
        <v>0.15609999999999999</v>
      </c>
      <c r="H617" s="48">
        <v>0.15609999999999999</v>
      </c>
      <c r="I617" s="48">
        <v>0.2220830633466013</v>
      </c>
      <c r="K617" s="62">
        <v>0</v>
      </c>
      <c r="M617" s="64"/>
      <c r="N617" s="64"/>
    </row>
    <row r="618" spans="1:14" x14ac:dyDescent="0.25">
      <c r="A618" s="45" t="s">
        <v>686</v>
      </c>
      <c r="B618" s="46">
        <v>1507.37</v>
      </c>
      <c r="C618" s="60">
        <v>0.21</v>
      </c>
      <c r="D618" s="47" t="s">
        <v>1839</v>
      </c>
      <c r="E618" s="47" t="s">
        <v>1839</v>
      </c>
      <c r="F618" s="47" t="s">
        <v>1839</v>
      </c>
      <c r="G618" s="48">
        <v>0.1363</v>
      </c>
      <c r="H618" s="48">
        <v>0.1363</v>
      </c>
      <c r="I618" s="48">
        <v>0.19528339899042849</v>
      </c>
      <c r="K618" s="62">
        <v>0</v>
      </c>
      <c r="M618" s="64"/>
      <c r="N618" s="64"/>
    </row>
    <row r="619" spans="1:14" x14ac:dyDescent="0.25">
      <c r="A619" s="45" t="s">
        <v>687</v>
      </c>
      <c r="B619" s="46">
        <v>1732.23</v>
      </c>
      <c r="C619" s="60">
        <v>0.21</v>
      </c>
      <c r="D619" s="47" t="s">
        <v>1839</v>
      </c>
      <c r="E619" s="47" t="s">
        <v>1839</v>
      </c>
      <c r="F619" s="47" t="s">
        <v>1839</v>
      </c>
      <c r="G619" s="48">
        <v>3.5999999999999997E-2</v>
      </c>
      <c r="H619" s="48">
        <v>3.5999999999999997E-2</v>
      </c>
      <c r="I619" s="48">
        <v>5.50083787528102E-2</v>
      </c>
      <c r="K619" s="62">
        <v>0</v>
      </c>
      <c r="M619" s="64"/>
      <c r="N619" s="64"/>
    </row>
    <row r="620" spans="1:14" x14ac:dyDescent="0.25">
      <c r="A620" s="45" t="s">
        <v>688</v>
      </c>
      <c r="B620" s="46">
        <v>4287.83</v>
      </c>
      <c r="C620" s="60">
        <v>0.21</v>
      </c>
      <c r="D620" s="47" t="s">
        <v>1839</v>
      </c>
      <c r="E620" s="47" t="s">
        <v>1839</v>
      </c>
      <c r="F620" s="47" t="s">
        <v>1839</v>
      </c>
      <c r="G620" s="48">
        <v>0.16289999999999999</v>
      </c>
      <c r="H620" s="48">
        <v>0.16289999999999999</v>
      </c>
      <c r="I620" s="48">
        <v>0.23969101563559039</v>
      </c>
      <c r="K620" s="62">
        <v>0</v>
      </c>
      <c r="M620" s="64"/>
      <c r="N620" s="64"/>
    </row>
    <row r="621" spans="1:14" x14ac:dyDescent="0.25">
      <c r="A621" s="45" t="s">
        <v>689</v>
      </c>
      <c r="B621" s="46">
        <v>4287.83</v>
      </c>
      <c r="C621" s="60">
        <v>0.21</v>
      </c>
      <c r="D621" s="47" t="s">
        <v>1839</v>
      </c>
      <c r="E621" s="47" t="s">
        <v>1839</v>
      </c>
      <c r="F621" s="47" t="s">
        <v>1839</v>
      </c>
      <c r="G621" s="48">
        <v>9.8000000000000004E-2</v>
      </c>
      <c r="H621" s="48">
        <v>9.8000000000000004E-2</v>
      </c>
      <c r="I621" s="48">
        <v>0.1360184572011717</v>
      </c>
      <c r="K621" s="62">
        <v>0</v>
      </c>
      <c r="M621" s="64"/>
      <c r="N621" s="64"/>
    </row>
    <row r="622" spans="1:14" x14ac:dyDescent="0.25">
      <c r="A622" s="45" t="s">
        <v>690</v>
      </c>
      <c r="B622" s="46">
        <v>5877.27</v>
      </c>
      <c r="C622" s="60">
        <v>0.21</v>
      </c>
      <c r="D622" s="47" t="s">
        <v>1839</v>
      </c>
      <c r="E622" s="47" t="s">
        <v>1839</v>
      </c>
      <c r="F622" s="47" t="s">
        <v>1839</v>
      </c>
      <c r="G622" s="48">
        <v>3.5299999999999998E-2</v>
      </c>
      <c r="H622" s="48">
        <v>3.5299999999999998E-2</v>
      </c>
      <c r="I622" s="48">
        <v>0.1002854873110428</v>
      </c>
      <c r="K622" s="62">
        <v>0</v>
      </c>
      <c r="M622" s="64"/>
      <c r="N622" s="64"/>
    </row>
    <row r="623" spans="1:14" x14ac:dyDescent="0.25">
      <c r="A623" s="45" t="s">
        <v>691</v>
      </c>
      <c r="B623" s="46">
        <v>5877.27</v>
      </c>
      <c r="C623" s="60">
        <v>0.21</v>
      </c>
      <c r="D623" s="47" t="s">
        <v>1839</v>
      </c>
      <c r="E623" s="47" t="s">
        <v>1839</v>
      </c>
      <c r="F623" s="47" t="s">
        <v>1839</v>
      </c>
      <c r="G623" s="48">
        <v>3.5299999999999998E-2</v>
      </c>
      <c r="H623" s="48">
        <v>3.5299999999999998E-2</v>
      </c>
      <c r="I623" s="48">
        <v>0.1002854873110428</v>
      </c>
      <c r="K623" s="62">
        <v>0</v>
      </c>
      <c r="M623" s="64"/>
      <c r="N623" s="64"/>
    </row>
    <row r="624" spans="1:14" x14ac:dyDescent="0.25">
      <c r="A624" s="45" t="s">
        <v>692</v>
      </c>
      <c r="B624" s="46">
        <v>2095.61</v>
      </c>
      <c r="C624" s="60">
        <v>0.21</v>
      </c>
      <c r="D624" s="47" t="s">
        <v>1839</v>
      </c>
      <c r="E624" s="47" t="s">
        <v>1839</v>
      </c>
      <c r="F624" s="47" t="s">
        <v>1839</v>
      </c>
      <c r="G624" s="48">
        <v>7.1999999999999995E-2</v>
      </c>
      <c r="H624" s="48">
        <v>7.1999999999999995E-2</v>
      </c>
      <c r="I624" s="48">
        <v>0.1050161805124568</v>
      </c>
      <c r="K624" s="62">
        <v>0</v>
      </c>
      <c r="M624" s="64"/>
      <c r="N624" s="64"/>
    </row>
    <row r="625" spans="1:14" x14ac:dyDescent="0.25">
      <c r="A625" s="45" t="s">
        <v>693</v>
      </c>
      <c r="B625" s="46">
        <v>2095.61</v>
      </c>
      <c r="C625" s="60">
        <v>0.21</v>
      </c>
      <c r="D625" s="47" t="s">
        <v>1839</v>
      </c>
      <c r="E625" s="47" t="s">
        <v>1839</v>
      </c>
      <c r="F625" s="47" t="s">
        <v>1839</v>
      </c>
      <c r="G625" s="48">
        <v>0.1598</v>
      </c>
      <c r="H625" s="48">
        <v>0.1598</v>
      </c>
      <c r="I625" s="48">
        <v>0.2208257277442168</v>
      </c>
      <c r="K625" s="62">
        <v>0</v>
      </c>
      <c r="M625" s="64"/>
      <c r="N625" s="64"/>
    </row>
    <row r="626" spans="1:14" x14ac:dyDescent="0.25">
      <c r="A626" s="45" t="s">
        <v>694</v>
      </c>
      <c r="B626" s="46">
        <v>2095.61</v>
      </c>
      <c r="C626" s="60">
        <v>0.21</v>
      </c>
      <c r="D626" s="47" t="s">
        <v>1839</v>
      </c>
      <c r="E626" s="47" t="s">
        <v>1839</v>
      </c>
      <c r="F626" s="47" t="s">
        <v>1839</v>
      </c>
      <c r="G626" s="48">
        <v>7.1999999999999995E-2</v>
      </c>
      <c r="H626" s="48">
        <v>7.1999999999999995E-2</v>
      </c>
      <c r="I626" s="48">
        <v>0.1050161805124568</v>
      </c>
      <c r="K626" s="62">
        <v>0</v>
      </c>
      <c r="M626" s="64"/>
      <c r="N626" s="64"/>
    </row>
    <row r="627" spans="1:14" x14ac:dyDescent="0.25">
      <c r="A627" s="45" t="s">
        <v>695</v>
      </c>
      <c r="B627" s="46">
        <v>2924.96</v>
      </c>
      <c r="C627" s="60">
        <v>0.21</v>
      </c>
      <c r="D627" s="47" t="s">
        <v>1839</v>
      </c>
      <c r="E627" s="47" t="s">
        <v>1839</v>
      </c>
      <c r="F627" s="47" t="s">
        <v>1839</v>
      </c>
      <c r="G627" s="48">
        <v>0.16089999999999999</v>
      </c>
      <c r="H627" s="48">
        <v>0.16089999999999999</v>
      </c>
      <c r="I627" s="48">
        <v>0.2189200502148119</v>
      </c>
      <c r="K627" s="62">
        <v>0</v>
      </c>
      <c r="M627" s="64"/>
      <c r="N627" s="64"/>
    </row>
    <row r="628" spans="1:14" x14ac:dyDescent="0.25">
      <c r="A628" s="45" t="s">
        <v>696</v>
      </c>
      <c r="B628" s="46">
        <v>2924.96</v>
      </c>
      <c r="C628" s="60">
        <v>0.21</v>
      </c>
      <c r="D628" s="47" t="s">
        <v>1839</v>
      </c>
      <c r="E628" s="47" t="s">
        <v>1839</v>
      </c>
      <c r="F628" s="47" t="s">
        <v>1839</v>
      </c>
      <c r="G628" s="48">
        <v>7.4999999999999997E-2</v>
      </c>
      <c r="H628" s="48">
        <v>7.4999999999999997E-2</v>
      </c>
      <c r="I628" s="48">
        <v>0.1070213920795707</v>
      </c>
      <c r="K628" s="62">
        <v>0</v>
      </c>
      <c r="M628" s="64"/>
      <c r="N628" s="64"/>
    </row>
    <row r="629" spans="1:14" x14ac:dyDescent="0.25">
      <c r="A629" s="45" t="s">
        <v>697</v>
      </c>
      <c r="B629" s="46">
        <v>751.56999999999994</v>
      </c>
      <c r="C629" s="60">
        <v>0.21</v>
      </c>
      <c r="D629" s="47" t="s">
        <v>1839</v>
      </c>
      <c r="E629" s="47" t="s">
        <v>1839</v>
      </c>
      <c r="F629" s="47" t="s">
        <v>1839</v>
      </c>
      <c r="G629" s="48">
        <v>4.9299999999999997E-2</v>
      </c>
      <c r="H629" s="48">
        <v>4.9299999999999997E-2</v>
      </c>
      <c r="I629" s="48">
        <v>0.1202870042174284</v>
      </c>
      <c r="K629" s="62">
        <v>0</v>
      </c>
      <c r="M629" s="64"/>
      <c r="N629" s="64"/>
    </row>
    <row r="630" spans="1:14" x14ac:dyDescent="0.25">
      <c r="A630" s="45" t="s">
        <v>698</v>
      </c>
      <c r="B630" s="46">
        <v>6684.39</v>
      </c>
      <c r="C630" s="60">
        <v>0.21</v>
      </c>
      <c r="D630" s="47" t="s">
        <v>1839</v>
      </c>
      <c r="E630" s="47" t="s">
        <v>1839</v>
      </c>
      <c r="F630" s="47" t="s">
        <v>1839</v>
      </c>
      <c r="G630" s="48">
        <v>3.5299999999999998E-2</v>
      </c>
      <c r="H630" s="48">
        <v>3.5299999999999998E-2</v>
      </c>
      <c r="I630" s="48">
        <v>8.728616339988185E-2</v>
      </c>
      <c r="K630" s="62">
        <v>0</v>
      </c>
      <c r="M630" s="64"/>
      <c r="N630" s="64"/>
    </row>
    <row r="631" spans="1:14" x14ac:dyDescent="0.25">
      <c r="A631" s="45" t="s">
        <v>699</v>
      </c>
      <c r="B631" s="46">
        <v>6684.39</v>
      </c>
      <c r="C631" s="60">
        <v>0.21</v>
      </c>
      <c r="D631" s="47" t="s">
        <v>1839</v>
      </c>
      <c r="E631" s="47" t="s">
        <v>1839</v>
      </c>
      <c r="F631" s="47" t="s">
        <v>1839</v>
      </c>
      <c r="G631" s="48">
        <v>3.5999999999999997E-2</v>
      </c>
      <c r="H631" s="48">
        <v>3.5999999999999997E-2</v>
      </c>
      <c r="I631" s="48">
        <v>8.8019714350172681E-2</v>
      </c>
      <c r="K631" s="62">
        <v>0</v>
      </c>
      <c r="M631" s="64"/>
      <c r="N631" s="64"/>
    </row>
    <row r="632" spans="1:14" x14ac:dyDescent="0.25">
      <c r="A632" s="45" t="s">
        <v>700</v>
      </c>
      <c r="B632" s="46">
        <v>2682.1400000000003</v>
      </c>
      <c r="C632" s="60">
        <v>0.21</v>
      </c>
      <c r="D632" s="47" t="s">
        <v>1839</v>
      </c>
      <c r="E632" s="47" t="s">
        <v>1839</v>
      </c>
      <c r="F632" s="47" t="s">
        <v>1839</v>
      </c>
      <c r="G632" s="48">
        <v>5.0999999999999997E-2</v>
      </c>
      <c r="H632" s="48">
        <v>5.0999999999999997E-2</v>
      </c>
      <c r="I632" s="48">
        <v>7.4022643433560353E-2</v>
      </c>
      <c r="K632" s="62">
        <v>0</v>
      </c>
      <c r="M632" s="64"/>
      <c r="N632" s="64"/>
    </row>
    <row r="633" spans="1:14" x14ac:dyDescent="0.25">
      <c r="A633" s="45" t="s">
        <v>701</v>
      </c>
      <c r="B633" s="46">
        <v>2682.1400000000003</v>
      </c>
      <c r="C633" s="60">
        <v>0.21</v>
      </c>
      <c r="D633" s="47" t="s">
        <v>1839</v>
      </c>
      <c r="E633" s="47" t="s">
        <v>1839</v>
      </c>
      <c r="F633" s="47" t="s">
        <v>1839</v>
      </c>
      <c r="G633" s="48">
        <v>0.1668</v>
      </c>
      <c r="H633" s="48">
        <v>0.1668</v>
      </c>
      <c r="I633" s="48">
        <v>0.22678295492250081</v>
      </c>
      <c r="K633" s="62">
        <v>0</v>
      </c>
      <c r="M633" s="64"/>
      <c r="N633" s="64"/>
    </row>
    <row r="634" spans="1:14" x14ac:dyDescent="0.25">
      <c r="A634" s="45" t="s">
        <v>702</v>
      </c>
      <c r="B634" s="46">
        <v>2516.2700000000004</v>
      </c>
      <c r="C634" s="60">
        <v>0.21</v>
      </c>
      <c r="D634" s="47" t="s">
        <v>1839</v>
      </c>
      <c r="E634" s="47" t="s">
        <v>1839</v>
      </c>
      <c r="F634" s="47" t="s">
        <v>1839</v>
      </c>
      <c r="G634" s="48">
        <v>0.1671</v>
      </c>
      <c r="H634" s="48">
        <v>0.1671</v>
      </c>
      <c r="I634" s="48">
        <v>0.2280776893894064</v>
      </c>
      <c r="K634" s="62">
        <v>0</v>
      </c>
      <c r="M634" s="64"/>
      <c r="N634" s="64"/>
    </row>
    <row r="635" spans="1:14" x14ac:dyDescent="0.25">
      <c r="A635" s="45" t="s">
        <v>703</v>
      </c>
      <c r="B635" s="46">
        <v>9518.7199999999993</v>
      </c>
      <c r="C635" s="60">
        <v>0.21</v>
      </c>
      <c r="D635" s="47" t="s">
        <v>1839</v>
      </c>
      <c r="E635" s="47" t="s">
        <v>1839</v>
      </c>
      <c r="F635" s="47" t="s">
        <v>1839</v>
      </c>
      <c r="G635" s="48">
        <v>3.5299999999999998E-2</v>
      </c>
      <c r="H635" s="48">
        <v>3.5299999999999998E-2</v>
      </c>
      <c r="I635" s="48">
        <v>5.8021491088969021E-2</v>
      </c>
      <c r="K635" s="62">
        <v>0</v>
      </c>
      <c r="M635" s="64"/>
      <c r="N635" s="64"/>
    </row>
    <row r="636" spans="1:14" x14ac:dyDescent="0.25">
      <c r="A636" s="45" t="s">
        <v>704</v>
      </c>
      <c r="B636" s="46">
        <v>9518.7199999999993</v>
      </c>
      <c r="C636" s="60">
        <v>0.21</v>
      </c>
      <c r="D636" s="47" t="s">
        <v>1839</v>
      </c>
      <c r="E636" s="47" t="s">
        <v>1839</v>
      </c>
      <c r="F636" s="47" t="s">
        <v>1839</v>
      </c>
      <c r="G636" s="48">
        <v>3.5299999999999998E-2</v>
      </c>
      <c r="H636" s="48">
        <v>3.5299999999999998E-2</v>
      </c>
      <c r="I636" s="48">
        <v>5.8021491088969021E-2</v>
      </c>
      <c r="K636" s="62">
        <v>0</v>
      </c>
      <c r="M636" s="64"/>
      <c r="N636" s="64"/>
    </row>
    <row r="637" spans="1:14" x14ac:dyDescent="0.25">
      <c r="A637" s="45" t="s">
        <v>705</v>
      </c>
      <c r="B637" s="46">
        <v>1808.33</v>
      </c>
      <c r="C637" s="60">
        <v>0.21</v>
      </c>
      <c r="D637" s="47" t="s">
        <v>1839</v>
      </c>
      <c r="E637" s="47" t="s">
        <v>1839</v>
      </c>
      <c r="F637" s="47" t="s">
        <v>1839</v>
      </c>
      <c r="G637" s="48">
        <v>3.9E-2</v>
      </c>
      <c r="H637" s="48">
        <v>3.9E-2</v>
      </c>
      <c r="I637" s="48">
        <v>5.9021499133003918E-2</v>
      </c>
      <c r="K637" s="62">
        <v>0</v>
      </c>
      <c r="M637" s="64"/>
      <c r="N637" s="64"/>
    </row>
    <row r="638" spans="1:14" x14ac:dyDescent="0.25">
      <c r="A638" s="45" t="s">
        <v>706</v>
      </c>
      <c r="B638" s="46">
        <v>10071.050000000001</v>
      </c>
      <c r="C638" s="60">
        <v>0.21</v>
      </c>
      <c r="D638" s="47" t="s">
        <v>1839</v>
      </c>
      <c r="E638" s="47" t="s">
        <v>1839</v>
      </c>
      <c r="F638" s="47" t="s">
        <v>1839</v>
      </c>
      <c r="G638" s="48">
        <v>3.5999999999999997E-2</v>
      </c>
      <c r="H638" s="48">
        <v>3.5999999999999997E-2</v>
      </c>
      <c r="I638" s="48">
        <v>5.5020516780228533E-2</v>
      </c>
      <c r="K638" s="62">
        <v>0</v>
      </c>
      <c r="M638" s="64"/>
      <c r="N638" s="64"/>
    </row>
    <row r="639" spans="1:14" x14ac:dyDescent="0.25">
      <c r="A639" s="45" t="s">
        <v>707</v>
      </c>
      <c r="B639" s="46">
        <v>3653.42</v>
      </c>
      <c r="C639" s="60">
        <v>0.21</v>
      </c>
      <c r="D639" s="47" t="s">
        <v>1839</v>
      </c>
      <c r="E639" s="47" t="s">
        <v>1839</v>
      </c>
      <c r="F639" s="47" t="s">
        <v>1839</v>
      </c>
      <c r="G639" s="48">
        <v>4.3999999999999997E-2</v>
      </c>
      <c r="H639" s="48">
        <v>4.3999999999999997E-2</v>
      </c>
      <c r="I639" s="48">
        <v>6.3024761401436244E-2</v>
      </c>
      <c r="K639" s="62">
        <v>0</v>
      </c>
      <c r="M639" s="64"/>
      <c r="N639" s="64"/>
    </row>
    <row r="640" spans="1:14" x14ac:dyDescent="0.25">
      <c r="A640" s="45" t="s">
        <v>708</v>
      </c>
      <c r="B640" s="46">
        <v>3653.42</v>
      </c>
      <c r="C640" s="60">
        <v>0.21</v>
      </c>
      <c r="D640" s="47" t="s">
        <v>1839</v>
      </c>
      <c r="E640" s="47" t="s">
        <v>1839</v>
      </c>
      <c r="F640" s="47" t="s">
        <v>1839</v>
      </c>
      <c r="G640" s="48">
        <v>3.9E-2</v>
      </c>
      <c r="H640" s="48">
        <v>3.9E-2</v>
      </c>
      <c r="I640" s="48">
        <v>5.6021954366813523E-2</v>
      </c>
      <c r="K640" s="62">
        <v>0</v>
      </c>
      <c r="M640" s="64"/>
      <c r="N640" s="64"/>
    </row>
    <row r="641" spans="1:14" x14ac:dyDescent="0.25">
      <c r="A641" s="45" t="s">
        <v>709</v>
      </c>
      <c r="B641" s="46">
        <v>7354.71</v>
      </c>
      <c r="C641" s="60">
        <v>0.21</v>
      </c>
      <c r="D641" s="47" t="s">
        <v>1839</v>
      </c>
      <c r="E641" s="47" t="s">
        <v>1839</v>
      </c>
      <c r="F641" s="47" t="s">
        <v>1839</v>
      </c>
      <c r="G641" s="48">
        <v>0.15479999999999999</v>
      </c>
      <c r="H641" s="48">
        <v>0.15479999999999999</v>
      </c>
      <c r="I641" s="48">
        <v>0.23206493067057041</v>
      </c>
      <c r="K641" s="62">
        <v>0</v>
      </c>
      <c r="M641" s="64"/>
      <c r="N641" s="64"/>
    </row>
    <row r="642" spans="1:14" x14ac:dyDescent="0.25">
      <c r="A642" s="45" t="s">
        <v>710</v>
      </c>
      <c r="B642" s="46">
        <v>10472.9</v>
      </c>
      <c r="C642" s="60">
        <v>0.21</v>
      </c>
      <c r="D642" s="47" t="s">
        <v>1839</v>
      </c>
      <c r="E642" s="47" t="s">
        <v>1839</v>
      </c>
      <c r="F642" s="47" t="s">
        <v>1839</v>
      </c>
      <c r="G642" s="48">
        <v>3.5999999999999997E-2</v>
      </c>
      <c r="H642" s="48">
        <v>3.5999999999999997E-2</v>
      </c>
      <c r="I642" s="48">
        <v>5.5020294366091828E-2</v>
      </c>
      <c r="K642" s="62">
        <v>0</v>
      </c>
      <c r="M642" s="64"/>
      <c r="N642" s="64"/>
    </row>
    <row r="643" spans="1:14" x14ac:dyDescent="0.25">
      <c r="A643" s="45" t="s">
        <v>711</v>
      </c>
      <c r="B643" s="46">
        <v>4782.87</v>
      </c>
      <c r="C643" s="60">
        <v>0.21</v>
      </c>
      <c r="D643" s="47" t="s">
        <v>1839</v>
      </c>
      <c r="E643" s="47" t="s">
        <v>1839</v>
      </c>
      <c r="F643" s="47" t="s">
        <v>1839</v>
      </c>
      <c r="G643" s="48">
        <v>3.5299999999999998E-2</v>
      </c>
      <c r="H643" s="48">
        <v>3.5299999999999998E-2</v>
      </c>
      <c r="I643" s="48">
        <v>5.0285188049464483E-2</v>
      </c>
      <c r="K643" s="62">
        <v>0</v>
      </c>
      <c r="M643" s="64"/>
      <c r="N643" s="64"/>
    </row>
    <row r="644" spans="1:14" x14ac:dyDescent="0.25">
      <c r="A644" s="45" t="s">
        <v>712</v>
      </c>
      <c r="B644" s="46">
        <v>3012.17</v>
      </c>
      <c r="C644" s="60">
        <v>0.21</v>
      </c>
      <c r="D644" s="47" t="s">
        <v>1839</v>
      </c>
      <c r="E644" s="47" t="s">
        <v>1839</v>
      </c>
      <c r="F644" s="47" t="s">
        <v>1839</v>
      </c>
      <c r="G644" s="48" t="s">
        <v>1839</v>
      </c>
      <c r="H644" s="48" t="s">
        <v>1839</v>
      </c>
      <c r="K644" s="62">
        <v>0</v>
      </c>
      <c r="M644" s="64"/>
      <c r="N644" s="64"/>
    </row>
    <row r="645" spans="1:14" x14ac:dyDescent="0.25">
      <c r="A645" s="45" t="s">
        <v>713</v>
      </c>
      <c r="B645" s="46">
        <v>50848.56</v>
      </c>
      <c r="C645" s="60">
        <v>0.21</v>
      </c>
      <c r="D645" s="47" t="s">
        <v>1839</v>
      </c>
      <c r="E645" s="47" t="s">
        <v>1839</v>
      </c>
      <c r="F645" s="47" t="s">
        <v>1839</v>
      </c>
      <c r="G645" s="48">
        <v>6.7900000000000002E-2</v>
      </c>
      <c r="H645" s="48">
        <v>6.7900000000000002E-2</v>
      </c>
      <c r="I645" s="48">
        <v>0.10792200854006991</v>
      </c>
      <c r="K645" s="62">
        <v>0</v>
      </c>
      <c r="M645" s="64"/>
      <c r="N645" s="64"/>
    </row>
    <row r="646" spans="1:14" x14ac:dyDescent="0.25">
      <c r="A646" s="45" t="s">
        <v>714</v>
      </c>
      <c r="B646" s="46">
        <v>16023.56</v>
      </c>
      <c r="C646" s="60">
        <v>0.21</v>
      </c>
      <c r="D646" s="47" t="s">
        <v>1839</v>
      </c>
      <c r="E646" s="47" t="s">
        <v>1839</v>
      </c>
      <c r="F646" s="47" t="s">
        <v>1839</v>
      </c>
      <c r="G646" s="48">
        <v>0.17199999999999999</v>
      </c>
      <c r="H646" s="48">
        <v>0.17199999999999999</v>
      </c>
      <c r="I646" s="48">
        <v>0.24237771002417441</v>
      </c>
      <c r="K646" s="62">
        <v>0</v>
      </c>
      <c r="M646" s="64"/>
      <c r="N646" s="64"/>
    </row>
    <row r="647" spans="1:14" x14ac:dyDescent="0.25">
      <c r="A647" s="45" t="s">
        <v>715</v>
      </c>
      <c r="B647" s="46">
        <v>23379.98</v>
      </c>
      <c r="C647" s="60">
        <v>0.21</v>
      </c>
      <c r="D647" s="47" t="s">
        <v>1839</v>
      </c>
      <c r="E647" s="47" t="s">
        <v>1839</v>
      </c>
      <c r="F647" s="47" t="s">
        <v>1839</v>
      </c>
      <c r="G647" s="48">
        <v>0.11409999999999999</v>
      </c>
      <c r="H647" s="48">
        <v>0.11409999999999999</v>
      </c>
      <c r="I647" s="48">
        <v>0.17706997340345759</v>
      </c>
      <c r="K647" s="62">
        <v>0</v>
      </c>
      <c r="M647" s="64"/>
      <c r="N647" s="64"/>
    </row>
    <row r="648" spans="1:14" x14ac:dyDescent="0.25">
      <c r="A648" s="45" t="s">
        <v>716</v>
      </c>
      <c r="B648" s="46">
        <v>18267.93</v>
      </c>
      <c r="C648" s="60">
        <v>0.21</v>
      </c>
      <c r="D648" s="47" t="s">
        <v>1839</v>
      </c>
      <c r="E648" s="47" t="s">
        <v>1839</v>
      </c>
      <c r="F648" s="47" t="s">
        <v>1839</v>
      </c>
      <c r="G648" s="48">
        <v>0.1658</v>
      </c>
      <c r="H648" s="48">
        <v>0.1658</v>
      </c>
      <c r="I648" s="48">
        <v>0.21378583266203791</v>
      </c>
      <c r="K648" s="62">
        <v>0</v>
      </c>
      <c r="M648" s="64"/>
      <c r="N648" s="64"/>
    </row>
    <row r="649" spans="1:14" x14ac:dyDescent="0.25">
      <c r="A649" s="45" t="s">
        <v>717</v>
      </c>
      <c r="B649" s="46">
        <v>19485.45</v>
      </c>
      <c r="C649" s="60">
        <v>0.21</v>
      </c>
      <c r="D649" s="47" t="s">
        <v>1839</v>
      </c>
      <c r="E649" s="47" t="s">
        <v>1839</v>
      </c>
      <c r="F649" s="47" t="s">
        <v>1839</v>
      </c>
      <c r="G649" s="48">
        <v>0.1656</v>
      </c>
      <c r="H649" s="48">
        <v>0.1656</v>
      </c>
      <c r="I649" s="48">
        <v>0.21358682342373339</v>
      </c>
      <c r="K649" s="62">
        <v>0</v>
      </c>
      <c r="M649" s="64"/>
      <c r="N649" s="64"/>
    </row>
    <row r="650" spans="1:14" x14ac:dyDescent="0.25">
      <c r="A650" s="45" t="s">
        <v>718</v>
      </c>
      <c r="B650" s="46">
        <v>3806.2000000000003</v>
      </c>
      <c r="C650" s="60">
        <v>0.21</v>
      </c>
      <c r="D650" s="47" t="s">
        <v>1839</v>
      </c>
      <c r="E650" s="47" t="s">
        <v>1839</v>
      </c>
      <c r="F650" s="47" t="s">
        <v>1839</v>
      </c>
      <c r="G650" s="48">
        <v>0.1293</v>
      </c>
      <c r="H650" s="48">
        <v>0.1293</v>
      </c>
      <c r="I650" s="48">
        <v>0.17728653974538999</v>
      </c>
      <c r="K650" s="62">
        <v>0</v>
      </c>
      <c r="M650" s="64"/>
      <c r="N650" s="64"/>
    </row>
    <row r="651" spans="1:14" x14ac:dyDescent="0.25">
      <c r="A651" s="45" t="s">
        <v>719</v>
      </c>
      <c r="B651" s="46">
        <v>483.08</v>
      </c>
      <c r="C651" s="60">
        <v>0.21</v>
      </c>
      <c r="D651" s="47" t="s">
        <v>1839</v>
      </c>
      <c r="E651" s="47" t="s">
        <v>1839</v>
      </c>
      <c r="F651" s="47" t="s">
        <v>1839</v>
      </c>
      <c r="G651" s="48">
        <v>0.17469999999999999</v>
      </c>
      <c r="H651" s="48">
        <v>0.17469999999999999</v>
      </c>
      <c r="I651" s="48">
        <v>0.37386664119776269</v>
      </c>
      <c r="K651" s="62">
        <v>0</v>
      </c>
      <c r="M651" s="64"/>
      <c r="N651" s="64"/>
    </row>
    <row r="652" spans="1:14" x14ac:dyDescent="0.25">
      <c r="A652" s="45" t="s">
        <v>720</v>
      </c>
      <c r="B652" s="46">
        <v>2908.71</v>
      </c>
      <c r="C652" s="60">
        <v>0.21</v>
      </c>
      <c r="D652" s="47" t="s">
        <v>1839</v>
      </c>
      <c r="E652" s="47" t="s">
        <v>1839</v>
      </c>
      <c r="F652" s="47" t="s">
        <v>1839</v>
      </c>
      <c r="G652" s="48">
        <v>9.1300000000000006E-2</v>
      </c>
      <c r="H652" s="48">
        <v>9.1300000000000006E-2</v>
      </c>
      <c r="I652" s="48">
        <v>0.1292854734168345</v>
      </c>
      <c r="K652" s="62">
        <v>0</v>
      </c>
      <c r="M652" s="64"/>
      <c r="N652" s="64"/>
    </row>
    <row r="653" spans="1:14" x14ac:dyDescent="0.25">
      <c r="A653" s="45" t="s">
        <v>721</v>
      </c>
      <c r="B653" s="46">
        <v>3913.34</v>
      </c>
      <c r="C653" s="60">
        <v>0.21</v>
      </c>
      <c r="D653" s="47" t="s">
        <v>1839</v>
      </c>
      <c r="E653" s="47" t="s">
        <v>1839</v>
      </c>
      <c r="F653" s="47" t="s">
        <v>1839</v>
      </c>
      <c r="G653" s="48">
        <v>0.1183</v>
      </c>
      <c r="H653" s="48">
        <v>0.1183</v>
      </c>
      <c r="I653" s="48">
        <v>0.16328758727731549</v>
      </c>
      <c r="K653" s="62">
        <v>0</v>
      </c>
      <c r="M653" s="64"/>
      <c r="N653" s="64"/>
    </row>
    <row r="654" spans="1:14" x14ac:dyDescent="0.25">
      <c r="A654" s="45" t="s">
        <v>722</v>
      </c>
      <c r="B654" s="46">
        <v>1085</v>
      </c>
      <c r="C654" s="60">
        <v>0.21</v>
      </c>
      <c r="D654" s="47" t="s">
        <v>1839</v>
      </c>
      <c r="E654" s="47" t="s">
        <v>1839</v>
      </c>
      <c r="F654" s="47" t="s">
        <v>1839</v>
      </c>
      <c r="G654" s="48">
        <v>5.8000000000000003E-2</v>
      </c>
      <c r="H654" s="48">
        <v>5.8000000000000003E-2</v>
      </c>
      <c r="I654" s="48">
        <v>0.1030175804620624</v>
      </c>
      <c r="K654" s="62">
        <v>0</v>
      </c>
      <c r="M654" s="64"/>
      <c r="N654" s="64"/>
    </row>
    <row r="655" spans="1:14" x14ac:dyDescent="0.25">
      <c r="A655" s="45" t="s">
        <v>723</v>
      </c>
      <c r="B655" s="46">
        <v>1046.52</v>
      </c>
      <c r="C655" s="60">
        <v>0.21</v>
      </c>
      <c r="D655" s="47" t="s">
        <v>1839</v>
      </c>
      <c r="E655" s="47" t="s">
        <v>1839</v>
      </c>
      <c r="F655" s="47" t="s">
        <v>1839</v>
      </c>
      <c r="G655" s="48">
        <v>6.4299999999999996E-2</v>
      </c>
      <c r="H655" s="48">
        <v>6.4299999999999996E-2</v>
      </c>
      <c r="I655" s="48">
        <v>0.11828316707688299</v>
      </c>
      <c r="K655" s="62">
        <v>0</v>
      </c>
      <c r="M655" s="64"/>
      <c r="N655" s="64"/>
    </row>
    <row r="656" spans="1:14" x14ac:dyDescent="0.25">
      <c r="A656" s="45" t="s">
        <v>724</v>
      </c>
      <c r="B656" s="46">
        <v>1780.11</v>
      </c>
      <c r="C656" s="60">
        <v>0.21</v>
      </c>
      <c r="D656" s="47" t="s">
        <v>1839</v>
      </c>
      <c r="E656" s="47" t="s">
        <v>1839</v>
      </c>
      <c r="F656" s="47" t="s">
        <v>1839</v>
      </c>
      <c r="G656" s="48">
        <v>4.7300000000000002E-2</v>
      </c>
      <c r="H656" s="48">
        <v>4.7300000000000002E-2</v>
      </c>
      <c r="I656" s="48">
        <v>7.1280025508396516E-2</v>
      </c>
      <c r="K656" s="62">
        <v>0</v>
      </c>
      <c r="M656" s="64"/>
      <c r="N656" s="64"/>
    </row>
    <row r="657" spans="1:14" x14ac:dyDescent="0.25">
      <c r="A657" s="45" t="s">
        <v>725</v>
      </c>
      <c r="B657" s="46">
        <v>2198.21</v>
      </c>
      <c r="C657" s="60">
        <v>0.21</v>
      </c>
      <c r="D657" s="47" t="s">
        <v>1839</v>
      </c>
      <c r="E657" s="47" t="s">
        <v>1839</v>
      </c>
      <c r="F657" s="47" t="s">
        <v>1839</v>
      </c>
      <c r="G657" s="48">
        <v>0.124</v>
      </c>
      <c r="H657" s="48">
        <v>0.124</v>
      </c>
      <c r="I657" s="48">
        <v>0.1750157073652463</v>
      </c>
      <c r="K657" s="62">
        <v>0</v>
      </c>
      <c r="M657" s="64"/>
      <c r="N657" s="64"/>
    </row>
    <row r="658" spans="1:14" x14ac:dyDescent="0.25">
      <c r="A658" s="45" t="s">
        <v>726</v>
      </c>
      <c r="B658" s="46">
        <v>7651.4000000000005</v>
      </c>
      <c r="C658" s="60">
        <v>0.21</v>
      </c>
      <c r="D658" s="47" t="s">
        <v>1839</v>
      </c>
      <c r="E658" s="47" t="s">
        <v>1839</v>
      </c>
      <c r="F658" s="47" t="s">
        <v>1839</v>
      </c>
      <c r="G658" s="48">
        <v>0.15870000000000001</v>
      </c>
      <c r="H658" s="48">
        <v>0.15870000000000001</v>
      </c>
      <c r="I658" s="48">
        <v>0.31973013486552282</v>
      </c>
      <c r="K658" s="62">
        <v>0</v>
      </c>
      <c r="M658" s="64"/>
      <c r="N658" s="64"/>
    </row>
    <row r="659" spans="1:14" x14ac:dyDescent="0.25">
      <c r="A659" s="45" t="s">
        <v>727</v>
      </c>
      <c r="B659" s="46">
        <v>7651.4000000000005</v>
      </c>
      <c r="C659" s="60">
        <v>0.21</v>
      </c>
      <c r="D659" s="47" t="s">
        <v>1839</v>
      </c>
      <c r="E659" s="47" t="s">
        <v>1839</v>
      </c>
      <c r="F659" s="47" t="s">
        <v>1839</v>
      </c>
      <c r="G659" s="48">
        <v>0.16339999999999999</v>
      </c>
      <c r="H659" s="48">
        <v>0.16339999999999999</v>
      </c>
      <c r="I659" s="48">
        <v>0.25186366619415129</v>
      </c>
      <c r="K659" s="62">
        <v>0</v>
      </c>
      <c r="M659" s="64"/>
      <c r="N659" s="64"/>
    </row>
    <row r="660" spans="1:14" x14ac:dyDescent="0.25">
      <c r="A660" s="45" t="s">
        <v>728</v>
      </c>
      <c r="B660" s="46">
        <v>12224.79</v>
      </c>
      <c r="C660" s="60">
        <v>0.21</v>
      </c>
      <c r="D660" s="47" t="s">
        <v>1839</v>
      </c>
      <c r="E660" s="47" t="s">
        <v>1839</v>
      </c>
      <c r="F660" s="47" t="s">
        <v>1839</v>
      </c>
      <c r="G660" s="48">
        <v>3.8300000000000001E-2</v>
      </c>
      <c r="H660" s="48">
        <v>3.8300000000000001E-2</v>
      </c>
      <c r="I660" s="48">
        <v>5.9530988470288912E-2</v>
      </c>
      <c r="K660" s="62">
        <v>0</v>
      </c>
      <c r="M660" s="64"/>
      <c r="N660" s="64"/>
    </row>
    <row r="661" spans="1:14" x14ac:dyDescent="0.25">
      <c r="A661" s="45" t="s">
        <v>729</v>
      </c>
      <c r="B661" s="46">
        <v>2491.4699999999998</v>
      </c>
      <c r="C661" s="60">
        <v>0.21</v>
      </c>
      <c r="D661" s="47" t="s">
        <v>1839</v>
      </c>
      <c r="E661" s="47" t="s">
        <v>1839</v>
      </c>
      <c r="F661" s="47" t="s">
        <v>1839</v>
      </c>
      <c r="G661" s="48">
        <v>0.121</v>
      </c>
      <c r="H661" s="48">
        <v>0.121</v>
      </c>
      <c r="I661" s="48">
        <v>0.1700176588584249</v>
      </c>
      <c r="K661" s="62">
        <v>0</v>
      </c>
      <c r="M661" s="64"/>
      <c r="N661" s="64"/>
    </row>
    <row r="662" spans="1:14" x14ac:dyDescent="0.25">
      <c r="A662" s="45" t="s">
        <v>730</v>
      </c>
      <c r="B662" s="46">
        <v>7469.28</v>
      </c>
      <c r="C662" s="60">
        <v>0.21</v>
      </c>
      <c r="D662" s="47" t="s">
        <v>1839</v>
      </c>
      <c r="E662" s="47" t="s">
        <v>1839</v>
      </c>
      <c r="F662" s="47" t="s">
        <v>1839</v>
      </c>
      <c r="G662" s="48">
        <v>3.5299999999999998E-2</v>
      </c>
      <c r="H662" s="48">
        <v>3.5299999999999998E-2</v>
      </c>
      <c r="I662" s="48">
        <v>7.8020230261478501E-2</v>
      </c>
      <c r="K662" s="62">
        <v>0</v>
      </c>
      <c r="M662" s="64"/>
      <c r="N662" s="64"/>
    </row>
    <row r="663" spans="1:14" x14ac:dyDescent="0.25">
      <c r="A663" s="45" t="s">
        <v>731</v>
      </c>
      <c r="B663" s="46">
        <v>2736</v>
      </c>
      <c r="C663" s="60">
        <v>0.21</v>
      </c>
      <c r="D663" s="47" t="s">
        <v>1839</v>
      </c>
      <c r="E663" s="47" t="s">
        <v>1839</v>
      </c>
      <c r="F663" s="47" t="s">
        <v>1839</v>
      </c>
      <c r="G663" s="48">
        <v>3.5999999999999997E-2</v>
      </c>
      <c r="H663" s="48">
        <v>3.5999999999999997E-2</v>
      </c>
      <c r="I663" s="48">
        <v>5.3019755285289717E-2</v>
      </c>
      <c r="K663" s="62">
        <v>0</v>
      </c>
      <c r="M663" s="64"/>
      <c r="N663" s="64"/>
    </row>
    <row r="664" spans="1:14" x14ac:dyDescent="0.25">
      <c r="A664" s="45" t="s">
        <v>732</v>
      </c>
      <c r="B664" s="46">
        <v>1221.8</v>
      </c>
      <c r="C664" s="60">
        <v>0.21</v>
      </c>
      <c r="D664" s="47" t="s">
        <v>1839</v>
      </c>
      <c r="E664" s="47" t="s">
        <v>1839</v>
      </c>
      <c r="F664" s="47" t="s">
        <v>1839</v>
      </c>
      <c r="G664" s="48">
        <v>3.5299999999999998E-2</v>
      </c>
      <c r="H664" s="48">
        <v>3.5299999999999998E-2</v>
      </c>
      <c r="I664" s="48">
        <v>6.9285656737719248E-2</v>
      </c>
      <c r="K664" s="62">
        <v>0</v>
      </c>
      <c r="M664" s="64"/>
      <c r="N664" s="64"/>
    </row>
    <row r="665" spans="1:14" x14ac:dyDescent="0.25">
      <c r="A665" s="45" t="s">
        <v>733</v>
      </c>
      <c r="B665" s="46">
        <v>1225.22</v>
      </c>
      <c r="C665" s="60">
        <v>0.21</v>
      </c>
      <c r="D665" s="47" t="s">
        <v>1839</v>
      </c>
      <c r="E665" s="47" t="s">
        <v>1839</v>
      </c>
      <c r="F665" s="47" t="s">
        <v>1839</v>
      </c>
      <c r="G665" s="48">
        <v>0.1729</v>
      </c>
      <c r="H665" s="48">
        <v>0.1729</v>
      </c>
      <c r="I665" s="48">
        <v>0.24588199872089839</v>
      </c>
      <c r="K665" s="62">
        <v>0</v>
      </c>
      <c r="M665" s="64"/>
      <c r="N665" s="64"/>
    </row>
    <row r="666" spans="1:14" x14ac:dyDescent="0.25">
      <c r="A666" s="45" t="s">
        <v>734</v>
      </c>
      <c r="B666" s="46">
        <v>1221.8</v>
      </c>
      <c r="C666" s="60">
        <v>0.21</v>
      </c>
      <c r="D666" s="47" t="s">
        <v>1839</v>
      </c>
      <c r="E666" s="47" t="s">
        <v>1839</v>
      </c>
      <c r="F666" s="47" t="s">
        <v>1839</v>
      </c>
      <c r="G666" s="48">
        <v>0.16789999999999999</v>
      </c>
      <c r="H666" s="48">
        <v>0.16789999999999999</v>
      </c>
      <c r="I666" s="48">
        <v>0.23992318005885871</v>
      </c>
      <c r="K666" s="62">
        <v>0</v>
      </c>
      <c r="M666" s="64"/>
      <c r="N666" s="64"/>
    </row>
    <row r="667" spans="1:14" x14ac:dyDescent="0.25">
      <c r="A667" s="45" t="s">
        <v>735</v>
      </c>
      <c r="B667" s="46">
        <v>1937.43</v>
      </c>
      <c r="C667" s="60">
        <v>0.21</v>
      </c>
      <c r="D667" s="47" t="s">
        <v>1839</v>
      </c>
      <c r="E667" s="47" t="s">
        <v>1839</v>
      </c>
      <c r="F667" s="47" t="s">
        <v>1839</v>
      </c>
      <c r="G667" s="48">
        <v>0.14630000000000001</v>
      </c>
      <c r="H667" s="48">
        <v>0.14630000000000001</v>
      </c>
      <c r="I667" s="48">
        <v>0.2052884351720671</v>
      </c>
      <c r="K667" s="62">
        <v>0</v>
      </c>
      <c r="M667" s="64"/>
      <c r="N667" s="64"/>
    </row>
    <row r="668" spans="1:14" x14ac:dyDescent="0.25">
      <c r="A668" s="45" t="s">
        <v>736</v>
      </c>
      <c r="B668" s="46">
        <v>984.96</v>
      </c>
      <c r="C668" s="60">
        <v>0.21</v>
      </c>
      <c r="D668" s="47" t="s">
        <v>1839</v>
      </c>
      <c r="E668" s="47" t="s">
        <v>1839</v>
      </c>
      <c r="F668" s="47" t="s">
        <v>1839</v>
      </c>
      <c r="G668" s="48">
        <v>4.4299999999999999E-2</v>
      </c>
      <c r="H668" s="48">
        <v>4.4299999999999999E-2</v>
      </c>
      <c r="I668" s="48">
        <v>9.8306861001519516E-2</v>
      </c>
      <c r="K668" s="62">
        <v>0</v>
      </c>
      <c r="M668" s="64"/>
      <c r="N668" s="64"/>
    </row>
    <row r="669" spans="1:14" x14ac:dyDescent="0.25">
      <c r="A669" s="45" t="s">
        <v>737</v>
      </c>
      <c r="B669" s="46">
        <v>744.71</v>
      </c>
      <c r="C669" s="60">
        <v>0.21</v>
      </c>
      <c r="D669" s="47" t="s">
        <v>1839</v>
      </c>
      <c r="E669" s="47" t="s">
        <v>1839</v>
      </c>
      <c r="F669" s="47" t="s">
        <v>1839</v>
      </c>
      <c r="G669" s="48">
        <v>8.2000000000000003E-2</v>
      </c>
      <c r="H669" s="48">
        <v>8.2000000000000003E-2</v>
      </c>
      <c r="I669" s="48">
        <v>0.16526615923837629</v>
      </c>
      <c r="K669" s="62">
        <v>0</v>
      </c>
      <c r="M669" s="64"/>
      <c r="N669" s="64"/>
    </row>
    <row r="670" spans="1:14" x14ac:dyDescent="0.25">
      <c r="A670" s="45" t="s">
        <v>738</v>
      </c>
      <c r="B670" s="46">
        <v>933.66</v>
      </c>
      <c r="C670" s="60">
        <v>0.21</v>
      </c>
      <c r="D670" s="47" t="s">
        <v>1839</v>
      </c>
      <c r="E670" s="47" t="s">
        <v>1839</v>
      </c>
      <c r="F670" s="47" t="s">
        <v>1839</v>
      </c>
      <c r="G670" s="48">
        <v>0.1235</v>
      </c>
      <c r="H670" s="48">
        <v>0.1235</v>
      </c>
      <c r="I670" s="48">
        <v>0.20049201618308921</v>
      </c>
      <c r="K670" s="62">
        <v>0</v>
      </c>
      <c r="M670" s="64"/>
      <c r="N670" s="64"/>
    </row>
    <row r="671" spans="1:14" x14ac:dyDescent="0.25">
      <c r="A671" s="45" t="s">
        <v>739</v>
      </c>
      <c r="B671" s="46">
        <v>2241.81</v>
      </c>
      <c r="C671" s="60">
        <v>0.21</v>
      </c>
      <c r="D671" s="47" t="s">
        <v>1839</v>
      </c>
      <c r="E671" s="47" t="s">
        <v>1839</v>
      </c>
      <c r="F671" s="47" t="s">
        <v>1839</v>
      </c>
      <c r="G671" s="48">
        <v>0.16569999999999999</v>
      </c>
      <c r="H671" s="48">
        <v>0.16569999999999999</v>
      </c>
      <c r="I671" s="48">
        <v>0.22772262470756929</v>
      </c>
      <c r="K671" s="62">
        <v>0</v>
      </c>
      <c r="M671" s="64"/>
      <c r="N671" s="64"/>
    </row>
    <row r="672" spans="1:14" x14ac:dyDescent="0.25">
      <c r="A672" s="45" t="s">
        <v>740</v>
      </c>
      <c r="B672" s="46">
        <v>2874.51</v>
      </c>
      <c r="C672" s="60">
        <v>0.21</v>
      </c>
      <c r="D672" s="47" t="s">
        <v>1839</v>
      </c>
      <c r="E672" s="47" t="s">
        <v>1839</v>
      </c>
      <c r="F672" s="47" t="s">
        <v>1839</v>
      </c>
      <c r="G672" s="48">
        <v>3.5999999999999997E-2</v>
      </c>
      <c r="H672" s="48">
        <v>3.5999999999999997E-2</v>
      </c>
      <c r="I672" s="48">
        <v>5.3023259312752008E-2</v>
      </c>
      <c r="K672" s="62">
        <v>0</v>
      </c>
      <c r="M672" s="64"/>
      <c r="N672" s="64"/>
    </row>
    <row r="673" spans="1:14" x14ac:dyDescent="0.25">
      <c r="A673" s="45" t="s">
        <v>741</v>
      </c>
      <c r="B673" s="46">
        <v>1244.03</v>
      </c>
      <c r="C673" s="60">
        <v>0.21</v>
      </c>
      <c r="D673" s="47" t="s">
        <v>1839</v>
      </c>
      <c r="E673" s="47" t="s">
        <v>1839</v>
      </c>
      <c r="F673" s="47" t="s">
        <v>1839</v>
      </c>
      <c r="G673" s="48">
        <v>3.5999999999999997E-2</v>
      </c>
      <c r="H673" s="48">
        <v>3.5999999999999997E-2</v>
      </c>
      <c r="I673" s="48">
        <v>6.9022481566924504E-2</v>
      </c>
      <c r="K673" s="62">
        <v>0</v>
      </c>
      <c r="M673" s="64"/>
      <c r="N673" s="64"/>
    </row>
    <row r="674" spans="1:14" x14ac:dyDescent="0.25">
      <c r="A674" s="45" t="s">
        <v>742</v>
      </c>
      <c r="B674" s="46">
        <v>1428.71</v>
      </c>
      <c r="C674" s="60">
        <v>0.21</v>
      </c>
      <c r="D674" s="47" t="s">
        <v>1839</v>
      </c>
      <c r="E674" s="47" t="s">
        <v>1839</v>
      </c>
      <c r="F674" s="47" t="s">
        <v>1839</v>
      </c>
      <c r="G674" s="48">
        <v>0.11609999999999999</v>
      </c>
      <c r="H674" s="48">
        <v>0.11609999999999999</v>
      </c>
      <c r="I674" s="48">
        <v>0.1691042427764862</v>
      </c>
      <c r="K674" s="62">
        <v>0</v>
      </c>
      <c r="M674" s="64"/>
      <c r="N674" s="64"/>
    </row>
    <row r="675" spans="1:14" x14ac:dyDescent="0.25">
      <c r="A675" s="45" t="s">
        <v>743</v>
      </c>
      <c r="B675" s="46">
        <v>2143.4900000000002</v>
      </c>
      <c r="C675" s="60">
        <v>0.21</v>
      </c>
      <c r="D675" s="47" t="s">
        <v>1839</v>
      </c>
      <c r="E675" s="47" t="s">
        <v>1839</v>
      </c>
      <c r="F675" s="47" t="s">
        <v>1839</v>
      </c>
      <c r="G675" s="48">
        <v>0.16800000000000001</v>
      </c>
      <c r="H675" s="48">
        <v>0.16800000000000001</v>
      </c>
      <c r="I675" s="48">
        <v>0.23102230355769179</v>
      </c>
      <c r="K675" s="62">
        <v>0</v>
      </c>
      <c r="M675" s="64"/>
      <c r="N675" s="64"/>
    </row>
    <row r="676" spans="1:14" x14ac:dyDescent="0.25">
      <c r="A676" s="45" t="s">
        <v>744</v>
      </c>
      <c r="B676" s="46">
        <v>1542.42</v>
      </c>
      <c r="C676" s="60">
        <v>0.21</v>
      </c>
      <c r="D676" s="47" t="s">
        <v>1839</v>
      </c>
      <c r="E676" s="47" t="s">
        <v>1839</v>
      </c>
      <c r="F676" s="47" t="s">
        <v>1839</v>
      </c>
      <c r="G676" s="48">
        <v>0.11799999999999999</v>
      </c>
      <c r="H676" s="48">
        <v>0.11799999999999999</v>
      </c>
      <c r="I676" s="48">
        <v>0.1710164736184468</v>
      </c>
      <c r="K676" s="62">
        <v>0</v>
      </c>
      <c r="M676" s="64"/>
      <c r="N676" s="64"/>
    </row>
    <row r="677" spans="1:14" x14ac:dyDescent="0.25">
      <c r="A677" s="45" t="s">
        <v>745</v>
      </c>
      <c r="B677" s="46">
        <v>21376.71</v>
      </c>
      <c r="C677" s="60">
        <v>0.21</v>
      </c>
      <c r="D677" s="47" t="s">
        <v>1839</v>
      </c>
      <c r="E677" s="47" t="s">
        <v>1839</v>
      </c>
      <c r="F677" s="47" t="s">
        <v>1839</v>
      </c>
      <c r="G677" s="48">
        <v>0.16439999999999999</v>
      </c>
      <c r="H677" s="48">
        <v>0.16439999999999999</v>
      </c>
      <c r="I677" s="48">
        <v>0.21238589594297461</v>
      </c>
      <c r="K677" s="62">
        <v>0</v>
      </c>
      <c r="M677" s="64"/>
      <c r="N677" s="64"/>
    </row>
    <row r="678" spans="1:14" x14ac:dyDescent="0.25">
      <c r="A678" s="45" t="s">
        <v>746</v>
      </c>
      <c r="B678" s="46">
        <v>1233.77</v>
      </c>
      <c r="C678" s="60">
        <v>0.21</v>
      </c>
      <c r="D678" s="47" t="s">
        <v>1839</v>
      </c>
      <c r="E678" s="47" t="s">
        <v>1839</v>
      </c>
      <c r="F678" s="47" t="s">
        <v>1839</v>
      </c>
      <c r="G678" s="48">
        <v>3.5999999999999997E-2</v>
      </c>
      <c r="H678" s="48">
        <v>3.5999999999999997E-2</v>
      </c>
      <c r="I678" s="48">
        <v>7.0023440922616503E-2</v>
      </c>
      <c r="K678" s="62">
        <v>0</v>
      </c>
      <c r="M678" s="64"/>
      <c r="N678" s="64"/>
    </row>
    <row r="679" spans="1:14" x14ac:dyDescent="0.25">
      <c r="A679" s="45" t="s">
        <v>747</v>
      </c>
      <c r="B679" s="46">
        <v>1649.3</v>
      </c>
      <c r="C679" s="60">
        <v>0.21</v>
      </c>
      <c r="D679" s="47" t="s">
        <v>1839</v>
      </c>
      <c r="E679" s="47" t="s">
        <v>1839</v>
      </c>
      <c r="F679" s="47" t="s">
        <v>1839</v>
      </c>
      <c r="G679" s="48">
        <v>0.16470000000000001</v>
      </c>
      <c r="H679" s="48">
        <v>0.16470000000000001</v>
      </c>
      <c r="I679" s="48">
        <v>0.23071067364711359</v>
      </c>
      <c r="K679" s="62">
        <v>0</v>
      </c>
      <c r="M679" s="64"/>
      <c r="N679" s="64"/>
    </row>
    <row r="680" spans="1:14" x14ac:dyDescent="0.25">
      <c r="A680" s="45" t="s">
        <v>748</v>
      </c>
      <c r="B680" s="46">
        <v>1982.75</v>
      </c>
      <c r="C680" s="60">
        <v>0.21</v>
      </c>
      <c r="D680" s="47" t="s">
        <v>1839</v>
      </c>
      <c r="E680" s="47" t="s">
        <v>1839</v>
      </c>
      <c r="F680" s="47" t="s">
        <v>1839</v>
      </c>
      <c r="G680" s="48">
        <v>7.1999999999999995E-2</v>
      </c>
      <c r="H680" s="48">
        <v>7.1999999999999995E-2</v>
      </c>
      <c r="I680" s="48">
        <v>0.10502239690393771</v>
      </c>
      <c r="K680" s="62">
        <v>0</v>
      </c>
      <c r="M680" s="64"/>
      <c r="N680" s="64"/>
    </row>
    <row r="681" spans="1:14" x14ac:dyDescent="0.25">
      <c r="A681" s="45" t="s">
        <v>749</v>
      </c>
      <c r="B681" s="46">
        <v>2240.1</v>
      </c>
      <c r="C681" s="60">
        <v>0.21</v>
      </c>
      <c r="D681" s="47" t="s">
        <v>1839</v>
      </c>
      <c r="E681" s="47" t="s">
        <v>1839</v>
      </c>
      <c r="F681" s="47" t="s">
        <v>1839</v>
      </c>
      <c r="G681" s="48">
        <v>0.16769999999999999</v>
      </c>
      <c r="H681" s="48">
        <v>0.16769999999999999</v>
      </c>
      <c r="I681" s="48">
        <v>0.22968377671829299</v>
      </c>
      <c r="K681" s="62">
        <v>0</v>
      </c>
      <c r="M681" s="64"/>
      <c r="N681" s="64"/>
    </row>
    <row r="682" spans="1:14" x14ac:dyDescent="0.25">
      <c r="A682" s="45" t="s">
        <v>750</v>
      </c>
      <c r="B682" s="46">
        <v>2530.8000000000002</v>
      </c>
      <c r="C682" s="60">
        <v>0.21</v>
      </c>
      <c r="D682" s="47" t="s">
        <v>1839</v>
      </c>
      <c r="E682" s="47" t="s">
        <v>1839</v>
      </c>
      <c r="F682" s="47" t="s">
        <v>1839</v>
      </c>
      <c r="G682" s="48">
        <v>9.9000000000000005E-2</v>
      </c>
      <c r="H682" s="48">
        <v>9.9000000000000005E-2</v>
      </c>
      <c r="I682" s="48">
        <v>0.1400261833775075</v>
      </c>
      <c r="K682" s="62">
        <v>0</v>
      </c>
      <c r="M682" s="64"/>
      <c r="N682" s="64"/>
    </row>
    <row r="683" spans="1:14" x14ac:dyDescent="0.25">
      <c r="A683" s="45" t="s">
        <v>751</v>
      </c>
      <c r="B683" s="46">
        <v>2834.3300000000004</v>
      </c>
      <c r="C683" s="60">
        <v>0.21</v>
      </c>
      <c r="D683" s="47" t="s">
        <v>1839</v>
      </c>
      <c r="E683" s="47" t="s">
        <v>1839</v>
      </c>
      <c r="F683" s="47" t="s">
        <v>1839</v>
      </c>
      <c r="G683" s="48">
        <v>0.16089999999999999</v>
      </c>
      <c r="H683" s="48">
        <v>0.16089999999999999</v>
      </c>
      <c r="I683" s="48">
        <v>0.21891891378439071</v>
      </c>
      <c r="K683" s="62">
        <v>0</v>
      </c>
      <c r="M683" s="64"/>
      <c r="N683" s="64"/>
    </row>
    <row r="684" spans="1:14" x14ac:dyDescent="0.25">
      <c r="A684" s="45" t="s">
        <v>752</v>
      </c>
      <c r="B684" s="46">
        <v>5036.8100000000004</v>
      </c>
      <c r="C684" s="60">
        <v>0.21</v>
      </c>
      <c r="D684" s="47" t="s">
        <v>1839</v>
      </c>
      <c r="E684" s="47" t="s">
        <v>1839</v>
      </c>
      <c r="F684" s="47" t="s">
        <v>1839</v>
      </c>
      <c r="G684" s="48">
        <v>3.5299999999999998E-2</v>
      </c>
      <c r="H684" s="48">
        <v>3.5299999999999998E-2</v>
      </c>
      <c r="I684" s="48">
        <v>5.2020771513353117E-2</v>
      </c>
      <c r="K684" s="62">
        <v>0</v>
      </c>
      <c r="M684" s="64"/>
      <c r="N684" s="64"/>
    </row>
    <row r="685" spans="1:14" x14ac:dyDescent="0.25">
      <c r="A685" s="45" t="s">
        <v>753</v>
      </c>
      <c r="B685" s="46">
        <v>25543.98</v>
      </c>
      <c r="C685" s="60">
        <v>0.21</v>
      </c>
      <c r="D685" s="47" t="s">
        <v>1839</v>
      </c>
      <c r="E685" s="47" t="s">
        <v>1839</v>
      </c>
      <c r="F685" s="47" t="s">
        <v>1839</v>
      </c>
      <c r="G685" s="48" t="s">
        <v>1839</v>
      </c>
      <c r="H685" s="48" t="s">
        <v>1839</v>
      </c>
      <c r="K685" s="62">
        <v>0</v>
      </c>
      <c r="M685" s="64"/>
      <c r="N685" s="64"/>
    </row>
    <row r="686" spans="1:14" x14ac:dyDescent="0.25">
      <c r="A686" s="45" t="s">
        <v>754</v>
      </c>
      <c r="B686" s="46">
        <v>1218.3799999999999</v>
      </c>
      <c r="C686" s="60">
        <v>0.21</v>
      </c>
      <c r="D686" s="47" t="s">
        <v>1839</v>
      </c>
      <c r="E686" s="47" t="s">
        <v>1839</v>
      </c>
      <c r="F686" s="47" t="s">
        <v>1839</v>
      </c>
      <c r="G686" s="48">
        <v>0.16700000000000001</v>
      </c>
      <c r="H686" s="48">
        <v>0.16700000000000001</v>
      </c>
      <c r="I686" s="48">
        <v>0.2452881969708374</v>
      </c>
      <c r="K686" s="62">
        <v>0</v>
      </c>
      <c r="M686" s="64"/>
      <c r="N686" s="64"/>
    </row>
    <row r="687" spans="1:14" x14ac:dyDescent="0.25">
      <c r="A687" s="45" t="s">
        <v>755</v>
      </c>
      <c r="B687" s="46">
        <v>3069.45</v>
      </c>
      <c r="C687" s="60">
        <v>0.21</v>
      </c>
      <c r="D687" s="47" t="s">
        <v>1839</v>
      </c>
      <c r="E687" s="47" t="s">
        <v>1839</v>
      </c>
      <c r="F687" s="47" t="s">
        <v>1839</v>
      </c>
      <c r="G687" s="48">
        <v>3.5299999999999998E-2</v>
      </c>
      <c r="H687" s="48">
        <v>3.5299999999999998E-2</v>
      </c>
      <c r="I687" s="48">
        <v>5.3021920337084201E-2</v>
      </c>
      <c r="K687" s="62">
        <v>0</v>
      </c>
      <c r="M687" s="64"/>
      <c r="N687" s="64"/>
    </row>
    <row r="688" spans="1:14" x14ac:dyDescent="0.25">
      <c r="A688" s="45" t="s">
        <v>756</v>
      </c>
      <c r="B688" s="46">
        <v>4009.95</v>
      </c>
      <c r="C688" s="60">
        <v>0.21</v>
      </c>
      <c r="D688" s="47" t="s">
        <v>1839</v>
      </c>
      <c r="E688" s="47" t="s">
        <v>1839</v>
      </c>
      <c r="F688" s="47" t="s">
        <v>1839</v>
      </c>
      <c r="G688" s="48">
        <v>3.5299999999999998E-2</v>
      </c>
      <c r="H688" s="48">
        <v>3.5299999999999998E-2</v>
      </c>
      <c r="I688" s="48">
        <v>5.1285441883601388E-2</v>
      </c>
      <c r="K688" s="62">
        <v>0</v>
      </c>
      <c r="M688" s="64"/>
      <c r="N688" s="64"/>
    </row>
    <row r="689" spans="1:14" x14ac:dyDescent="0.25">
      <c r="A689" s="45" t="s">
        <v>757</v>
      </c>
      <c r="B689" s="46">
        <v>4470.8</v>
      </c>
      <c r="C689" s="60">
        <v>0.21</v>
      </c>
      <c r="D689" s="47" t="s">
        <v>1839</v>
      </c>
      <c r="E689" s="47" t="s">
        <v>1839</v>
      </c>
      <c r="F689" s="47" t="s">
        <v>1839</v>
      </c>
      <c r="G689" s="48">
        <v>0.16009999999999999</v>
      </c>
      <c r="H689" s="48">
        <v>0.16009999999999999</v>
      </c>
      <c r="I689" s="48">
        <v>0.23612161425659881</v>
      </c>
      <c r="K689" s="62">
        <v>0</v>
      </c>
      <c r="M689" s="64"/>
      <c r="N689" s="64"/>
    </row>
    <row r="690" spans="1:14" x14ac:dyDescent="0.25">
      <c r="A690" s="45" t="s">
        <v>758</v>
      </c>
      <c r="B690" s="46">
        <v>2431.62</v>
      </c>
      <c r="C690" s="60">
        <v>0.21</v>
      </c>
      <c r="D690" s="47" t="s">
        <v>1839</v>
      </c>
      <c r="E690" s="47" t="s">
        <v>1839</v>
      </c>
      <c r="F690" s="47" t="s">
        <v>1839</v>
      </c>
      <c r="G690" s="48">
        <v>0.1353</v>
      </c>
      <c r="H690" s="48">
        <v>0.1353</v>
      </c>
      <c r="I690" s="48">
        <v>0.1915805323307708</v>
      </c>
      <c r="K690" s="62">
        <v>0</v>
      </c>
      <c r="M690" s="64"/>
      <c r="N690" s="64"/>
    </row>
    <row r="691" spans="1:14" x14ac:dyDescent="0.25">
      <c r="A691" s="45" t="s">
        <v>759</v>
      </c>
      <c r="B691" s="46">
        <v>13768.94</v>
      </c>
      <c r="C691" s="60">
        <v>0.21</v>
      </c>
      <c r="D691" s="47" t="s">
        <v>1839</v>
      </c>
      <c r="E691" s="47" t="s">
        <v>1839</v>
      </c>
      <c r="F691" s="47" t="s">
        <v>1839</v>
      </c>
      <c r="G691" s="48">
        <v>0.1603</v>
      </c>
      <c r="H691" s="48">
        <v>0.1603</v>
      </c>
      <c r="I691" s="48">
        <v>0.21358560548838729</v>
      </c>
      <c r="K691" s="62">
        <v>0</v>
      </c>
      <c r="M691" s="64"/>
      <c r="N691" s="64"/>
    </row>
    <row r="692" spans="1:14" x14ac:dyDescent="0.25">
      <c r="A692" s="45" t="s">
        <v>760</v>
      </c>
      <c r="B692" s="46">
        <v>36995.85</v>
      </c>
      <c r="C692" s="60">
        <v>0.21</v>
      </c>
      <c r="D692" s="47" t="s">
        <v>1839</v>
      </c>
      <c r="E692" s="47" t="s">
        <v>1839</v>
      </c>
      <c r="F692" s="47" t="s">
        <v>1839</v>
      </c>
      <c r="G692" s="48">
        <v>0.15820000000000001</v>
      </c>
      <c r="H692" s="48">
        <v>0.15820000000000001</v>
      </c>
      <c r="I692" s="48">
        <v>0.20622056432528951</v>
      </c>
      <c r="K692" s="62">
        <v>0</v>
      </c>
      <c r="M692" s="64"/>
      <c r="N692" s="64"/>
    </row>
    <row r="693" spans="1:14" x14ac:dyDescent="0.25">
      <c r="A693" s="45" t="s">
        <v>761</v>
      </c>
      <c r="B693" s="46">
        <v>15938.34</v>
      </c>
      <c r="C693" s="60">
        <v>0.21</v>
      </c>
      <c r="D693" s="47" t="s">
        <v>1839</v>
      </c>
      <c r="E693" s="47" t="s">
        <v>1839</v>
      </c>
      <c r="F693" s="47" t="s">
        <v>1839</v>
      </c>
      <c r="G693" s="48">
        <v>3.5400000000000001E-2</v>
      </c>
      <c r="H693" s="48">
        <v>3.5400000000000001E-2</v>
      </c>
      <c r="I693" s="48">
        <v>5.2391573426921682E-2</v>
      </c>
      <c r="K693" s="62">
        <v>0</v>
      </c>
      <c r="M693" s="64"/>
      <c r="N693" s="64"/>
    </row>
    <row r="694" spans="1:14" x14ac:dyDescent="0.25">
      <c r="A694" s="45" t="s">
        <v>762</v>
      </c>
      <c r="B694" s="46">
        <v>15938.34</v>
      </c>
      <c r="C694" s="60">
        <v>0.21</v>
      </c>
      <c r="D694" s="47" t="s">
        <v>1839</v>
      </c>
      <c r="E694" s="47" t="s">
        <v>1839</v>
      </c>
      <c r="F694" s="47" t="s">
        <v>1839</v>
      </c>
      <c r="G694" s="48">
        <v>0.16170000000000001</v>
      </c>
      <c r="H694" s="48">
        <v>0.16170000000000001</v>
      </c>
      <c r="I694" s="48">
        <v>0.22212631695518451</v>
      </c>
      <c r="K694" s="62">
        <v>0</v>
      </c>
      <c r="M694" s="64"/>
      <c r="N694" s="64"/>
    </row>
    <row r="695" spans="1:14" x14ac:dyDescent="0.25">
      <c r="A695" s="45" t="s">
        <v>763</v>
      </c>
      <c r="B695" s="46">
        <v>8585.68</v>
      </c>
      <c r="C695" s="60">
        <v>0.21</v>
      </c>
      <c r="D695" s="47" t="s">
        <v>1839</v>
      </c>
      <c r="E695" s="47" t="s">
        <v>1839</v>
      </c>
      <c r="F695" s="47" t="s">
        <v>1839</v>
      </c>
      <c r="G695" s="48">
        <v>7.8299999999999995E-2</v>
      </c>
      <c r="H695" s="48">
        <v>7.8299999999999995E-2</v>
      </c>
      <c r="I695" s="48">
        <v>0.1196995655187687</v>
      </c>
      <c r="K695" s="62">
        <v>0</v>
      </c>
      <c r="M695" s="64"/>
      <c r="N695" s="64"/>
    </row>
    <row r="696" spans="1:14" x14ac:dyDescent="0.25">
      <c r="A696" s="45" t="s">
        <v>764</v>
      </c>
      <c r="B696" s="46">
        <v>8065.1100000000006</v>
      </c>
      <c r="C696" s="60">
        <v>0.21</v>
      </c>
      <c r="D696" s="47" t="s">
        <v>1839</v>
      </c>
      <c r="E696" s="47" t="s">
        <v>1839</v>
      </c>
      <c r="F696" s="47" t="s">
        <v>1839</v>
      </c>
      <c r="G696" s="48">
        <v>7.4899999999999994E-2</v>
      </c>
      <c r="H696" s="48">
        <v>7.4899999999999994E-2</v>
      </c>
      <c r="I696" s="48">
        <v>0.11779721221902149</v>
      </c>
      <c r="K696" s="62">
        <v>0</v>
      </c>
      <c r="M696" s="64"/>
      <c r="N696" s="64"/>
    </row>
    <row r="697" spans="1:14" x14ac:dyDescent="0.25">
      <c r="A697" s="45" t="s">
        <v>765</v>
      </c>
      <c r="B697" s="46">
        <v>10928.75</v>
      </c>
      <c r="C697" s="60">
        <v>0.21</v>
      </c>
      <c r="D697" s="47" t="s">
        <v>1839</v>
      </c>
      <c r="E697" s="47" t="s">
        <v>1839</v>
      </c>
      <c r="F697" s="47" t="s">
        <v>1839</v>
      </c>
      <c r="G697" s="48">
        <v>6.7199999999999996E-2</v>
      </c>
      <c r="H697" s="48">
        <v>6.7199999999999996E-2</v>
      </c>
      <c r="I697" s="48">
        <v>0.10456615240120989</v>
      </c>
      <c r="K697" s="62">
        <v>0</v>
      </c>
      <c r="M697" s="64"/>
      <c r="N697" s="64"/>
    </row>
    <row r="698" spans="1:14" x14ac:dyDescent="0.25">
      <c r="A698" s="45" t="s">
        <v>766</v>
      </c>
      <c r="B698" s="46">
        <v>45442.97</v>
      </c>
      <c r="C698" s="60">
        <v>0.21</v>
      </c>
      <c r="D698" s="47" t="s">
        <v>1839</v>
      </c>
      <c r="E698" s="47" t="s">
        <v>1839</v>
      </c>
      <c r="F698" s="47" t="s">
        <v>1839</v>
      </c>
      <c r="G698" s="48">
        <v>0.11609999999999999</v>
      </c>
      <c r="H698" s="48">
        <v>0.11609999999999999</v>
      </c>
      <c r="I698" s="48">
        <v>0.1701087432077025</v>
      </c>
      <c r="K698" s="62">
        <v>0</v>
      </c>
      <c r="M698" s="64"/>
      <c r="N698" s="64"/>
    </row>
    <row r="699" spans="1:14" x14ac:dyDescent="0.25">
      <c r="A699" s="45" t="s">
        <v>767</v>
      </c>
      <c r="B699" s="46">
        <v>43848.36</v>
      </c>
      <c r="C699" s="60">
        <v>0.21</v>
      </c>
      <c r="D699" s="47" t="s">
        <v>1839</v>
      </c>
      <c r="E699" s="47" t="s">
        <v>1839</v>
      </c>
      <c r="F699" s="47" t="s">
        <v>1839</v>
      </c>
      <c r="G699" s="48">
        <v>6.2700000000000006E-2</v>
      </c>
      <c r="H699" s="48">
        <v>6.2700000000000006E-2</v>
      </c>
      <c r="I699" s="48">
        <v>8.7881912507940405E-2</v>
      </c>
      <c r="K699" s="62">
        <v>0</v>
      </c>
      <c r="M699" s="64"/>
      <c r="N699" s="64"/>
    </row>
    <row r="700" spans="1:14" x14ac:dyDescent="0.25">
      <c r="A700" s="45" t="s">
        <v>768</v>
      </c>
      <c r="B700" s="46">
        <v>57404.51</v>
      </c>
      <c r="C700" s="60">
        <v>0.21</v>
      </c>
      <c r="D700" s="47" t="s">
        <v>1839</v>
      </c>
      <c r="E700" s="47" t="s">
        <v>1839</v>
      </c>
      <c r="F700" s="47" t="s">
        <v>1839</v>
      </c>
      <c r="G700" s="48">
        <v>0.1221</v>
      </c>
      <c r="H700" s="48">
        <v>0.1221</v>
      </c>
      <c r="I700" s="48">
        <v>0.1770946335957175</v>
      </c>
      <c r="K700" s="62">
        <v>0</v>
      </c>
      <c r="M700" s="64"/>
      <c r="N700" s="64"/>
    </row>
    <row r="701" spans="1:14" x14ac:dyDescent="0.25">
      <c r="A701" s="45" t="s">
        <v>769</v>
      </c>
      <c r="B701" s="46">
        <v>1009.31</v>
      </c>
      <c r="C701" s="60">
        <v>0.21</v>
      </c>
      <c r="D701" s="47" t="s">
        <v>1839</v>
      </c>
      <c r="E701" s="47" t="s">
        <v>1839</v>
      </c>
      <c r="F701" s="47" t="s">
        <v>1839</v>
      </c>
      <c r="G701" s="48">
        <v>0.16350000000000001</v>
      </c>
      <c r="H701" s="48">
        <v>0.16350000000000001</v>
      </c>
      <c r="I701" s="48">
        <v>0.2365197208184712</v>
      </c>
      <c r="K701" s="62">
        <v>0</v>
      </c>
      <c r="M701" s="64"/>
      <c r="N701" s="64"/>
    </row>
    <row r="702" spans="1:14" x14ac:dyDescent="0.25">
      <c r="A702" s="45" t="s">
        <v>770</v>
      </c>
      <c r="B702" s="46">
        <v>10900.67</v>
      </c>
      <c r="C702" s="60">
        <v>0.21</v>
      </c>
      <c r="D702" s="47" t="s">
        <v>1839</v>
      </c>
      <c r="E702" s="47" t="s">
        <v>1839</v>
      </c>
      <c r="F702" s="47" t="s">
        <v>1839</v>
      </c>
      <c r="G702" s="48">
        <v>7.6999999999999999E-2</v>
      </c>
      <c r="H702" s="48">
        <v>7.6999999999999999E-2</v>
      </c>
      <c r="I702" s="48">
        <v>0.11297190450623559</v>
      </c>
      <c r="K702" s="62">
        <v>0</v>
      </c>
      <c r="M702" s="64"/>
      <c r="N702" s="64"/>
    </row>
    <row r="703" spans="1:14" x14ac:dyDescent="0.25">
      <c r="A703" s="45" t="s">
        <v>771</v>
      </c>
      <c r="B703" s="46">
        <v>11428.29</v>
      </c>
      <c r="C703" s="60">
        <v>0.21</v>
      </c>
      <c r="D703" s="47" t="s">
        <v>1839</v>
      </c>
      <c r="E703" s="47" t="s">
        <v>1839</v>
      </c>
      <c r="F703" s="47" t="s">
        <v>1839</v>
      </c>
      <c r="G703" s="48">
        <v>4.9599999999999998E-2</v>
      </c>
      <c r="H703" s="48">
        <v>4.9599999999999998E-2</v>
      </c>
      <c r="I703" s="48">
        <v>7.5579747017671117E-2</v>
      </c>
      <c r="K703" s="62">
        <v>0</v>
      </c>
      <c r="M703" s="64"/>
      <c r="N703" s="64"/>
    </row>
    <row r="704" spans="1:14" x14ac:dyDescent="0.25">
      <c r="A704" s="45" t="s">
        <v>772</v>
      </c>
      <c r="B704" s="46">
        <v>467.85</v>
      </c>
      <c r="C704" s="60">
        <v>0.21</v>
      </c>
      <c r="D704" s="47" t="s">
        <v>1839</v>
      </c>
      <c r="E704" s="47" t="s">
        <v>1839</v>
      </c>
      <c r="F704" s="47" t="s">
        <v>1839</v>
      </c>
      <c r="G704" s="48">
        <v>3.9E-2</v>
      </c>
      <c r="H704" s="48">
        <v>3.9E-2</v>
      </c>
      <c r="I704" s="48">
        <v>0.17428082191780819</v>
      </c>
      <c r="K704" s="62">
        <v>0</v>
      </c>
      <c r="M704" s="64"/>
      <c r="N704" s="64"/>
    </row>
    <row r="705" spans="1:14" x14ac:dyDescent="0.25">
      <c r="A705" s="45" t="s">
        <v>773</v>
      </c>
      <c r="B705" s="46">
        <v>8477.86</v>
      </c>
      <c r="C705" s="60">
        <v>0.21</v>
      </c>
      <c r="D705" s="47" t="s">
        <v>1839</v>
      </c>
      <c r="E705" s="47" t="s">
        <v>1839</v>
      </c>
      <c r="F705" s="47" t="s">
        <v>1839</v>
      </c>
      <c r="G705" s="48">
        <v>0.1996</v>
      </c>
      <c r="H705" s="48">
        <v>0.1996</v>
      </c>
      <c r="I705" s="48">
        <v>0.28188914798345238</v>
      </c>
      <c r="K705" s="62">
        <v>0</v>
      </c>
      <c r="M705" s="64"/>
      <c r="N705" s="64"/>
    </row>
    <row r="706" spans="1:14" x14ac:dyDescent="0.25">
      <c r="A706" s="45" t="s">
        <v>774</v>
      </c>
      <c r="B706" s="46">
        <v>8477.86</v>
      </c>
      <c r="C706" s="60">
        <v>0.21</v>
      </c>
      <c r="D706" s="47" t="s">
        <v>1839</v>
      </c>
      <c r="E706" s="47" t="s">
        <v>1839</v>
      </c>
      <c r="F706" s="47" t="s">
        <v>1839</v>
      </c>
      <c r="G706" s="48">
        <v>0.1996</v>
      </c>
      <c r="H706" s="48">
        <v>0.1996</v>
      </c>
      <c r="I706" s="48">
        <v>0.2756245136121227</v>
      </c>
      <c r="K706" s="62">
        <v>0</v>
      </c>
      <c r="M706" s="64"/>
      <c r="N706" s="64"/>
    </row>
    <row r="707" spans="1:14" x14ac:dyDescent="0.25">
      <c r="A707" s="45" t="s">
        <v>775</v>
      </c>
      <c r="B707" s="46">
        <v>17043.75</v>
      </c>
      <c r="C707" s="60">
        <v>0.21</v>
      </c>
      <c r="D707" s="47" t="s">
        <v>1839</v>
      </c>
      <c r="E707" s="47" t="s">
        <v>1839</v>
      </c>
      <c r="F707" s="47" t="s">
        <v>1839</v>
      </c>
      <c r="G707" s="48">
        <v>0.24390000000000001</v>
      </c>
      <c r="H707" s="48">
        <v>0.24390000000000001</v>
      </c>
      <c r="I707" s="48">
        <v>0.31541516304080441</v>
      </c>
      <c r="K707" s="62">
        <v>0</v>
      </c>
      <c r="M707" s="64"/>
      <c r="N707" s="64"/>
    </row>
    <row r="708" spans="1:14" x14ac:dyDescent="0.25">
      <c r="A708" s="45" t="s">
        <v>776</v>
      </c>
      <c r="B708" s="46">
        <v>10655.95</v>
      </c>
      <c r="C708" s="60">
        <v>0.21</v>
      </c>
      <c r="D708" s="47" t="s">
        <v>1839</v>
      </c>
      <c r="E708" s="47" t="s">
        <v>1839</v>
      </c>
      <c r="F708" s="47" t="s">
        <v>1839</v>
      </c>
      <c r="G708" s="48">
        <v>0.214</v>
      </c>
      <c r="H708" s="48">
        <v>0.214</v>
      </c>
      <c r="I708" s="48">
        <v>0.28804254458790651</v>
      </c>
      <c r="K708" s="62">
        <v>0</v>
      </c>
      <c r="M708" s="64"/>
      <c r="N708" s="64"/>
    </row>
    <row r="709" spans="1:14" x14ac:dyDescent="0.25">
      <c r="A709" s="45" t="s">
        <v>777</v>
      </c>
      <c r="B709" s="46">
        <v>16332.52</v>
      </c>
      <c r="C709" s="60">
        <v>0.21</v>
      </c>
      <c r="D709" s="47" t="s">
        <v>1839</v>
      </c>
      <c r="E709" s="47" t="s">
        <v>1839</v>
      </c>
      <c r="F709" s="47" t="s">
        <v>1839</v>
      </c>
      <c r="G709" s="48">
        <v>0.23860000000000001</v>
      </c>
      <c r="H709" s="48">
        <v>0.23860000000000001</v>
      </c>
      <c r="I709" s="48">
        <v>0.30859443188747998</v>
      </c>
      <c r="K709" s="62">
        <v>0</v>
      </c>
      <c r="M709" s="64"/>
      <c r="N709" s="64"/>
    </row>
    <row r="710" spans="1:14" x14ac:dyDescent="0.25">
      <c r="A710" s="45" t="s">
        <v>778</v>
      </c>
      <c r="B710" s="46">
        <v>8019.3</v>
      </c>
      <c r="C710" s="60">
        <v>0.21</v>
      </c>
      <c r="D710" s="47" t="s">
        <v>1839</v>
      </c>
      <c r="E710" s="47" t="s">
        <v>1839</v>
      </c>
      <c r="F710" s="47" t="s">
        <v>1839</v>
      </c>
      <c r="G710" s="48">
        <v>0.23519999999999999</v>
      </c>
      <c r="H710" s="48">
        <v>0.23519999999999999</v>
      </c>
      <c r="I710" s="48">
        <v>0.31622144244822958</v>
      </c>
      <c r="K710" s="62">
        <v>0</v>
      </c>
      <c r="M710" s="64"/>
      <c r="N710" s="64"/>
    </row>
    <row r="711" spans="1:14" x14ac:dyDescent="0.25">
      <c r="A711" s="45" t="s">
        <v>779</v>
      </c>
      <c r="B711" s="46">
        <v>17592.16</v>
      </c>
      <c r="C711" s="60">
        <v>0.21</v>
      </c>
      <c r="D711" s="47" t="s">
        <v>1839</v>
      </c>
      <c r="E711" s="47" t="s">
        <v>1839</v>
      </c>
      <c r="F711" s="47" t="s">
        <v>1839</v>
      </c>
      <c r="G711" s="48">
        <v>0.25929999999999997</v>
      </c>
      <c r="H711" s="48">
        <v>0.25929999999999997</v>
      </c>
      <c r="I711" s="48">
        <v>0.32528577793000701</v>
      </c>
      <c r="K711" s="62">
        <v>0</v>
      </c>
      <c r="M711" s="64"/>
      <c r="N711" s="64"/>
    </row>
    <row r="712" spans="1:14" x14ac:dyDescent="0.25">
      <c r="A712" s="45" t="s">
        <v>780</v>
      </c>
      <c r="B712" s="46">
        <v>2644.71</v>
      </c>
      <c r="C712" s="60">
        <v>0.21</v>
      </c>
      <c r="D712" s="47" t="s">
        <v>1839</v>
      </c>
      <c r="E712" s="47" t="s">
        <v>1839</v>
      </c>
      <c r="F712" s="47" t="s">
        <v>1839</v>
      </c>
      <c r="G712" s="48">
        <v>3.5299999999999998E-2</v>
      </c>
      <c r="H712" s="48">
        <v>3.5299999999999998E-2</v>
      </c>
      <c r="I712" s="48">
        <v>5.3012770713224563E-2</v>
      </c>
      <c r="K712" s="62">
        <v>0</v>
      </c>
      <c r="M712" s="64"/>
      <c r="N712" s="64"/>
    </row>
    <row r="713" spans="1:14" x14ac:dyDescent="0.25">
      <c r="A713" s="45" t="s">
        <v>781</v>
      </c>
      <c r="B713" s="46">
        <v>2644.71</v>
      </c>
      <c r="C713" s="60">
        <v>0.21</v>
      </c>
      <c r="D713" s="47" t="s">
        <v>1839</v>
      </c>
      <c r="E713" s="47" t="s">
        <v>1839</v>
      </c>
      <c r="F713" s="47" t="s">
        <v>1839</v>
      </c>
      <c r="G713" s="48">
        <v>0.15709999999999999</v>
      </c>
      <c r="H713" s="48">
        <v>0.15709999999999999</v>
      </c>
      <c r="I713" s="48">
        <v>0.21510001928576991</v>
      </c>
      <c r="K713" s="62">
        <v>0</v>
      </c>
      <c r="M713" s="64"/>
      <c r="N713" s="64"/>
    </row>
    <row r="714" spans="1:14" x14ac:dyDescent="0.25">
      <c r="A714" s="45" t="s">
        <v>782</v>
      </c>
      <c r="B714" s="46">
        <v>2644.71</v>
      </c>
      <c r="C714" s="60">
        <v>0.21</v>
      </c>
      <c r="D714" s="47" t="s">
        <v>1839</v>
      </c>
      <c r="E714" s="47" t="s">
        <v>1839</v>
      </c>
      <c r="F714" s="47" t="s">
        <v>1839</v>
      </c>
      <c r="G714" s="48">
        <v>0.17510000000000001</v>
      </c>
      <c r="H714" s="48">
        <v>0.17510000000000001</v>
      </c>
      <c r="I714" s="48">
        <v>0.2370862205843437</v>
      </c>
      <c r="K714" s="62">
        <v>0</v>
      </c>
      <c r="M714" s="64"/>
      <c r="N714" s="64"/>
    </row>
    <row r="715" spans="1:14" x14ac:dyDescent="0.25">
      <c r="A715" s="45" t="s">
        <v>783</v>
      </c>
      <c r="B715" s="46">
        <v>2644.71</v>
      </c>
      <c r="C715" s="60">
        <v>0.21</v>
      </c>
      <c r="D715" s="47" t="s">
        <v>1839</v>
      </c>
      <c r="E715" s="47" t="s">
        <v>1839</v>
      </c>
      <c r="F715" s="47" t="s">
        <v>1839</v>
      </c>
      <c r="G715" s="48">
        <v>0.121</v>
      </c>
      <c r="H715" s="48">
        <v>0.121</v>
      </c>
      <c r="I715" s="48">
        <v>0.1690226464617007</v>
      </c>
      <c r="K715" s="62">
        <v>0</v>
      </c>
      <c r="M715" s="64"/>
      <c r="N715" s="64"/>
    </row>
    <row r="716" spans="1:14" x14ac:dyDescent="0.25">
      <c r="A716" s="45" t="s">
        <v>784</v>
      </c>
      <c r="B716" s="46">
        <v>2644.71</v>
      </c>
      <c r="C716" s="60">
        <v>0.21</v>
      </c>
      <c r="D716" s="47" t="s">
        <v>1839</v>
      </c>
      <c r="E716" s="47" t="s">
        <v>1839</v>
      </c>
      <c r="F716" s="47" t="s">
        <v>1839</v>
      </c>
      <c r="G716" s="48">
        <v>0.1293</v>
      </c>
      <c r="H716" s="48">
        <v>0.1293</v>
      </c>
      <c r="I716" s="48">
        <v>0.1792926116483062</v>
      </c>
      <c r="K716" s="62">
        <v>0</v>
      </c>
      <c r="M716" s="64"/>
      <c r="N716" s="64"/>
    </row>
    <row r="717" spans="1:14" x14ac:dyDescent="0.25">
      <c r="A717" s="45" t="s">
        <v>785</v>
      </c>
      <c r="B717" s="46">
        <v>2805.96</v>
      </c>
      <c r="C717" s="60">
        <v>0.21</v>
      </c>
      <c r="D717" s="47" t="s">
        <v>1839</v>
      </c>
      <c r="E717" s="47" t="s">
        <v>1839</v>
      </c>
      <c r="F717" s="47" t="s">
        <v>1839</v>
      </c>
      <c r="G717" s="48">
        <v>4.4299999999999999E-2</v>
      </c>
      <c r="H717" s="48">
        <v>4.4299999999999999E-2</v>
      </c>
      <c r="I717" s="48">
        <v>6.4290413794844598E-2</v>
      </c>
      <c r="K717" s="62">
        <v>0</v>
      </c>
      <c r="M717" s="64"/>
      <c r="N717" s="64"/>
    </row>
    <row r="718" spans="1:14" x14ac:dyDescent="0.25">
      <c r="A718" s="45" t="s">
        <v>786</v>
      </c>
      <c r="B718" s="46">
        <v>2805.96</v>
      </c>
      <c r="C718" s="60">
        <v>0.21</v>
      </c>
      <c r="D718" s="47" t="s">
        <v>1839</v>
      </c>
      <c r="E718" s="47" t="s">
        <v>1839</v>
      </c>
      <c r="F718" s="47" t="s">
        <v>1839</v>
      </c>
      <c r="G718" s="48">
        <v>0.1772</v>
      </c>
      <c r="H718" s="48">
        <v>0.1772</v>
      </c>
      <c r="I718" s="48">
        <v>0.23918942081519531</v>
      </c>
      <c r="K718" s="62">
        <v>0</v>
      </c>
      <c r="M718" s="64"/>
      <c r="N718" s="64"/>
    </row>
    <row r="719" spans="1:14" x14ac:dyDescent="0.25">
      <c r="A719" s="45" t="s">
        <v>787</v>
      </c>
      <c r="B719" s="46">
        <v>2399.3200000000002</v>
      </c>
      <c r="C719" s="60">
        <v>0.21</v>
      </c>
      <c r="D719" s="47" t="s">
        <v>1839</v>
      </c>
      <c r="E719" s="47" t="s">
        <v>1839</v>
      </c>
      <c r="F719" s="47" t="s">
        <v>1839</v>
      </c>
      <c r="G719" s="48">
        <v>3.5299999999999998E-2</v>
      </c>
      <c r="H719" s="48">
        <v>3.5299999999999998E-2</v>
      </c>
      <c r="I719" s="48">
        <v>5.2287351136773727E-2</v>
      </c>
      <c r="K719" s="62">
        <v>0</v>
      </c>
      <c r="M719" s="64"/>
      <c r="N719" s="64"/>
    </row>
    <row r="720" spans="1:14" x14ac:dyDescent="0.25">
      <c r="A720" s="45" t="s">
        <v>788</v>
      </c>
      <c r="B720" s="46">
        <v>3002.2700000000004</v>
      </c>
      <c r="C720" s="60">
        <v>0.21</v>
      </c>
      <c r="D720" s="47" t="s">
        <v>1839</v>
      </c>
      <c r="E720" s="47" t="s">
        <v>1839</v>
      </c>
      <c r="F720" s="47" t="s">
        <v>1839</v>
      </c>
      <c r="G720" s="48">
        <v>0.1794</v>
      </c>
      <c r="H720" s="48">
        <v>0.1794</v>
      </c>
      <c r="I720" s="48">
        <v>0.2413867562790554</v>
      </c>
      <c r="K720" s="62">
        <v>0</v>
      </c>
      <c r="M720" s="64"/>
      <c r="N720" s="64"/>
    </row>
    <row r="721" spans="1:14" x14ac:dyDescent="0.25">
      <c r="A721" s="45" t="s">
        <v>789</v>
      </c>
      <c r="B721" s="46">
        <v>3002.2700000000004</v>
      </c>
      <c r="C721" s="60">
        <v>0.21</v>
      </c>
      <c r="D721" s="47" t="s">
        <v>1839</v>
      </c>
      <c r="E721" s="47" t="s">
        <v>1839</v>
      </c>
      <c r="F721" s="47" t="s">
        <v>1839</v>
      </c>
      <c r="G721" s="48">
        <v>0.1794</v>
      </c>
      <c r="H721" s="48">
        <v>0.1794</v>
      </c>
      <c r="I721" s="48">
        <v>0.2413867562790554</v>
      </c>
      <c r="K721" s="62">
        <v>0</v>
      </c>
      <c r="M721" s="64"/>
      <c r="N721" s="64"/>
    </row>
    <row r="722" spans="1:14" x14ac:dyDescent="0.25">
      <c r="A722" s="45" t="s">
        <v>790</v>
      </c>
      <c r="B722" s="46">
        <v>3589.6400000000003</v>
      </c>
      <c r="C722" s="60">
        <v>0.21</v>
      </c>
      <c r="D722" s="47" t="s">
        <v>1839</v>
      </c>
      <c r="E722" s="47" t="s">
        <v>1839</v>
      </c>
      <c r="F722" s="47" t="s">
        <v>1839</v>
      </c>
      <c r="G722" s="48">
        <v>0.13830000000000001</v>
      </c>
      <c r="H722" s="48">
        <v>0.13830000000000001</v>
      </c>
      <c r="I722" s="48">
        <v>0.2206270414484941</v>
      </c>
      <c r="K722" s="62">
        <v>0</v>
      </c>
      <c r="M722" s="64"/>
      <c r="N722" s="64"/>
    </row>
    <row r="723" spans="1:14" x14ac:dyDescent="0.25">
      <c r="A723" s="45" t="s">
        <v>791</v>
      </c>
      <c r="B723" s="46">
        <v>3589.6400000000003</v>
      </c>
      <c r="C723" s="60">
        <v>0.21</v>
      </c>
      <c r="D723" s="47" t="s">
        <v>1839</v>
      </c>
      <c r="E723" s="47" t="s">
        <v>1839</v>
      </c>
      <c r="F723" s="47" t="s">
        <v>1839</v>
      </c>
      <c r="G723" s="48">
        <v>0.18459999999999999</v>
      </c>
      <c r="H723" s="48">
        <v>0.18459999999999999</v>
      </c>
      <c r="I723" s="48">
        <v>0.24658367717725371</v>
      </c>
      <c r="K723" s="62">
        <v>0</v>
      </c>
      <c r="M723" s="64"/>
      <c r="N723" s="64"/>
    </row>
    <row r="724" spans="1:14" x14ac:dyDescent="0.25">
      <c r="A724" s="45" t="s">
        <v>792</v>
      </c>
      <c r="B724" s="46">
        <v>5837.83</v>
      </c>
      <c r="C724" s="60">
        <v>0.21</v>
      </c>
      <c r="D724" s="47" t="s">
        <v>1839</v>
      </c>
      <c r="E724" s="47" t="s">
        <v>1839</v>
      </c>
      <c r="F724" s="47" t="s">
        <v>1839</v>
      </c>
      <c r="G724" s="48">
        <v>0.155</v>
      </c>
      <c r="H724" s="48">
        <v>0.155</v>
      </c>
      <c r="I724" s="48">
        <v>0.2310231211897168</v>
      </c>
      <c r="K724" s="62">
        <v>0</v>
      </c>
      <c r="M724" s="64"/>
      <c r="N724" s="64"/>
    </row>
    <row r="725" spans="1:14" x14ac:dyDescent="0.25">
      <c r="A725" s="45" t="s">
        <v>793</v>
      </c>
      <c r="B725" s="46">
        <v>5837.83</v>
      </c>
      <c r="C725" s="60">
        <v>0.21</v>
      </c>
      <c r="D725" s="47" t="s">
        <v>1839</v>
      </c>
      <c r="E725" s="47" t="s">
        <v>1839</v>
      </c>
      <c r="F725" s="47" t="s">
        <v>1839</v>
      </c>
      <c r="G725" s="48">
        <v>0.1658</v>
      </c>
      <c r="H725" s="48">
        <v>0.1658</v>
      </c>
      <c r="I725" s="48">
        <v>0.24482369125553</v>
      </c>
      <c r="K725" s="62">
        <v>0</v>
      </c>
      <c r="M725" s="64"/>
      <c r="N725" s="64"/>
    </row>
    <row r="726" spans="1:14" x14ac:dyDescent="0.25">
      <c r="A726" s="45" t="s">
        <v>794</v>
      </c>
      <c r="B726" s="46">
        <v>4363.18</v>
      </c>
      <c r="C726" s="60">
        <v>0.21</v>
      </c>
      <c r="D726" s="47" t="s">
        <v>1839</v>
      </c>
      <c r="E726" s="47" t="s">
        <v>1839</v>
      </c>
      <c r="F726" s="47" t="s">
        <v>1839</v>
      </c>
      <c r="G726" s="48">
        <v>0.12429999999999999</v>
      </c>
      <c r="H726" s="48">
        <v>0.12429999999999999</v>
      </c>
      <c r="I726" s="48">
        <v>0.17028202752725391</v>
      </c>
      <c r="K726" s="62">
        <v>0</v>
      </c>
      <c r="M726" s="64"/>
      <c r="N726" s="64"/>
    </row>
    <row r="727" spans="1:14" x14ac:dyDescent="0.25">
      <c r="A727" s="45" t="s">
        <v>795</v>
      </c>
      <c r="B727" s="46">
        <v>3002.2700000000004</v>
      </c>
      <c r="C727" s="60">
        <v>0.21</v>
      </c>
      <c r="D727" s="47" t="s">
        <v>1839</v>
      </c>
      <c r="E727" s="47" t="s">
        <v>1839</v>
      </c>
      <c r="F727" s="47" t="s">
        <v>1839</v>
      </c>
      <c r="G727" s="48">
        <v>0.1741</v>
      </c>
      <c r="H727" s="48">
        <v>0.1741</v>
      </c>
      <c r="I727" s="48">
        <v>0.2413867562790554</v>
      </c>
      <c r="K727" s="62">
        <v>0</v>
      </c>
      <c r="M727" s="64"/>
      <c r="N727" s="64"/>
    </row>
    <row r="728" spans="1:14" x14ac:dyDescent="0.25">
      <c r="A728" s="45" t="s">
        <v>796</v>
      </c>
      <c r="B728" s="46">
        <v>4363.18</v>
      </c>
      <c r="C728" s="60">
        <v>0.21</v>
      </c>
      <c r="D728" s="47" t="s">
        <v>1839</v>
      </c>
      <c r="E728" s="47" t="s">
        <v>1839</v>
      </c>
      <c r="F728" s="47" t="s">
        <v>1839</v>
      </c>
      <c r="G728" s="48">
        <v>7.4300000000000005E-2</v>
      </c>
      <c r="H728" s="48">
        <v>7.4300000000000005E-2</v>
      </c>
      <c r="I728" s="48">
        <v>0.1042900259329702</v>
      </c>
      <c r="K728" s="62">
        <v>0</v>
      </c>
      <c r="M728" s="64"/>
      <c r="N728" s="64"/>
    </row>
    <row r="729" spans="1:14" x14ac:dyDescent="0.25">
      <c r="A729" s="45" t="s">
        <v>797</v>
      </c>
      <c r="B729" s="46">
        <v>4363.18</v>
      </c>
      <c r="C729" s="60">
        <v>0.21</v>
      </c>
      <c r="D729" s="47" t="s">
        <v>1839</v>
      </c>
      <c r="E729" s="47" t="s">
        <v>1839</v>
      </c>
      <c r="F729" s="47" t="s">
        <v>1839</v>
      </c>
      <c r="G729" s="48">
        <v>0.13009999999999999</v>
      </c>
      <c r="H729" s="48">
        <v>0.13009999999999999</v>
      </c>
      <c r="I729" s="48">
        <v>0.17708761619816871</v>
      </c>
      <c r="K729" s="62">
        <v>0</v>
      </c>
      <c r="M729" s="64"/>
      <c r="N729" s="64"/>
    </row>
    <row r="730" spans="1:14" x14ac:dyDescent="0.25">
      <c r="A730" s="45" t="s">
        <v>798</v>
      </c>
      <c r="B730" s="46">
        <v>4363.18</v>
      </c>
      <c r="C730" s="60">
        <v>0.21</v>
      </c>
      <c r="D730" s="47" t="s">
        <v>1839</v>
      </c>
      <c r="E730" s="47" t="s">
        <v>1839</v>
      </c>
      <c r="F730" s="47" t="s">
        <v>1839</v>
      </c>
      <c r="G730" s="48">
        <v>5.3999999999999999E-2</v>
      </c>
      <c r="H730" s="48">
        <v>5.3999999999999999E-2</v>
      </c>
      <c r="I730" s="48">
        <v>7.7020298315529465E-2</v>
      </c>
      <c r="K730" s="62">
        <v>0</v>
      </c>
      <c r="M730" s="64"/>
      <c r="N730" s="64"/>
    </row>
    <row r="731" spans="1:14" x14ac:dyDescent="0.25">
      <c r="A731" s="45" t="s">
        <v>799</v>
      </c>
      <c r="B731" s="46">
        <v>4363.18</v>
      </c>
      <c r="C731" s="60">
        <v>0.21</v>
      </c>
      <c r="D731" s="47" t="s">
        <v>1839</v>
      </c>
      <c r="E731" s="47" t="s">
        <v>1839</v>
      </c>
      <c r="F731" s="47" t="s">
        <v>1839</v>
      </c>
      <c r="G731" s="48">
        <v>0.2407</v>
      </c>
      <c r="H731" s="48">
        <v>0.2407</v>
      </c>
      <c r="I731" s="48">
        <v>0.34666256362001779</v>
      </c>
      <c r="K731" s="62">
        <v>0</v>
      </c>
      <c r="M731" s="64"/>
      <c r="N731" s="64"/>
    </row>
    <row r="732" spans="1:14" x14ac:dyDescent="0.25">
      <c r="A732" s="45" t="s">
        <v>800</v>
      </c>
      <c r="B732" s="46">
        <v>4363.18</v>
      </c>
      <c r="C732" s="60">
        <v>0.21</v>
      </c>
      <c r="D732" s="47" t="s">
        <v>1839</v>
      </c>
      <c r="E732" s="47" t="s">
        <v>1839</v>
      </c>
      <c r="F732" s="47" t="s">
        <v>1839</v>
      </c>
      <c r="G732" s="48">
        <v>4.4299999999999999E-2</v>
      </c>
      <c r="H732" s="48">
        <v>4.4299999999999999E-2</v>
      </c>
      <c r="I732" s="48">
        <v>6.3284776461137435E-2</v>
      </c>
      <c r="K732" s="62">
        <v>0</v>
      </c>
      <c r="M732" s="64"/>
      <c r="N732" s="64"/>
    </row>
    <row r="733" spans="1:14" x14ac:dyDescent="0.25">
      <c r="A733" s="45" t="s">
        <v>801</v>
      </c>
      <c r="B733" s="46">
        <v>4363.18</v>
      </c>
      <c r="C733" s="60">
        <v>0.21</v>
      </c>
      <c r="D733" s="47" t="s">
        <v>1839</v>
      </c>
      <c r="E733" s="47" t="s">
        <v>1839</v>
      </c>
      <c r="F733" s="47" t="s">
        <v>1839</v>
      </c>
      <c r="G733" s="48">
        <v>4.3999999999999997E-2</v>
      </c>
      <c r="H733" s="48">
        <v>4.3999999999999997E-2</v>
      </c>
      <c r="I733" s="48">
        <v>6.3020317327073333E-2</v>
      </c>
      <c r="K733" s="62">
        <v>0</v>
      </c>
      <c r="M733" s="64"/>
      <c r="N733" s="64"/>
    </row>
    <row r="734" spans="1:14" x14ac:dyDescent="0.25">
      <c r="A734" s="45" t="s">
        <v>802</v>
      </c>
      <c r="B734" s="46">
        <v>2805.96</v>
      </c>
      <c r="C734" s="60">
        <v>0.21</v>
      </c>
      <c r="D734" s="47" t="s">
        <v>1839</v>
      </c>
      <c r="E734" s="47" t="s">
        <v>1839</v>
      </c>
      <c r="F734" s="47" t="s">
        <v>1839</v>
      </c>
      <c r="G734" s="48">
        <v>0.1719</v>
      </c>
      <c r="H734" s="48">
        <v>0.1719</v>
      </c>
      <c r="I734" s="48">
        <v>0.23918942081519531</v>
      </c>
      <c r="K734" s="62">
        <v>0</v>
      </c>
      <c r="M734" s="64"/>
      <c r="N734" s="64"/>
    </row>
    <row r="735" spans="1:14" x14ac:dyDescent="0.25">
      <c r="A735" s="45" t="s">
        <v>803</v>
      </c>
      <c r="B735" s="46">
        <v>2805.96</v>
      </c>
      <c r="C735" s="60">
        <v>0.21</v>
      </c>
      <c r="D735" s="47" t="s">
        <v>1839</v>
      </c>
      <c r="E735" s="47" t="s">
        <v>1839</v>
      </c>
      <c r="F735" s="47" t="s">
        <v>1839</v>
      </c>
      <c r="G735" s="48">
        <v>0.1719</v>
      </c>
      <c r="H735" s="48">
        <v>0.1719</v>
      </c>
      <c r="I735" s="48">
        <v>0.23918942081519531</v>
      </c>
      <c r="K735" s="62">
        <v>0</v>
      </c>
      <c r="M735" s="64"/>
      <c r="N735" s="64"/>
    </row>
    <row r="736" spans="1:14" x14ac:dyDescent="0.25">
      <c r="A736" s="45" t="s">
        <v>804</v>
      </c>
      <c r="B736" s="46">
        <v>4363.18</v>
      </c>
      <c r="C736" s="60">
        <v>0.21</v>
      </c>
      <c r="D736" s="47" t="s">
        <v>1839</v>
      </c>
      <c r="E736" s="47" t="s">
        <v>1839</v>
      </c>
      <c r="F736" s="47" t="s">
        <v>1839</v>
      </c>
      <c r="G736" s="48">
        <v>0.11799999999999999</v>
      </c>
      <c r="H736" s="48">
        <v>0.11799999999999999</v>
      </c>
      <c r="I736" s="48">
        <v>0.1620146485841033</v>
      </c>
      <c r="K736" s="62">
        <v>0</v>
      </c>
      <c r="M736" s="64"/>
      <c r="N736" s="64"/>
    </row>
    <row r="737" spans="1:14" x14ac:dyDescent="0.25">
      <c r="A737" s="45" t="s">
        <v>805</v>
      </c>
      <c r="B737" s="46">
        <v>4363.18</v>
      </c>
      <c r="C737" s="60">
        <v>0.21</v>
      </c>
      <c r="D737" s="47" t="s">
        <v>1839</v>
      </c>
      <c r="E737" s="47" t="s">
        <v>1839</v>
      </c>
      <c r="F737" s="47" t="s">
        <v>1839</v>
      </c>
      <c r="G737" s="48">
        <v>0.124</v>
      </c>
      <c r="H737" s="48">
        <v>0.124</v>
      </c>
      <c r="I737" s="48">
        <v>0.17001623083614589</v>
      </c>
      <c r="K737" s="62">
        <v>0</v>
      </c>
      <c r="M737" s="64"/>
      <c r="N737" s="64"/>
    </row>
    <row r="738" spans="1:14" x14ac:dyDescent="0.25">
      <c r="A738" s="45" t="s">
        <v>806</v>
      </c>
      <c r="B738" s="46">
        <v>2805.96</v>
      </c>
      <c r="C738" s="60">
        <v>0.21</v>
      </c>
      <c r="D738" s="47" t="s">
        <v>1839</v>
      </c>
      <c r="E738" s="47" t="s">
        <v>1839</v>
      </c>
      <c r="F738" s="47" t="s">
        <v>1839</v>
      </c>
      <c r="G738" s="48">
        <v>0.1719</v>
      </c>
      <c r="H738" s="48">
        <v>0.1719</v>
      </c>
      <c r="I738" s="48">
        <v>0.23292286331954229</v>
      </c>
      <c r="K738" s="62">
        <v>0</v>
      </c>
      <c r="M738" s="64"/>
      <c r="N738" s="64"/>
    </row>
    <row r="739" spans="1:14" x14ac:dyDescent="0.25">
      <c r="A739" s="45" t="s">
        <v>807</v>
      </c>
      <c r="B739" s="46">
        <v>2805.96</v>
      </c>
      <c r="C739" s="60">
        <v>0.21</v>
      </c>
      <c r="D739" s="47" t="s">
        <v>1839</v>
      </c>
      <c r="E739" s="47" t="s">
        <v>1839</v>
      </c>
      <c r="F739" s="47" t="s">
        <v>1839</v>
      </c>
      <c r="G739" s="48">
        <v>4.3999999999999997E-2</v>
      </c>
      <c r="H739" s="48">
        <v>4.3999999999999997E-2</v>
      </c>
      <c r="I739" s="48">
        <v>6.4023630678460106E-2</v>
      </c>
      <c r="K739" s="62">
        <v>0</v>
      </c>
      <c r="M739" s="64"/>
      <c r="N739" s="64"/>
    </row>
    <row r="740" spans="1:14" x14ac:dyDescent="0.25">
      <c r="A740" s="45" t="s">
        <v>808</v>
      </c>
      <c r="B740" s="46">
        <v>3820.2200000000003</v>
      </c>
      <c r="C740" s="60">
        <v>0.21</v>
      </c>
      <c r="D740" s="47" t="s">
        <v>1839</v>
      </c>
      <c r="E740" s="47" t="s">
        <v>1839</v>
      </c>
      <c r="F740" s="47" t="s">
        <v>1839</v>
      </c>
      <c r="G740" s="48">
        <v>0.1807</v>
      </c>
      <c r="H740" s="48">
        <v>0.1807</v>
      </c>
      <c r="I740" s="48">
        <v>0.24071938939027901</v>
      </c>
      <c r="K740" s="62">
        <v>0</v>
      </c>
      <c r="M740" s="64"/>
      <c r="N740" s="64"/>
    </row>
    <row r="741" spans="1:14" x14ac:dyDescent="0.25">
      <c r="A741" s="45" t="s">
        <v>809</v>
      </c>
      <c r="B741" s="46">
        <v>3820.2200000000003</v>
      </c>
      <c r="C741" s="60">
        <v>0.21</v>
      </c>
      <c r="D741" s="47" t="s">
        <v>1839</v>
      </c>
      <c r="E741" s="47" t="s">
        <v>1839</v>
      </c>
      <c r="F741" s="47" t="s">
        <v>1839</v>
      </c>
      <c r="G741" s="48">
        <v>0.1807</v>
      </c>
      <c r="H741" s="48">
        <v>0.1807</v>
      </c>
      <c r="I741" s="48">
        <v>0.24071938939027901</v>
      </c>
      <c r="K741" s="62">
        <v>0</v>
      </c>
      <c r="M741" s="64"/>
      <c r="N741" s="64"/>
    </row>
    <row r="742" spans="1:14" x14ac:dyDescent="0.25">
      <c r="A742" s="45" t="s">
        <v>810</v>
      </c>
      <c r="B742" s="46">
        <v>3820.2200000000003</v>
      </c>
      <c r="C742" s="60">
        <v>0.21</v>
      </c>
      <c r="D742" s="47" t="s">
        <v>1839</v>
      </c>
      <c r="E742" s="47" t="s">
        <v>1839</v>
      </c>
      <c r="F742" s="47" t="s">
        <v>1839</v>
      </c>
      <c r="G742" s="48">
        <v>0.1807</v>
      </c>
      <c r="H742" s="48">
        <v>0.1807</v>
      </c>
      <c r="I742" s="48">
        <v>0.24071938939027901</v>
      </c>
      <c r="K742" s="62">
        <v>0</v>
      </c>
      <c r="M742" s="64"/>
      <c r="N742" s="64"/>
    </row>
    <row r="743" spans="1:14" x14ac:dyDescent="0.25">
      <c r="A743" s="45" t="s">
        <v>811</v>
      </c>
      <c r="B743" s="46">
        <v>5837.83</v>
      </c>
      <c r="C743" s="60">
        <v>0.21</v>
      </c>
      <c r="D743" s="47" t="s">
        <v>1839</v>
      </c>
      <c r="E743" s="47" t="s">
        <v>1839</v>
      </c>
      <c r="F743" s="47" t="s">
        <v>1839</v>
      </c>
      <c r="G743" s="48">
        <v>0.1658</v>
      </c>
      <c r="H743" s="48">
        <v>0.1658</v>
      </c>
      <c r="I743" s="48">
        <v>0.24482369125553</v>
      </c>
      <c r="K743" s="62">
        <v>0</v>
      </c>
      <c r="M743" s="64"/>
      <c r="N743" s="64"/>
    </row>
    <row r="744" spans="1:14" x14ac:dyDescent="0.25">
      <c r="A744" s="45" t="s">
        <v>812</v>
      </c>
      <c r="B744" s="46">
        <v>5837.83</v>
      </c>
      <c r="C744" s="60">
        <v>0.21</v>
      </c>
      <c r="D744" s="47" t="s">
        <v>1839</v>
      </c>
      <c r="E744" s="47" t="s">
        <v>1839</v>
      </c>
      <c r="F744" s="47" t="s">
        <v>1839</v>
      </c>
      <c r="G744" s="48">
        <v>0.1658</v>
      </c>
      <c r="H744" s="48">
        <v>0.1658</v>
      </c>
      <c r="I744" s="48">
        <v>0.24482369125553</v>
      </c>
      <c r="K744" s="62">
        <v>0</v>
      </c>
      <c r="M744" s="64"/>
      <c r="N744" s="64"/>
    </row>
    <row r="745" spans="1:14" x14ac:dyDescent="0.25">
      <c r="A745" s="45" t="s">
        <v>813</v>
      </c>
      <c r="B745" s="46">
        <v>4363.18</v>
      </c>
      <c r="C745" s="60">
        <v>0.21</v>
      </c>
      <c r="D745" s="47" t="s">
        <v>1839</v>
      </c>
      <c r="E745" s="47" t="s">
        <v>1839</v>
      </c>
      <c r="F745" s="47" t="s">
        <v>1839</v>
      </c>
      <c r="G745" s="48">
        <v>0.18379999999999999</v>
      </c>
      <c r="H745" s="48">
        <v>0.18379999999999999</v>
      </c>
      <c r="I745" s="48">
        <v>0.25926928256718551</v>
      </c>
      <c r="K745" s="62">
        <v>0</v>
      </c>
      <c r="M745" s="64"/>
      <c r="N745" s="64"/>
    </row>
    <row r="746" spans="1:14" x14ac:dyDescent="0.25">
      <c r="A746" s="45" t="s">
        <v>814</v>
      </c>
      <c r="B746" s="46">
        <v>4363.18</v>
      </c>
      <c r="C746" s="60">
        <v>0.21</v>
      </c>
      <c r="D746" s="47" t="s">
        <v>1839</v>
      </c>
      <c r="E746" s="47" t="s">
        <v>1839</v>
      </c>
      <c r="F746" s="47" t="s">
        <v>1839</v>
      </c>
      <c r="G746" s="48">
        <v>0.18379999999999999</v>
      </c>
      <c r="H746" s="48">
        <v>0.18379999999999999</v>
      </c>
      <c r="I746" s="48">
        <v>0.25926928256718551</v>
      </c>
      <c r="K746" s="62">
        <v>0</v>
      </c>
      <c r="M746" s="64"/>
      <c r="N746" s="64"/>
    </row>
    <row r="747" spans="1:14" x14ac:dyDescent="0.25">
      <c r="A747" s="45" t="s">
        <v>815</v>
      </c>
      <c r="B747" s="46">
        <v>4363.18</v>
      </c>
      <c r="C747" s="60">
        <v>0.21</v>
      </c>
      <c r="D747" s="47" t="s">
        <v>1839</v>
      </c>
      <c r="E747" s="47" t="s">
        <v>1839</v>
      </c>
      <c r="F747" s="47" t="s">
        <v>1839</v>
      </c>
      <c r="G747" s="48">
        <v>0.18379999999999999</v>
      </c>
      <c r="H747" s="48">
        <v>0.18379999999999999</v>
      </c>
      <c r="I747" s="48">
        <v>0.25926928256718551</v>
      </c>
      <c r="K747" s="62">
        <v>0</v>
      </c>
      <c r="M747" s="64"/>
      <c r="N747" s="64"/>
    </row>
    <row r="748" spans="1:14" x14ac:dyDescent="0.25">
      <c r="A748" s="45" t="s">
        <v>816</v>
      </c>
      <c r="B748" s="46">
        <v>4363.18</v>
      </c>
      <c r="C748" s="60">
        <v>0.21</v>
      </c>
      <c r="D748" s="47" t="s">
        <v>1839</v>
      </c>
      <c r="E748" s="47" t="s">
        <v>1839</v>
      </c>
      <c r="F748" s="47" t="s">
        <v>1839</v>
      </c>
      <c r="G748" s="48">
        <v>0.18379999999999999</v>
      </c>
      <c r="H748" s="48">
        <v>0.18379999999999999</v>
      </c>
      <c r="I748" s="48">
        <v>0.25926928256718551</v>
      </c>
      <c r="K748" s="62">
        <v>0</v>
      </c>
      <c r="M748" s="64"/>
      <c r="N748" s="64"/>
    </row>
    <row r="749" spans="1:14" x14ac:dyDescent="0.25">
      <c r="A749" s="45" t="s">
        <v>817</v>
      </c>
      <c r="B749" s="46">
        <v>10436.27</v>
      </c>
      <c r="C749" s="60">
        <v>0.21</v>
      </c>
      <c r="D749" s="47" t="s">
        <v>1839</v>
      </c>
      <c r="E749" s="47" t="s">
        <v>1839</v>
      </c>
      <c r="F749" s="47" t="s">
        <v>1839</v>
      </c>
      <c r="G749" s="48">
        <v>0.1113</v>
      </c>
      <c r="H749" s="48">
        <v>0.1113</v>
      </c>
      <c r="I749" s="48">
        <v>0.16128634222539751</v>
      </c>
      <c r="K749" s="62">
        <v>0</v>
      </c>
      <c r="M749" s="64"/>
      <c r="N749" s="64"/>
    </row>
    <row r="750" spans="1:14" x14ac:dyDescent="0.25">
      <c r="A750" s="45" t="s">
        <v>818</v>
      </c>
      <c r="B750" s="46">
        <v>10436.27</v>
      </c>
      <c r="C750" s="60">
        <v>0.21</v>
      </c>
      <c r="D750" s="47" t="s">
        <v>1839</v>
      </c>
      <c r="E750" s="47" t="s">
        <v>1839</v>
      </c>
      <c r="F750" s="47" t="s">
        <v>1839</v>
      </c>
      <c r="G750" s="48">
        <v>0.1769</v>
      </c>
      <c r="H750" s="48">
        <v>0.1769</v>
      </c>
      <c r="I750" s="48">
        <v>0.24685960222121051</v>
      </c>
      <c r="K750" s="62">
        <v>0</v>
      </c>
      <c r="M750" s="64"/>
      <c r="N750" s="64"/>
    </row>
    <row r="751" spans="1:14" x14ac:dyDescent="0.25">
      <c r="A751" s="45" t="s">
        <v>819</v>
      </c>
      <c r="B751" s="46">
        <v>13609.91</v>
      </c>
      <c r="C751" s="60">
        <v>0.21</v>
      </c>
      <c r="D751" s="47" t="s">
        <v>1839</v>
      </c>
      <c r="E751" s="47" t="s">
        <v>1839</v>
      </c>
      <c r="F751" s="47" t="s">
        <v>1839</v>
      </c>
      <c r="G751" s="48">
        <v>0.11169999999999999</v>
      </c>
      <c r="H751" s="48">
        <v>0.11169999999999999</v>
      </c>
      <c r="I751" s="48">
        <v>0.16595029637783801</v>
      </c>
      <c r="K751" s="62">
        <v>0</v>
      </c>
      <c r="M751" s="64"/>
      <c r="N751" s="64"/>
    </row>
    <row r="752" spans="1:14" x14ac:dyDescent="0.25">
      <c r="A752" s="45" t="s">
        <v>820</v>
      </c>
      <c r="B752" s="46">
        <v>13609.91</v>
      </c>
      <c r="C752" s="60">
        <v>0.21</v>
      </c>
      <c r="D752" s="47" t="s">
        <v>1839</v>
      </c>
      <c r="E752" s="47" t="s">
        <v>1839</v>
      </c>
      <c r="F752" s="47" t="s">
        <v>1839</v>
      </c>
      <c r="G752" s="48">
        <v>0.15959999999999999</v>
      </c>
      <c r="H752" s="48">
        <v>0.15959999999999999</v>
      </c>
      <c r="I752" s="48">
        <v>0.2206119499597505</v>
      </c>
      <c r="K752" s="62">
        <v>0</v>
      </c>
      <c r="M752" s="64"/>
      <c r="N752" s="64"/>
    </row>
    <row r="753" spans="1:14" x14ac:dyDescent="0.25">
      <c r="A753" s="45" t="s">
        <v>821</v>
      </c>
      <c r="B753" s="46">
        <v>15857.33</v>
      </c>
      <c r="C753" s="60">
        <v>0.21</v>
      </c>
      <c r="D753" s="47" t="s">
        <v>1839</v>
      </c>
      <c r="E753" s="47" t="s">
        <v>1839</v>
      </c>
      <c r="F753" s="47" t="s">
        <v>1839</v>
      </c>
      <c r="G753" s="48">
        <v>0.16120000000000001</v>
      </c>
      <c r="H753" s="48">
        <v>0.16120000000000001</v>
      </c>
      <c r="I753" s="48">
        <v>0.22124796461582391</v>
      </c>
      <c r="K753" s="62">
        <v>0</v>
      </c>
      <c r="M753" s="64"/>
      <c r="N753" s="64"/>
    </row>
    <row r="754" spans="1:14" x14ac:dyDescent="0.25">
      <c r="A754" s="45" t="s">
        <v>822</v>
      </c>
      <c r="B754" s="46">
        <v>15857.33</v>
      </c>
      <c r="C754" s="60">
        <v>0.21</v>
      </c>
      <c r="D754" s="47" t="s">
        <v>1839</v>
      </c>
      <c r="E754" s="47" t="s">
        <v>1839</v>
      </c>
      <c r="F754" s="47" t="s">
        <v>1839</v>
      </c>
      <c r="G754" s="48">
        <v>0.12720000000000001</v>
      </c>
      <c r="H754" s="48">
        <v>0.12720000000000001</v>
      </c>
      <c r="I754" s="48">
        <v>0.17824729936101019</v>
      </c>
      <c r="K754" s="62">
        <v>0</v>
      </c>
      <c r="M754" s="64"/>
      <c r="N754" s="64"/>
    </row>
    <row r="755" spans="1:14" x14ac:dyDescent="0.25">
      <c r="A755" s="45" t="s">
        <v>823</v>
      </c>
      <c r="B755" s="46">
        <v>10989.36</v>
      </c>
      <c r="C755" s="60">
        <v>0.21</v>
      </c>
      <c r="D755" s="47" t="s">
        <v>1839</v>
      </c>
      <c r="E755" s="47" t="s">
        <v>1839</v>
      </c>
      <c r="F755" s="47" t="s">
        <v>1839</v>
      </c>
      <c r="G755" s="48">
        <v>8.9599999999999999E-2</v>
      </c>
      <c r="H755" s="48">
        <v>8.9599999999999999E-2</v>
      </c>
      <c r="I755" s="48">
        <v>0.13158637797993961</v>
      </c>
      <c r="K755" s="62">
        <v>0</v>
      </c>
      <c r="M755" s="64"/>
      <c r="N755" s="64"/>
    </row>
    <row r="756" spans="1:14" x14ac:dyDescent="0.25">
      <c r="A756" s="45" t="s">
        <v>824</v>
      </c>
      <c r="B756" s="46">
        <v>10989.36</v>
      </c>
      <c r="C756" s="60">
        <v>0.21</v>
      </c>
      <c r="D756" s="47" t="s">
        <v>1839</v>
      </c>
      <c r="E756" s="47" t="s">
        <v>1839</v>
      </c>
      <c r="F756" s="47" t="s">
        <v>1839</v>
      </c>
      <c r="G756" s="48">
        <v>0.15559999999999999</v>
      </c>
      <c r="H756" s="48">
        <v>0.15559999999999999</v>
      </c>
      <c r="I756" s="48">
        <v>0.2185874786689106</v>
      </c>
      <c r="K756" s="62">
        <v>0</v>
      </c>
      <c r="M756" s="64"/>
      <c r="N756" s="64"/>
    </row>
    <row r="757" spans="1:14" x14ac:dyDescent="0.25">
      <c r="A757" s="45" t="s">
        <v>825</v>
      </c>
      <c r="B757" s="46">
        <v>14608.59</v>
      </c>
      <c r="C757" s="60">
        <v>0.21</v>
      </c>
      <c r="D757" s="47" t="s">
        <v>1839</v>
      </c>
      <c r="E757" s="47" t="s">
        <v>1839</v>
      </c>
      <c r="F757" s="47" t="s">
        <v>1839</v>
      </c>
      <c r="G757" s="48">
        <v>0.121</v>
      </c>
      <c r="H757" s="48">
        <v>0.121</v>
      </c>
      <c r="I757" s="48">
        <v>0.17102027035228329</v>
      </c>
      <c r="K757" s="62">
        <v>0</v>
      </c>
      <c r="M757" s="64"/>
      <c r="N757" s="64"/>
    </row>
    <row r="758" spans="1:14" x14ac:dyDescent="0.25">
      <c r="A758" s="45" t="s">
        <v>826</v>
      </c>
      <c r="B758" s="46">
        <v>13609.91</v>
      </c>
      <c r="C758" s="60">
        <v>0.21</v>
      </c>
      <c r="D758" s="47" t="s">
        <v>1839</v>
      </c>
      <c r="E758" s="47" t="s">
        <v>1839</v>
      </c>
      <c r="F758" s="47" t="s">
        <v>1839</v>
      </c>
      <c r="G758" s="48">
        <v>0.127</v>
      </c>
      <c r="H758" s="48">
        <v>0.127</v>
      </c>
      <c r="I758" s="48">
        <v>0.17895123698256521</v>
      </c>
      <c r="K758" s="62">
        <v>0</v>
      </c>
      <c r="M758" s="64"/>
      <c r="N758" s="64"/>
    </row>
    <row r="759" spans="1:14" x14ac:dyDescent="0.25">
      <c r="A759" s="45" t="s">
        <v>827</v>
      </c>
      <c r="B759" s="46">
        <v>13609.91</v>
      </c>
      <c r="C759" s="60">
        <v>0.21</v>
      </c>
      <c r="D759" s="47" t="s">
        <v>1839</v>
      </c>
      <c r="E759" s="47" t="s">
        <v>1839</v>
      </c>
      <c r="F759" s="47" t="s">
        <v>1839</v>
      </c>
      <c r="G759" s="48">
        <v>0.16400000000000001</v>
      </c>
      <c r="H759" s="48">
        <v>0.16400000000000001</v>
      </c>
      <c r="I759" s="48">
        <v>0.22695221990539621</v>
      </c>
      <c r="K759" s="62">
        <v>0</v>
      </c>
      <c r="M759" s="64"/>
      <c r="N759" s="64"/>
    </row>
    <row r="760" spans="1:14" x14ac:dyDescent="0.25">
      <c r="A760" s="45" t="s">
        <v>828</v>
      </c>
      <c r="B760" s="46">
        <v>13609.91</v>
      </c>
      <c r="C760" s="60">
        <v>0.21</v>
      </c>
      <c r="D760" s="47" t="s">
        <v>1839</v>
      </c>
      <c r="E760" s="47" t="s">
        <v>1839</v>
      </c>
      <c r="F760" s="47" t="s">
        <v>1839</v>
      </c>
      <c r="G760" s="48">
        <v>6.4299999999999996E-2</v>
      </c>
      <c r="H760" s="48">
        <v>6.4299999999999996E-2</v>
      </c>
      <c r="I760" s="48">
        <v>9.428541224012113E-2</v>
      </c>
      <c r="K760" s="62">
        <v>0</v>
      </c>
      <c r="M760" s="64"/>
      <c r="N760" s="64"/>
    </row>
    <row r="761" spans="1:14" x14ac:dyDescent="0.25">
      <c r="A761" s="45" t="s">
        <v>829</v>
      </c>
      <c r="B761" s="46">
        <v>13609.91</v>
      </c>
      <c r="C761" s="60">
        <v>0.21</v>
      </c>
      <c r="D761" s="47" t="s">
        <v>1839</v>
      </c>
      <c r="E761" s="47" t="s">
        <v>1839</v>
      </c>
      <c r="F761" s="47" t="s">
        <v>1839</v>
      </c>
      <c r="G761" s="48">
        <v>0.1187</v>
      </c>
      <c r="H761" s="48">
        <v>0.1187</v>
      </c>
      <c r="I761" s="48">
        <v>0.1686869233641338</v>
      </c>
      <c r="K761" s="62">
        <v>0</v>
      </c>
      <c r="M761" s="64"/>
      <c r="N761" s="64"/>
    </row>
    <row r="762" spans="1:14" x14ac:dyDescent="0.25">
      <c r="A762" s="45" t="s">
        <v>830</v>
      </c>
      <c r="B762" s="46">
        <v>13609.91</v>
      </c>
      <c r="C762" s="60">
        <v>0.21</v>
      </c>
      <c r="D762" s="47" t="s">
        <v>1839</v>
      </c>
      <c r="E762" s="47" t="s">
        <v>1839</v>
      </c>
      <c r="F762" s="47" t="s">
        <v>1839</v>
      </c>
      <c r="G762" s="48">
        <v>0.15570000000000001</v>
      </c>
      <c r="H762" s="48">
        <v>0.15570000000000001</v>
      </c>
      <c r="I762" s="48">
        <v>0.21568598124886759</v>
      </c>
      <c r="K762" s="62">
        <v>0</v>
      </c>
      <c r="M762" s="64"/>
      <c r="N762" s="64"/>
    </row>
    <row r="763" spans="1:14" x14ac:dyDescent="0.25">
      <c r="A763" s="45" t="s">
        <v>831</v>
      </c>
      <c r="B763" s="46">
        <v>13609.91</v>
      </c>
      <c r="C763" s="60">
        <v>0.21</v>
      </c>
      <c r="D763" s="47" t="s">
        <v>1839</v>
      </c>
      <c r="E763" s="47" t="s">
        <v>1839</v>
      </c>
      <c r="F763" s="47" t="s">
        <v>1839</v>
      </c>
      <c r="G763" s="48">
        <v>0.16089999999999999</v>
      </c>
      <c r="H763" s="48">
        <v>0.16089999999999999</v>
      </c>
      <c r="I763" s="48">
        <v>0.22918671516518521</v>
      </c>
      <c r="K763" s="62">
        <v>0</v>
      </c>
      <c r="M763" s="64"/>
      <c r="N763" s="64"/>
    </row>
    <row r="764" spans="1:14" x14ac:dyDescent="0.25">
      <c r="A764" s="45" t="s">
        <v>832</v>
      </c>
      <c r="B764" s="46">
        <v>13609.91</v>
      </c>
      <c r="C764" s="60">
        <v>0.21</v>
      </c>
      <c r="D764" s="47" t="s">
        <v>1839</v>
      </c>
      <c r="E764" s="47" t="s">
        <v>1839</v>
      </c>
      <c r="F764" s="47" t="s">
        <v>1839</v>
      </c>
      <c r="G764" s="48">
        <v>0.15570000000000001</v>
      </c>
      <c r="H764" s="48">
        <v>0.15570000000000001</v>
      </c>
      <c r="I764" s="48">
        <v>0.21568598124886759</v>
      </c>
      <c r="K764" s="62">
        <v>0</v>
      </c>
      <c r="M764" s="64"/>
      <c r="N764" s="64"/>
    </row>
    <row r="765" spans="1:14" x14ac:dyDescent="0.25">
      <c r="A765" s="45" t="s">
        <v>833</v>
      </c>
      <c r="B765" s="46">
        <v>13609.91</v>
      </c>
      <c r="C765" s="60">
        <v>0.21</v>
      </c>
      <c r="D765" s="47" t="s">
        <v>1839</v>
      </c>
      <c r="E765" s="47" t="s">
        <v>1839</v>
      </c>
      <c r="F765" s="47" t="s">
        <v>1839</v>
      </c>
      <c r="G765" s="48">
        <v>0.161</v>
      </c>
      <c r="H765" s="48">
        <v>0.161</v>
      </c>
      <c r="I765" s="48">
        <v>0.22295316081796429</v>
      </c>
      <c r="K765" s="62">
        <v>0</v>
      </c>
      <c r="M765" s="64"/>
      <c r="N765" s="64"/>
    </row>
    <row r="766" spans="1:14" x14ac:dyDescent="0.25">
      <c r="A766" s="45" t="s">
        <v>834</v>
      </c>
      <c r="B766" s="46">
        <v>17145.79</v>
      </c>
      <c r="C766" s="60">
        <v>0.21</v>
      </c>
      <c r="D766" s="47" t="s">
        <v>1839</v>
      </c>
      <c r="E766" s="47" t="s">
        <v>1839</v>
      </c>
      <c r="F766" s="47" t="s">
        <v>1839</v>
      </c>
      <c r="G766" s="48">
        <v>0.16</v>
      </c>
      <c r="H766" s="48">
        <v>0.16</v>
      </c>
      <c r="I766" s="48">
        <v>0.2252853820957349</v>
      </c>
      <c r="K766" s="62">
        <v>0</v>
      </c>
      <c r="M766" s="64"/>
      <c r="N766" s="64"/>
    </row>
    <row r="767" spans="1:14" x14ac:dyDescent="0.25">
      <c r="A767" s="45" t="s">
        <v>835</v>
      </c>
      <c r="B767" s="46">
        <v>17145.79</v>
      </c>
      <c r="C767" s="60">
        <v>0.21</v>
      </c>
      <c r="D767" s="47" t="s">
        <v>1839</v>
      </c>
      <c r="E767" s="47" t="s">
        <v>1839</v>
      </c>
      <c r="F767" s="47" t="s">
        <v>1839</v>
      </c>
      <c r="G767" s="48">
        <v>0.15970000000000001</v>
      </c>
      <c r="H767" s="48">
        <v>0.15970000000000001</v>
      </c>
      <c r="I767" s="48">
        <v>0.22494199600725359</v>
      </c>
      <c r="K767" s="62">
        <v>0</v>
      </c>
      <c r="M767" s="64"/>
      <c r="N767" s="64"/>
    </row>
    <row r="768" spans="1:14" x14ac:dyDescent="0.25">
      <c r="A768" s="45" t="s">
        <v>836</v>
      </c>
      <c r="B768" s="46">
        <v>14674.94</v>
      </c>
      <c r="C768" s="60">
        <v>0.21</v>
      </c>
      <c r="D768" s="47" t="s">
        <v>1839</v>
      </c>
      <c r="E768" s="47" t="s">
        <v>1839</v>
      </c>
      <c r="F768" s="47" t="s">
        <v>1839</v>
      </c>
      <c r="G768" s="48">
        <v>0.16600000000000001</v>
      </c>
      <c r="H768" s="48">
        <v>0.16600000000000001</v>
      </c>
      <c r="I768" s="48">
        <v>0.227020574679316</v>
      </c>
      <c r="K768" s="62">
        <v>0</v>
      </c>
      <c r="M768" s="64"/>
      <c r="N768" s="64"/>
    </row>
    <row r="769" spans="1:14" x14ac:dyDescent="0.25">
      <c r="A769" s="45" t="s">
        <v>837</v>
      </c>
      <c r="B769" s="46">
        <v>18341.62</v>
      </c>
      <c r="C769" s="60">
        <v>0.21</v>
      </c>
      <c r="D769" s="47" t="s">
        <v>1839</v>
      </c>
      <c r="E769" s="47" t="s">
        <v>1839</v>
      </c>
      <c r="F769" s="47" t="s">
        <v>1839</v>
      </c>
      <c r="G769" s="48">
        <v>0.214</v>
      </c>
      <c r="H769" s="48">
        <v>0.214</v>
      </c>
      <c r="I769" s="48">
        <v>0.28302074173428771</v>
      </c>
      <c r="K769" s="62">
        <v>0</v>
      </c>
      <c r="M769" s="64"/>
      <c r="N769" s="64"/>
    </row>
    <row r="770" spans="1:14" x14ac:dyDescent="0.25">
      <c r="A770" s="45" t="s">
        <v>838</v>
      </c>
      <c r="B770" s="46">
        <v>33114.520000000004</v>
      </c>
      <c r="C770" s="60">
        <v>0.21</v>
      </c>
      <c r="D770" s="47" t="s">
        <v>1839</v>
      </c>
      <c r="E770" s="47" t="s">
        <v>1839</v>
      </c>
      <c r="F770" s="47" t="s">
        <v>1839</v>
      </c>
      <c r="G770" s="48">
        <v>0.254</v>
      </c>
      <c r="H770" s="48">
        <v>0.254</v>
      </c>
      <c r="I770" s="48">
        <v>0.31702009478145621</v>
      </c>
      <c r="K770" s="62">
        <v>0</v>
      </c>
      <c r="M770" s="64"/>
      <c r="N770" s="64"/>
    </row>
    <row r="771" spans="1:14" x14ac:dyDescent="0.25">
      <c r="A771" s="45" t="s">
        <v>839</v>
      </c>
      <c r="B771" s="46">
        <v>21612.579999999998</v>
      </c>
      <c r="C771" s="60">
        <v>0.21</v>
      </c>
      <c r="D771" s="47" t="s">
        <v>1839</v>
      </c>
      <c r="E771" s="47" t="s">
        <v>1839</v>
      </c>
      <c r="F771" s="47" t="s">
        <v>1839</v>
      </c>
      <c r="G771" s="48">
        <v>9.8000000000000004E-2</v>
      </c>
      <c r="H771" s="48">
        <v>9.8000000000000004E-2</v>
      </c>
      <c r="I771" s="48">
        <v>0.13702084320186059</v>
      </c>
      <c r="K771" s="62">
        <v>0</v>
      </c>
      <c r="M771" s="64"/>
      <c r="N771" s="64"/>
    </row>
    <row r="772" spans="1:14" x14ac:dyDescent="0.25">
      <c r="A772" s="45" t="s">
        <v>840</v>
      </c>
      <c r="B772" s="46">
        <v>33114.520000000004</v>
      </c>
      <c r="C772" s="60">
        <v>0.21</v>
      </c>
      <c r="D772" s="47" t="s">
        <v>1839</v>
      </c>
      <c r="E772" s="47" t="s">
        <v>1839</v>
      </c>
      <c r="F772" s="47" t="s">
        <v>1839</v>
      </c>
      <c r="G772" s="48">
        <v>0.16200000000000001</v>
      </c>
      <c r="H772" s="48">
        <v>0.16200000000000001</v>
      </c>
      <c r="I772" s="48">
        <v>0.21702076417897589</v>
      </c>
      <c r="K772" s="62">
        <v>0</v>
      </c>
      <c r="M772" s="64"/>
      <c r="N772" s="64"/>
    </row>
    <row r="773" spans="1:14" x14ac:dyDescent="0.25">
      <c r="A773" s="45" t="s">
        <v>841</v>
      </c>
      <c r="B773" s="46">
        <v>22697.35</v>
      </c>
      <c r="C773" s="60">
        <v>0.21</v>
      </c>
      <c r="D773" s="47" t="s">
        <v>1839</v>
      </c>
      <c r="E773" s="47" t="s">
        <v>1839</v>
      </c>
      <c r="F773" s="47" t="s">
        <v>1839</v>
      </c>
      <c r="G773" s="48">
        <v>0.10199999999999999</v>
      </c>
      <c r="H773" s="48">
        <v>0.10199999999999999</v>
      </c>
      <c r="I773" s="48">
        <v>0.14201940092041709</v>
      </c>
      <c r="K773" s="62">
        <v>0</v>
      </c>
      <c r="M773" s="64"/>
      <c r="N773" s="64"/>
    </row>
    <row r="774" spans="1:14" x14ac:dyDescent="0.25">
      <c r="A774" s="45" t="s">
        <v>842</v>
      </c>
      <c r="B774" s="46">
        <v>30345.949999999997</v>
      </c>
      <c r="C774" s="60">
        <v>0.21</v>
      </c>
      <c r="D774" s="47" t="s">
        <v>1839</v>
      </c>
      <c r="E774" s="47" t="s">
        <v>1839</v>
      </c>
      <c r="F774" s="47" t="s">
        <v>1839</v>
      </c>
      <c r="G774" s="48">
        <v>3.5000000000000003E-2</v>
      </c>
      <c r="H774" s="48">
        <v>3.5000000000000003E-2</v>
      </c>
      <c r="I774" s="48">
        <v>5.0020119610379728E-2</v>
      </c>
      <c r="K774" s="62">
        <v>0</v>
      </c>
      <c r="M774" s="64"/>
      <c r="N774" s="64"/>
    </row>
    <row r="775" spans="1:14" x14ac:dyDescent="0.25">
      <c r="A775" s="45" t="s">
        <v>843</v>
      </c>
      <c r="B775" s="46">
        <v>14566.53</v>
      </c>
      <c r="C775" s="60">
        <v>0.21</v>
      </c>
      <c r="D775" s="47" t="s">
        <v>1839</v>
      </c>
      <c r="E775" s="47" t="s">
        <v>1839</v>
      </c>
      <c r="F775" s="47" t="s">
        <v>1839</v>
      </c>
      <c r="G775" s="48">
        <v>0.1457</v>
      </c>
      <c r="H775" s="48">
        <v>0.1457</v>
      </c>
      <c r="I775" s="48">
        <v>0.20269842160832899</v>
      </c>
      <c r="K775" s="62">
        <v>0</v>
      </c>
      <c r="M775" s="64"/>
      <c r="N775" s="64"/>
    </row>
    <row r="776" spans="1:14" x14ac:dyDescent="0.25">
      <c r="A776" s="45" t="s">
        <v>844</v>
      </c>
      <c r="B776" s="46">
        <v>15106.960000000001</v>
      </c>
      <c r="C776" s="60">
        <v>0.21</v>
      </c>
      <c r="D776" s="47" t="s">
        <v>1839</v>
      </c>
      <c r="E776" s="47" t="s">
        <v>1839</v>
      </c>
      <c r="F776" s="47" t="s">
        <v>1839</v>
      </c>
      <c r="G776" s="48">
        <v>0.15840000000000001</v>
      </c>
      <c r="H776" s="48">
        <v>0.15840000000000001</v>
      </c>
      <c r="I776" s="48">
        <v>0.21739558163561451</v>
      </c>
      <c r="K776" s="62">
        <v>0</v>
      </c>
      <c r="M776" s="64"/>
      <c r="N776" s="64"/>
    </row>
    <row r="777" spans="1:14" x14ac:dyDescent="0.25">
      <c r="A777" s="45" t="s">
        <v>845</v>
      </c>
      <c r="B777" s="46">
        <v>14566.53</v>
      </c>
      <c r="C777" s="60">
        <v>0.21</v>
      </c>
      <c r="D777" s="47" t="s">
        <v>1839</v>
      </c>
      <c r="E777" s="47" t="s">
        <v>1839</v>
      </c>
      <c r="F777" s="47" t="s">
        <v>1839</v>
      </c>
      <c r="G777" s="48">
        <v>6.4000000000000001E-2</v>
      </c>
      <c r="H777" s="48">
        <v>6.4000000000000001E-2</v>
      </c>
      <c r="I777" s="48">
        <v>9.402103981754853E-2</v>
      </c>
      <c r="K777" s="62">
        <v>0</v>
      </c>
      <c r="M777" s="64"/>
      <c r="N777" s="64"/>
    </row>
    <row r="778" spans="1:14" x14ac:dyDescent="0.25">
      <c r="A778" s="45" t="s">
        <v>846</v>
      </c>
      <c r="B778" s="46">
        <v>15106.960000000001</v>
      </c>
      <c r="C778" s="60">
        <v>0.21</v>
      </c>
      <c r="D778" s="47" t="s">
        <v>1839</v>
      </c>
      <c r="E778" s="47" t="s">
        <v>1839</v>
      </c>
      <c r="F778" s="47" t="s">
        <v>1839</v>
      </c>
      <c r="G778" s="48">
        <v>0.14080000000000001</v>
      </c>
      <c r="H778" s="48">
        <v>0.14080000000000001</v>
      </c>
      <c r="I778" s="48">
        <v>0.1948252419791813</v>
      </c>
      <c r="K778" s="62">
        <v>0</v>
      </c>
      <c r="M778" s="64"/>
      <c r="N778" s="64"/>
    </row>
    <row r="779" spans="1:14" x14ac:dyDescent="0.25">
      <c r="A779" s="45" t="s">
        <v>847</v>
      </c>
      <c r="B779" s="46">
        <v>21612.579999999998</v>
      </c>
      <c r="C779" s="60">
        <v>0.21</v>
      </c>
      <c r="D779" s="47" t="s">
        <v>1839</v>
      </c>
      <c r="E779" s="47" t="s">
        <v>1839</v>
      </c>
      <c r="F779" s="47" t="s">
        <v>1839</v>
      </c>
      <c r="G779" s="48">
        <v>8.8999999999999996E-2</v>
      </c>
      <c r="H779" s="48">
        <v>8.8999999999999996E-2</v>
      </c>
      <c r="I779" s="48">
        <v>0.13668987411011779</v>
      </c>
      <c r="K779" s="62">
        <v>0</v>
      </c>
      <c r="M779" s="64"/>
      <c r="N779" s="64"/>
    </row>
    <row r="780" spans="1:14" x14ac:dyDescent="0.25">
      <c r="A780" s="45" t="s">
        <v>848</v>
      </c>
      <c r="B780" s="46">
        <v>34388.18</v>
      </c>
      <c r="C780" s="60">
        <v>0.21</v>
      </c>
      <c r="D780" s="47" t="s">
        <v>1839</v>
      </c>
      <c r="E780" s="47" t="s">
        <v>1839</v>
      </c>
      <c r="F780" s="47" t="s">
        <v>1839</v>
      </c>
      <c r="G780" s="48">
        <v>0.1656</v>
      </c>
      <c r="H780" s="48">
        <v>0.1656</v>
      </c>
      <c r="I780" s="48">
        <v>0.22971572880807861</v>
      </c>
      <c r="K780" s="62">
        <v>0</v>
      </c>
      <c r="M780" s="64"/>
      <c r="N780" s="64"/>
    </row>
    <row r="781" spans="1:14" x14ac:dyDescent="0.25">
      <c r="A781" s="45" t="s">
        <v>849</v>
      </c>
      <c r="B781" s="46">
        <v>42991.46</v>
      </c>
      <c r="C781" s="60">
        <v>0.21</v>
      </c>
      <c r="D781" s="47" t="s">
        <v>1839</v>
      </c>
      <c r="E781" s="47" t="s">
        <v>1839</v>
      </c>
      <c r="F781" s="47" t="s">
        <v>1839</v>
      </c>
      <c r="G781" s="48">
        <v>0.17369999999999999</v>
      </c>
      <c r="H781" s="48">
        <v>0.17369999999999999</v>
      </c>
      <c r="I781" s="48">
        <v>0.22966461639799321</v>
      </c>
      <c r="K781" s="62">
        <v>0</v>
      </c>
      <c r="M781" s="64"/>
      <c r="N781" s="64"/>
    </row>
    <row r="782" spans="1:14" x14ac:dyDescent="0.25">
      <c r="A782" s="45" t="s">
        <v>850</v>
      </c>
      <c r="B782" s="46">
        <v>33505.990000000005</v>
      </c>
      <c r="C782" s="60">
        <v>0.21</v>
      </c>
      <c r="D782" s="47" t="s">
        <v>1839</v>
      </c>
      <c r="E782" s="47" t="s">
        <v>1839</v>
      </c>
      <c r="F782" s="47" t="s">
        <v>1839</v>
      </c>
      <c r="G782" s="48">
        <v>0.192</v>
      </c>
      <c r="H782" s="48">
        <v>0.192</v>
      </c>
      <c r="I782" s="48">
        <v>0.2309451987455598</v>
      </c>
      <c r="K782" s="62">
        <v>0</v>
      </c>
      <c r="M782" s="64"/>
      <c r="N782" s="64"/>
    </row>
    <row r="783" spans="1:14" x14ac:dyDescent="0.25">
      <c r="A783" s="45" t="s">
        <v>851</v>
      </c>
      <c r="B783" s="46">
        <v>1660.83</v>
      </c>
      <c r="C783" s="60">
        <v>0.21</v>
      </c>
      <c r="D783" s="47" t="s">
        <v>1839</v>
      </c>
      <c r="E783" s="47" t="s">
        <v>1839</v>
      </c>
      <c r="F783" s="47" t="s">
        <v>1839</v>
      </c>
      <c r="G783" s="48">
        <v>4.1300000000000003E-2</v>
      </c>
      <c r="H783" s="48">
        <v>4.1300000000000003E-2</v>
      </c>
      <c r="I783" s="48">
        <v>6.2276178492248951E-2</v>
      </c>
      <c r="K783" s="62">
        <v>0</v>
      </c>
      <c r="M783" s="64"/>
      <c r="N783" s="64"/>
    </row>
    <row r="784" spans="1:14" x14ac:dyDescent="0.25">
      <c r="A784" s="45" t="s">
        <v>852</v>
      </c>
      <c r="B784" s="46">
        <v>2051.8900000000003</v>
      </c>
      <c r="C784" s="60">
        <v>0.21</v>
      </c>
      <c r="D784" s="47" t="s">
        <v>1839</v>
      </c>
      <c r="E784" s="47" t="s">
        <v>1839</v>
      </c>
      <c r="F784" s="47" t="s">
        <v>1839</v>
      </c>
      <c r="G784" s="48">
        <v>0.1043</v>
      </c>
      <c r="H784" s="48">
        <v>0.1043</v>
      </c>
      <c r="I784" s="48">
        <v>0.14929250089917279</v>
      </c>
      <c r="K784" s="62">
        <v>0</v>
      </c>
      <c r="M784" s="64"/>
      <c r="N784" s="64"/>
    </row>
    <row r="785" spans="1:14" x14ac:dyDescent="0.25">
      <c r="A785" s="45" t="s">
        <v>853</v>
      </c>
      <c r="B785" s="46">
        <v>1505.03</v>
      </c>
      <c r="C785" s="60">
        <v>0.21</v>
      </c>
      <c r="D785" s="47" t="s">
        <v>1839</v>
      </c>
      <c r="E785" s="47" t="s">
        <v>1839</v>
      </c>
      <c r="F785" s="47" t="s">
        <v>1839</v>
      </c>
      <c r="G785" s="48">
        <v>0.1043</v>
      </c>
      <c r="H785" s="48">
        <v>0.1043</v>
      </c>
      <c r="I785" s="48">
        <v>0.1522658841126357</v>
      </c>
      <c r="K785" s="62">
        <v>0</v>
      </c>
      <c r="M785" s="64"/>
      <c r="N785" s="64"/>
    </row>
    <row r="786" spans="1:14" x14ac:dyDescent="0.25">
      <c r="A786" s="45" t="s">
        <v>854</v>
      </c>
      <c r="B786" s="46">
        <v>5393.02</v>
      </c>
      <c r="C786" s="60">
        <v>0.21</v>
      </c>
      <c r="D786" s="47" t="s">
        <v>1839</v>
      </c>
      <c r="E786" s="47" t="s">
        <v>1839</v>
      </c>
      <c r="F786" s="47" t="s">
        <v>1839</v>
      </c>
      <c r="G786" s="48">
        <v>3.5299999999999998E-2</v>
      </c>
      <c r="H786" s="48">
        <v>3.5299999999999998E-2</v>
      </c>
      <c r="I786" s="48">
        <v>0.109286263268316</v>
      </c>
      <c r="K786" s="62">
        <v>0</v>
      </c>
      <c r="M786" s="64"/>
      <c r="N786" s="64"/>
    </row>
    <row r="787" spans="1:14" x14ac:dyDescent="0.25">
      <c r="A787" s="45" t="s">
        <v>855</v>
      </c>
      <c r="B787" s="46">
        <v>5728.77</v>
      </c>
      <c r="C787" s="60">
        <v>0.21</v>
      </c>
      <c r="D787" s="47" t="s">
        <v>1839</v>
      </c>
      <c r="E787" s="47" t="s">
        <v>1839</v>
      </c>
      <c r="F787" s="47" t="s">
        <v>1839</v>
      </c>
      <c r="G787" s="48">
        <v>4.53E-2</v>
      </c>
      <c r="H787" s="48">
        <v>4.53E-2</v>
      </c>
      <c r="I787" s="48">
        <v>0.1122856665411464</v>
      </c>
      <c r="K787" s="62">
        <v>0</v>
      </c>
      <c r="M787" s="64"/>
      <c r="N787" s="64"/>
    </row>
    <row r="788" spans="1:14" x14ac:dyDescent="0.25">
      <c r="A788" s="45" t="s">
        <v>856</v>
      </c>
      <c r="B788" s="46">
        <v>7661.47</v>
      </c>
      <c r="C788" s="60">
        <v>0.21</v>
      </c>
      <c r="D788" s="47" t="s">
        <v>1839</v>
      </c>
      <c r="E788" s="47" t="s">
        <v>1839</v>
      </c>
      <c r="F788" s="47" t="s">
        <v>1839</v>
      </c>
      <c r="G788" s="48">
        <v>5.9299999999999999E-2</v>
      </c>
      <c r="H788" s="48">
        <v>5.9299999999999999E-2</v>
      </c>
      <c r="I788" s="48">
        <v>9.9284911052193434E-2</v>
      </c>
      <c r="K788" s="62">
        <v>0</v>
      </c>
      <c r="M788" s="64"/>
      <c r="N788" s="64"/>
    </row>
    <row r="789" spans="1:14" x14ac:dyDescent="0.25">
      <c r="A789" s="45" t="s">
        <v>857</v>
      </c>
      <c r="B789" s="46">
        <v>8427.23</v>
      </c>
      <c r="C789" s="60">
        <v>0.21</v>
      </c>
      <c r="D789" s="47" t="s">
        <v>1839</v>
      </c>
      <c r="E789" s="47" t="s">
        <v>1839</v>
      </c>
      <c r="F789" s="47" t="s">
        <v>1839</v>
      </c>
      <c r="G789" s="48">
        <v>3.5299999999999998E-2</v>
      </c>
      <c r="H789" s="48">
        <v>3.5299999999999998E-2</v>
      </c>
      <c r="I789" s="48">
        <v>6.7286916342982214E-2</v>
      </c>
      <c r="K789" s="62">
        <v>0</v>
      </c>
      <c r="M789" s="64"/>
      <c r="N789" s="64"/>
    </row>
    <row r="790" spans="1:14" x14ac:dyDescent="0.25">
      <c r="A790" s="45" t="s">
        <v>858</v>
      </c>
      <c r="B790" s="46">
        <v>8966.2900000000009</v>
      </c>
      <c r="C790" s="60">
        <v>0.21</v>
      </c>
      <c r="D790" s="47" t="s">
        <v>1839</v>
      </c>
      <c r="E790" s="47" t="s">
        <v>1839</v>
      </c>
      <c r="F790" s="47" t="s">
        <v>1839</v>
      </c>
      <c r="G790" s="48">
        <v>3.5299999999999998E-2</v>
      </c>
      <c r="H790" s="48">
        <v>3.5299999999999998E-2</v>
      </c>
      <c r="I790" s="48">
        <v>6.2285334741000363E-2</v>
      </c>
      <c r="K790" s="62">
        <v>0</v>
      </c>
      <c r="M790" s="64"/>
      <c r="N790" s="64"/>
    </row>
    <row r="791" spans="1:14" x14ac:dyDescent="0.25">
      <c r="A791" s="45" t="s">
        <v>859</v>
      </c>
      <c r="B791" s="46">
        <v>7419.2</v>
      </c>
      <c r="C791" s="60">
        <v>0.21</v>
      </c>
      <c r="D791" s="47" t="s">
        <v>1839</v>
      </c>
      <c r="E791" s="47" t="s">
        <v>1839</v>
      </c>
      <c r="F791" s="47" t="s">
        <v>1839</v>
      </c>
      <c r="G791" s="48">
        <v>3.5299999999999998E-2</v>
      </c>
      <c r="H791" s="48">
        <v>3.5299999999999998E-2</v>
      </c>
      <c r="I791" s="48">
        <v>7.7285445631631131E-2</v>
      </c>
      <c r="K791" s="62">
        <v>0</v>
      </c>
      <c r="M791" s="64"/>
      <c r="N791" s="64"/>
    </row>
    <row r="792" spans="1:14" x14ac:dyDescent="0.25">
      <c r="A792" s="45" t="s">
        <v>860</v>
      </c>
      <c r="B792" s="46">
        <v>1462.85</v>
      </c>
      <c r="C792" s="60">
        <v>0.21</v>
      </c>
      <c r="D792" s="47" t="s">
        <v>1839</v>
      </c>
      <c r="E792" s="47" t="s">
        <v>1839</v>
      </c>
      <c r="F792" s="47" t="s">
        <v>1839</v>
      </c>
      <c r="G792" s="48">
        <v>0.16980000000000001</v>
      </c>
      <c r="H792" s="48">
        <v>0.16980000000000001</v>
      </c>
      <c r="I792" s="48">
        <v>0.23678090295127421</v>
      </c>
      <c r="K792" s="62">
        <v>0</v>
      </c>
      <c r="M792" s="64"/>
      <c r="N792" s="64"/>
    </row>
    <row r="793" spans="1:14" x14ac:dyDescent="0.25">
      <c r="A793" s="45" t="s">
        <v>861</v>
      </c>
      <c r="B793" s="46">
        <v>1720.82</v>
      </c>
      <c r="C793" s="60">
        <v>0.21</v>
      </c>
      <c r="D793" s="47" t="s">
        <v>1839</v>
      </c>
      <c r="E793" s="47" t="s">
        <v>1839</v>
      </c>
      <c r="F793" s="47" t="s">
        <v>1839</v>
      </c>
      <c r="G793" s="48">
        <v>0.1648</v>
      </c>
      <c r="H793" s="48">
        <v>0.1648</v>
      </c>
      <c r="I793" s="48">
        <v>0.22982337301550879</v>
      </c>
      <c r="K793" s="62">
        <v>0</v>
      </c>
      <c r="M793" s="64"/>
      <c r="N793" s="64"/>
    </row>
    <row r="794" spans="1:14" x14ac:dyDescent="0.25">
      <c r="A794" s="45" t="s">
        <v>862</v>
      </c>
      <c r="B794" s="46">
        <v>1001.8</v>
      </c>
      <c r="C794" s="60">
        <v>0.21</v>
      </c>
      <c r="D794" s="47" t="s">
        <v>1839</v>
      </c>
      <c r="E794" s="47" t="s">
        <v>1839</v>
      </c>
      <c r="F794" s="47" t="s">
        <v>1839</v>
      </c>
      <c r="G794" s="48">
        <v>0.26929999999999998</v>
      </c>
      <c r="H794" s="48">
        <v>0.26929999999999998</v>
      </c>
      <c r="I794" s="48">
        <v>0.36528283616112972</v>
      </c>
      <c r="K794" s="62">
        <v>0</v>
      </c>
      <c r="M794" s="64"/>
      <c r="N794" s="64"/>
    </row>
    <row r="795" spans="1:14" x14ac:dyDescent="0.25">
      <c r="A795" s="45" t="s">
        <v>863</v>
      </c>
      <c r="B795" s="46">
        <v>1417.78</v>
      </c>
      <c r="C795" s="60">
        <v>0.21</v>
      </c>
      <c r="D795" s="47" t="s">
        <v>1839</v>
      </c>
      <c r="E795" s="47" t="s">
        <v>1839</v>
      </c>
      <c r="F795" s="47" t="s">
        <v>1839</v>
      </c>
      <c r="G795" s="48">
        <v>0.1716</v>
      </c>
      <c r="H795" s="48">
        <v>0.1716</v>
      </c>
      <c r="I795" s="48">
        <v>0.241585689973567</v>
      </c>
      <c r="K795" s="62">
        <v>0</v>
      </c>
      <c r="M795" s="64"/>
      <c r="N795" s="64"/>
    </row>
    <row r="796" spans="1:14" x14ac:dyDescent="0.25">
      <c r="A796" s="45" t="s">
        <v>864</v>
      </c>
      <c r="B796" s="46">
        <v>1488.67</v>
      </c>
      <c r="C796" s="60">
        <v>0.21</v>
      </c>
      <c r="D796" s="47" t="s">
        <v>1839</v>
      </c>
      <c r="E796" s="47" t="s">
        <v>1839</v>
      </c>
      <c r="F796" s="47" t="s">
        <v>1839</v>
      </c>
      <c r="G796" s="48">
        <v>0.14990000000000001</v>
      </c>
      <c r="H796" s="48">
        <v>0.14990000000000001</v>
      </c>
      <c r="I796" s="48">
        <v>0.21288610847752951</v>
      </c>
      <c r="K796" s="62">
        <v>0</v>
      </c>
      <c r="M796" s="64"/>
      <c r="N796" s="64"/>
    </row>
    <row r="797" spans="1:14" x14ac:dyDescent="0.25">
      <c r="A797" s="45" t="s">
        <v>865</v>
      </c>
      <c r="B797" s="46">
        <v>1564.24</v>
      </c>
      <c r="C797" s="60">
        <v>0.21</v>
      </c>
      <c r="D797" s="47" t="s">
        <v>1839</v>
      </c>
      <c r="E797" s="47" t="s">
        <v>1839</v>
      </c>
      <c r="F797" s="47" t="s">
        <v>1839</v>
      </c>
      <c r="G797" s="48">
        <v>3.5299999999999998E-2</v>
      </c>
      <c r="H797" s="48">
        <v>3.5299999999999998E-2</v>
      </c>
      <c r="I797" s="48">
        <v>5.5008061885884127E-2</v>
      </c>
      <c r="K797" s="62">
        <v>0</v>
      </c>
      <c r="M797" s="64"/>
      <c r="N797" s="64"/>
    </row>
    <row r="798" spans="1:14" x14ac:dyDescent="0.25">
      <c r="A798" s="45" t="s">
        <v>866</v>
      </c>
      <c r="B798" s="46">
        <v>1205.9000000000001</v>
      </c>
      <c r="C798" s="60">
        <v>0.21</v>
      </c>
      <c r="D798" s="47" t="s">
        <v>1839</v>
      </c>
      <c r="E798" s="47" t="s">
        <v>1839</v>
      </c>
      <c r="F798" s="47" t="s">
        <v>1839</v>
      </c>
      <c r="G798" s="48">
        <v>3.5999999999999997E-2</v>
      </c>
      <c r="H798" s="48">
        <v>3.5999999999999997E-2</v>
      </c>
      <c r="I798" s="48">
        <v>7.2015187051529164E-2</v>
      </c>
      <c r="K798" s="62">
        <v>0</v>
      </c>
      <c r="M798" s="64"/>
      <c r="N798" s="64"/>
    </row>
    <row r="799" spans="1:14" x14ac:dyDescent="0.25">
      <c r="A799" s="45" t="s">
        <v>867</v>
      </c>
      <c r="B799" s="46">
        <v>1224.5899999999999</v>
      </c>
      <c r="C799" s="60">
        <v>0.21</v>
      </c>
      <c r="D799" s="47" t="s">
        <v>1839</v>
      </c>
      <c r="E799" s="47" t="s">
        <v>1839</v>
      </c>
      <c r="F799" s="47" t="s">
        <v>1839</v>
      </c>
      <c r="G799" s="48">
        <v>0.1671</v>
      </c>
      <c r="H799" s="48">
        <v>0.1671</v>
      </c>
      <c r="I799" s="48">
        <v>0.2391324812796817</v>
      </c>
      <c r="K799" s="62">
        <v>0</v>
      </c>
      <c r="M799" s="64"/>
      <c r="N799" s="64"/>
    </row>
    <row r="800" spans="1:14" x14ac:dyDescent="0.25">
      <c r="A800" s="45" t="s">
        <v>868</v>
      </c>
      <c r="B800" s="46">
        <v>1307.95</v>
      </c>
      <c r="C800" s="60">
        <v>0.21</v>
      </c>
      <c r="D800" s="47" t="s">
        <v>1839</v>
      </c>
      <c r="E800" s="47" t="s">
        <v>1839</v>
      </c>
      <c r="F800" s="47" t="s">
        <v>1839</v>
      </c>
      <c r="G800" s="48">
        <v>3.5999999999999997E-2</v>
      </c>
      <c r="H800" s="48">
        <v>3.5999999999999997E-2</v>
      </c>
      <c r="I800" s="48">
        <v>6.5015503162861671E-2</v>
      </c>
      <c r="K800" s="62">
        <v>0</v>
      </c>
      <c r="M800" s="64"/>
      <c r="N800" s="64"/>
    </row>
    <row r="801" spans="1:14" x14ac:dyDescent="0.25">
      <c r="A801" s="45" t="s">
        <v>869</v>
      </c>
      <c r="B801" s="46">
        <v>1358.58</v>
      </c>
      <c r="C801" s="60">
        <v>0.21</v>
      </c>
      <c r="D801" s="47" t="s">
        <v>1839</v>
      </c>
      <c r="E801" s="47" t="s">
        <v>1839</v>
      </c>
      <c r="F801" s="47" t="s">
        <v>1839</v>
      </c>
      <c r="G801" s="48">
        <v>0.11799999999999999</v>
      </c>
      <c r="H801" s="48">
        <v>0.11799999999999999</v>
      </c>
      <c r="I801" s="48">
        <v>0.17629829352123841</v>
      </c>
      <c r="K801" s="62">
        <v>0</v>
      </c>
      <c r="M801" s="64"/>
      <c r="N801" s="64"/>
    </row>
    <row r="802" spans="1:14" x14ac:dyDescent="0.25">
      <c r="A802" s="45" t="s">
        <v>870</v>
      </c>
      <c r="B802" s="46">
        <v>3237.53</v>
      </c>
      <c r="C802" s="60">
        <v>0.21</v>
      </c>
      <c r="D802" s="47" t="s">
        <v>1839</v>
      </c>
      <c r="E802" s="47" t="s">
        <v>1839</v>
      </c>
      <c r="F802" s="47" t="s">
        <v>1839</v>
      </c>
      <c r="G802" s="48">
        <v>0.16669999999999999</v>
      </c>
      <c r="H802" s="48">
        <v>0.16669999999999999</v>
      </c>
      <c r="I802" s="48">
        <v>0.2246950236417693</v>
      </c>
      <c r="K802" s="62">
        <v>0</v>
      </c>
      <c r="M802" s="64"/>
      <c r="N802" s="64"/>
    </row>
    <row r="803" spans="1:14" x14ac:dyDescent="0.25">
      <c r="A803" s="45" t="s">
        <v>871</v>
      </c>
      <c r="B803" s="46">
        <v>3237.53</v>
      </c>
      <c r="C803" s="60">
        <v>0.21</v>
      </c>
      <c r="D803" s="47" t="s">
        <v>1839</v>
      </c>
      <c r="E803" s="47" t="s">
        <v>1839</v>
      </c>
      <c r="F803" s="47" t="s">
        <v>1839</v>
      </c>
      <c r="G803" s="48">
        <v>0.16669999999999999</v>
      </c>
      <c r="H803" s="48">
        <v>0.16669999999999999</v>
      </c>
      <c r="I803" s="48">
        <v>0.2246950236417693</v>
      </c>
      <c r="K803" s="62">
        <v>0</v>
      </c>
      <c r="M803" s="64"/>
      <c r="N803" s="64"/>
    </row>
    <row r="804" spans="1:14" x14ac:dyDescent="0.25">
      <c r="A804" s="45" t="s">
        <v>872</v>
      </c>
      <c r="B804" s="46">
        <v>3237.53</v>
      </c>
      <c r="C804" s="60">
        <v>0.21</v>
      </c>
      <c r="D804" s="47" t="s">
        <v>1839</v>
      </c>
      <c r="E804" s="47" t="s">
        <v>1839</v>
      </c>
      <c r="F804" s="47" t="s">
        <v>1839</v>
      </c>
      <c r="G804" s="48">
        <v>0.16669999999999999</v>
      </c>
      <c r="H804" s="48">
        <v>0.16669999999999999</v>
      </c>
      <c r="I804" s="48">
        <v>0.2246950236417693</v>
      </c>
      <c r="K804" s="62">
        <v>0</v>
      </c>
      <c r="M804" s="64"/>
      <c r="N804" s="64"/>
    </row>
    <row r="805" spans="1:14" x14ac:dyDescent="0.25">
      <c r="A805" s="45" t="s">
        <v>873</v>
      </c>
      <c r="B805" s="46">
        <v>3306.0800000000004</v>
      </c>
      <c r="C805" s="60">
        <v>0.21</v>
      </c>
      <c r="D805" s="47" t="s">
        <v>1839</v>
      </c>
      <c r="E805" s="47" t="s">
        <v>1839</v>
      </c>
      <c r="F805" s="47" t="s">
        <v>1839</v>
      </c>
      <c r="G805" s="48">
        <v>3.5299999999999998E-2</v>
      </c>
      <c r="H805" s="48">
        <v>3.5299999999999998E-2</v>
      </c>
      <c r="I805" s="48">
        <v>5.1283644028143997E-2</v>
      </c>
      <c r="K805" s="62">
        <v>0</v>
      </c>
      <c r="M805" s="64"/>
      <c r="N805" s="64"/>
    </row>
    <row r="806" spans="1:14" x14ac:dyDescent="0.25">
      <c r="A806" s="45" t="s">
        <v>874</v>
      </c>
      <c r="B806" s="46">
        <v>3306.0800000000004</v>
      </c>
      <c r="C806" s="60">
        <v>0.21</v>
      </c>
      <c r="D806" s="47" t="s">
        <v>1839</v>
      </c>
      <c r="E806" s="47" t="s">
        <v>1839</v>
      </c>
      <c r="F806" s="47" t="s">
        <v>1839</v>
      </c>
      <c r="G806" s="48">
        <v>0.16650000000000001</v>
      </c>
      <c r="H806" s="48">
        <v>0.16650000000000001</v>
      </c>
      <c r="I806" s="48">
        <v>0.22448310340830049</v>
      </c>
      <c r="K806" s="62">
        <v>0</v>
      </c>
      <c r="M806" s="64"/>
      <c r="N806" s="64"/>
    </row>
    <row r="807" spans="1:14" x14ac:dyDescent="0.25">
      <c r="A807" s="45" t="s">
        <v>875</v>
      </c>
      <c r="B807" s="46">
        <v>251171</v>
      </c>
      <c r="C807" s="60">
        <v>0.21</v>
      </c>
      <c r="D807" s="47">
        <v>440678</v>
      </c>
      <c r="E807" s="47" t="s">
        <v>1839</v>
      </c>
      <c r="F807" s="47">
        <v>440678</v>
      </c>
      <c r="G807" s="48">
        <v>8.3799999999999999E-2</v>
      </c>
      <c r="H807" s="48">
        <v>8.3799999999999999E-2</v>
      </c>
      <c r="I807" s="48">
        <v>0.14339123831694631</v>
      </c>
      <c r="K807" s="62">
        <v>0</v>
      </c>
      <c r="M807" s="64"/>
      <c r="N807" s="64"/>
    </row>
    <row r="808" spans="1:14" x14ac:dyDescent="0.25">
      <c r="A808" s="45" t="s">
        <v>876</v>
      </c>
      <c r="B808" s="46">
        <v>325899</v>
      </c>
      <c r="C808" s="60">
        <v>0.21</v>
      </c>
      <c r="D808" s="47">
        <v>571790</v>
      </c>
      <c r="E808" s="47" t="s">
        <v>1839</v>
      </c>
      <c r="F808" s="47">
        <v>571790</v>
      </c>
      <c r="G808" s="48">
        <v>8.3299999999999999E-2</v>
      </c>
      <c r="H808" s="48">
        <v>8.3299999999999999E-2</v>
      </c>
      <c r="I808" s="48">
        <v>0.1433934074504179</v>
      </c>
      <c r="K808" s="62">
        <v>0</v>
      </c>
      <c r="M808" s="64"/>
      <c r="N808" s="64"/>
    </row>
    <row r="809" spans="1:14" x14ac:dyDescent="0.25">
      <c r="A809" s="45" t="s">
        <v>877</v>
      </c>
      <c r="B809" s="46">
        <v>218178</v>
      </c>
      <c r="C809" s="60">
        <v>0.21</v>
      </c>
      <c r="D809" s="47">
        <v>382793</v>
      </c>
      <c r="E809" s="47" t="s">
        <v>1839</v>
      </c>
      <c r="F809" s="47">
        <v>382793</v>
      </c>
      <c r="G809" s="48">
        <v>8.3400000000000002E-2</v>
      </c>
      <c r="H809" s="48">
        <v>8.3400000000000002E-2</v>
      </c>
      <c r="I809" s="48">
        <v>0.14339275542730251</v>
      </c>
      <c r="K809" s="62">
        <v>0</v>
      </c>
      <c r="M809" s="64"/>
      <c r="N809" s="64"/>
    </row>
    <row r="810" spans="1:14" x14ac:dyDescent="0.25">
      <c r="A810" s="45" t="s">
        <v>878</v>
      </c>
      <c r="B810" s="46">
        <v>187621</v>
      </c>
      <c r="C810" s="60">
        <v>0.21</v>
      </c>
      <c r="D810" s="47">
        <v>329179</v>
      </c>
      <c r="E810" s="47" t="s">
        <v>1839</v>
      </c>
      <c r="F810" s="47">
        <v>329179</v>
      </c>
      <c r="G810" s="48">
        <v>8.1900000000000001E-2</v>
      </c>
      <c r="H810" s="48">
        <v>8.1900000000000001E-2</v>
      </c>
      <c r="I810" s="48">
        <v>0.14338966361723751</v>
      </c>
      <c r="K810" s="62">
        <v>0</v>
      </c>
      <c r="M810" s="64"/>
      <c r="N810" s="64"/>
    </row>
    <row r="811" spans="1:14" x14ac:dyDescent="0.25">
      <c r="A811" s="45" t="s">
        <v>879</v>
      </c>
      <c r="B811" s="46">
        <v>290462</v>
      </c>
      <c r="C811" s="60">
        <v>0.21</v>
      </c>
      <c r="D811" s="47">
        <v>509617</v>
      </c>
      <c r="E811" s="47" t="s">
        <v>1839</v>
      </c>
      <c r="F811" s="47">
        <v>509617</v>
      </c>
      <c r="G811" s="48">
        <v>8.4500000000000006E-2</v>
      </c>
      <c r="H811" s="48">
        <v>8.4500000000000006E-2</v>
      </c>
      <c r="I811" s="48">
        <v>0.1433947928706133</v>
      </c>
      <c r="K811" s="62">
        <v>0</v>
      </c>
      <c r="M811" s="64"/>
      <c r="N811" s="64"/>
    </row>
    <row r="812" spans="1:14" x14ac:dyDescent="0.25">
      <c r="A812" s="45" t="s">
        <v>880</v>
      </c>
      <c r="B812" s="46">
        <v>113195</v>
      </c>
      <c r="C812" s="60">
        <v>0.21</v>
      </c>
      <c r="D812" s="47">
        <v>198598</v>
      </c>
      <c r="E812" s="47" t="s">
        <v>1839</v>
      </c>
      <c r="F812" s="47">
        <v>198598</v>
      </c>
      <c r="G812" s="48">
        <v>8.3099999999999993E-2</v>
      </c>
      <c r="H812" s="48">
        <v>8.3099999999999993E-2</v>
      </c>
      <c r="I812" s="48">
        <v>0.14338566285492191</v>
      </c>
      <c r="K812" s="62">
        <v>0</v>
      </c>
      <c r="M812" s="64"/>
      <c r="N812" s="64"/>
    </row>
    <row r="813" spans="1:14" x14ac:dyDescent="0.25">
      <c r="A813" s="45" t="s">
        <v>881</v>
      </c>
      <c r="B813" s="46">
        <v>22716</v>
      </c>
      <c r="C813" s="60">
        <v>0.21</v>
      </c>
      <c r="D813" s="47">
        <v>39856</v>
      </c>
      <c r="E813" s="47" t="s">
        <v>1839</v>
      </c>
      <c r="F813" s="47">
        <v>39856</v>
      </c>
      <c r="G813" s="48">
        <v>5.6800000000000003E-2</v>
      </c>
      <c r="H813" s="48">
        <v>5.6800000000000003E-2</v>
      </c>
      <c r="I813" s="48">
        <v>0.1434043294362804</v>
      </c>
      <c r="K813" s="62">
        <v>0</v>
      </c>
      <c r="M813" s="64"/>
      <c r="N813" s="64"/>
    </row>
    <row r="814" spans="1:14" x14ac:dyDescent="0.25">
      <c r="A814" s="45" t="s">
        <v>882</v>
      </c>
      <c r="B814" s="46">
        <v>22716</v>
      </c>
      <c r="C814" s="60">
        <v>0.21</v>
      </c>
      <c r="D814" s="47">
        <v>39856</v>
      </c>
      <c r="E814" s="47" t="s">
        <v>1839</v>
      </c>
      <c r="F814" s="47">
        <v>39856</v>
      </c>
      <c r="G814" s="48">
        <v>5.6800000000000003E-2</v>
      </c>
      <c r="H814" s="48">
        <v>5.6800000000000003E-2</v>
      </c>
      <c r="I814" s="48">
        <v>0.1434043294362804</v>
      </c>
      <c r="K814" s="62">
        <v>0</v>
      </c>
      <c r="M814" s="64"/>
      <c r="N814" s="64"/>
    </row>
    <row r="815" spans="1:14" x14ac:dyDescent="0.25">
      <c r="A815" s="45" t="s">
        <v>883</v>
      </c>
      <c r="B815" s="46">
        <v>33601</v>
      </c>
      <c r="C815" s="60">
        <v>0.21</v>
      </c>
      <c r="D815" s="47">
        <v>58951</v>
      </c>
      <c r="E815" s="47" t="s">
        <v>1839</v>
      </c>
      <c r="F815" s="47">
        <v>58951</v>
      </c>
      <c r="G815" s="48">
        <v>6.93E-2</v>
      </c>
      <c r="H815" s="48">
        <v>6.93E-2</v>
      </c>
      <c r="I815" s="48">
        <v>0.14337430667945619</v>
      </c>
      <c r="K815" s="62">
        <v>0</v>
      </c>
      <c r="M815" s="64"/>
      <c r="N815" s="64"/>
    </row>
    <row r="816" spans="1:14" x14ac:dyDescent="0.25">
      <c r="A816" s="45" t="s">
        <v>884</v>
      </c>
      <c r="B816" s="46">
        <v>46040</v>
      </c>
      <c r="C816" s="60">
        <v>0.21</v>
      </c>
      <c r="D816" s="47">
        <v>80775</v>
      </c>
      <c r="E816" s="47" t="s">
        <v>1839</v>
      </c>
      <c r="F816" s="47">
        <v>80775</v>
      </c>
      <c r="G816" s="48">
        <v>7.3300000000000004E-2</v>
      </c>
      <c r="H816" s="48">
        <v>7.3300000000000004E-2</v>
      </c>
      <c r="I816" s="48">
        <v>0.14337782113111081</v>
      </c>
      <c r="K816" s="62">
        <v>0</v>
      </c>
      <c r="M816" s="64"/>
      <c r="N816" s="64"/>
    </row>
    <row r="817" spans="1:14" x14ac:dyDescent="0.25">
      <c r="A817" s="45" t="s">
        <v>885</v>
      </c>
      <c r="B817" s="46">
        <v>72781</v>
      </c>
      <c r="C817" s="60">
        <v>0.21</v>
      </c>
      <c r="D817" s="47">
        <v>127695</v>
      </c>
      <c r="E817" s="47" t="s">
        <v>1839</v>
      </c>
      <c r="F817" s="47">
        <v>127695</v>
      </c>
      <c r="G817" s="48">
        <v>7.51E-2</v>
      </c>
      <c r="H817" s="48">
        <v>7.51E-2</v>
      </c>
      <c r="I817" s="48">
        <v>0.14339648648691261</v>
      </c>
      <c r="K817" s="62">
        <v>0</v>
      </c>
      <c r="M817" s="64"/>
      <c r="N817" s="64"/>
    </row>
    <row r="818" spans="1:14" x14ac:dyDescent="0.25">
      <c r="A818" s="45" t="s">
        <v>886</v>
      </c>
      <c r="B818" s="46">
        <v>90342</v>
      </c>
      <c r="C818" s="60">
        <v>0.21</v>
      </c>
      <c r="D818" s="47">
        <v>158503</v>
      </c>
      <c r="E818" s="47" t="s">
        <v>1839</v>
      </c>
      <c r="F818" s="47">
        <v>158503</v>
      </c>
      <c r="G818" s="48">
        <v>7.9000000000000001E-2</v>
      </c>
      <c r="H818" s="48">
        <v>7.9000000000000001E-2</v>
      </c>
      <c r="I818" s="48">
        <v>0.1433858715378418</v>
      </c>
      <c r="K818" s="62">
        <v>0</v>
      </c>
      <c r="M818" s="64"/>
      <c r="N818" s="64"/>
    </row>
    <row r="819" spans="1:14" x14ac:dyDescent="0.25">
      <c r="A819" s="45" t="s">
        <v>887</v>
      </c>
      <c r="B819" s="46">
        <v>199138</v>
      </c>
      <c r="C819" s="60">
        <v>0.21</v>
      </c>
      <c r="D819" s="47">
        <v>349388</v>
      </c>
      <c r="E819" s="47" t="s">
        <v>1839</v>
      </c>
      <c r="F819" s="47">
        <v>349388</v>
      </c>
      <c r="G819" s="48">
        <v>8.2299999999999998E-2</v>
      </c>
      <c r="H819" s="48">
        <v>8.2299999999999998E-2</v>
      </c>
      <c r="I819" s="48">
        <v>0.1433938218734018</v>
      </c>
      <c r="K819" s="62">
        <v>0</v>
      </c>
      <c r="M819" s="64"/>
      <c r="N819" s="64"/>
    </row>
    <row r="820" spans="1:14" x14ac:dyDescent="0.25">
      <c r="A820" s="45" t="s">
        <v>888</v>
      </c>
      <c r="B820" s="46">
        <v>33601</v>
      </c>
      <c r="C820" s="60">
        <v>0.21</v>
      </c>
      <c r="D820" s="47">
        <v>58951</v>
      </c>
      <c r="E820" s="47" t="s">
        <v>1839</v>
      </c>
      <c r="F820" s="47">
        <v>58951</v>
      </c>
      <c r="G820" s="48">
        <v>6.93E-2</v>
      </c>
      <c r="H820" s="48">
        <v>6.93E-2</v>
      </c>
      <c r="I820" s="48">
        <v>0.14337430667945619</v>
      </c>
      <c r="K820" s="62">
        <v>0</v>
      </c>
      <c r="M820" s="64"/>
      <c r="N820" s="64"/>
    </row>
    <row r="821" spans="1:14" x14ac:dyDescent="0.25">
      <c r="A821" s="45" t="s">
        <v>889</v>
      </c>
      <c r="B821" s="46">
        <v>33414</v>
      </c>
      <c r="C821" s="60">
        <v>0.21</v>
      </c>
      <c r="D821" s="47">
        <v>58624</v>
      </c>
      <c r="E821" s="47" t="s">
        <v>1839</v>
      </c>
      <c r="F821" s="47">
        <v>58624</v>
      </c>
      <c r="G821" s="48">
        <v>6.9199999999999998E-2</v>
      </c>
      <c r="H821" s="48">
        <v>6.9199999999999998E-2</v>
      </c>
      <c r="I821" s="48">
        <v>0.14338481321719279</v>
      </c>
      <c r="K821" s="62">
        <v>0</v>
      </c>
      <c r="M821" s="64"/>
      <c r="N821" s="64"/>
    </row>
    <row r="822" spans="1:14" x14ac:dyDescent="0.25">
      <c r="A822" s="45" t="s">
        <v>890</v>
      </c>
      <c r="B822" s="46">
        <v>11649</v>
      </c>
      <c r="C822" s="60">
        <v>0.21</v>
      </c>
      <c r="D822" s="47">
        <v>20438</v>
      </c>
      <c r="E822" s="47" t="s">
        <v>1839</v>
      </c>
      <c r="F822" s="47">
        <v>20438</v>
      </c>
      <c r="G822" s="48">
        <v>8.1199999999999994E-2</v>
      </c>
      <c r="H822" s="48">
        <v>8.1199999999999994E-2</v>
      </c>
      <c r="I822" s="48">
        <v>0.14338844879989679</v>
      </c>
      <c r="K822" s="62">
        <v>0</v>
      </c>
      <c r="M822" s="64"/>
      <c r="N822" s="64"/>
    </row>
    <row r="823" spans="1:14" x14ac:dyDescent="0.25">
      <c r="A823" s="45" t="s">
        <v>891</v>
      </c>
      <c r="B823" s="46">
        <v>105880</v>
      </c>
      <c r="C823" s="60">
        <v>0.21</v>
      </c>
      <c r="D823" s="47">
        <v>185767</v>
      </c>
      <c r="E823" s="47" t="s">
        <v>1839</v>
      </c>
      <c r="F823" s="47">
        <v>185767</v>
      </c>
      <c r="G823" s="48">
        <v>7.9600000000000004E-2</v>
      </c>
      <c r="H823" s="48">
        <v>7.9600000000000004E-2</v>
      </c>
      <c r="I823" s="48">
        <v>0.1433948604104735</v>
      </c>
      <c r="K823" s="62">
        <v>0</v>
      </c>
      <c r="M823" s="64"/>
      <c r="N823" s="64"/>
    </row>
    <row r="824" spans="1:14" x14ac:dyDescent="0.25">
      <c r="A824" s="45" t="s">
        <v>892</v>
      </c>
      <c r="B824" s="46">
        <v>28883</v>
      </c>
      <c r="C824" s="60">
        <v>0.21</v>
      </c>
      <c r="D824" s="47">
        <v>50677</v>
      </c>
      <c r="E824" s="47" t="s">
        <v>1839</v>
      </c>
      <c r="F824" s="47">
        <v>50677</v>
      </c>
      <c r="G824" s="48">
        <v>6.6100000000000006E-2</v>
      </c>
      <c r="H824" s="48">
        <v>6.6100000000000006E-2</v>
      </c>
      <c r="I824" s="48">
        <v>0.14341318385495841</v>
      </c>
      <c r="K824" s="62">
        <v>0</v>
      </c>
      <c r="M824" s="64"/>
      <c r="N824" s="64"/>
    </row>
    <row r="825" spans="1:14" x14ac:dyDescent="0.25">
      <c r="A825" s="45" t="s">
        <v>893</v>
      </c>
      <c r="B825" s="46">
        <v>271754</v>
      </c>
      <c r="C825" s="60">
        <v>0.21</v>
      </c>
      <c r="D825" s="47">
        <v>476790</v>
      </c>
      <c r="E825" s="47" t="s">
        <v>1839</v>
      </c>
      <c r="F825" s="47">
        <v>476790</v>
      </c>
      <c r="G825" s="48">
        <v>8.5599999999999996E-2</v>
      </c>
      <c r="H825" s="48">
        <v>8.5599999999999996E-2</v>
      </c>
      <c r="I825" s="48">
        <v>0.14339034297057179</v>
      </c>
      <c r="K825" s="62">
        <v>0</v>
      </c>
      <c r="M825" s="64"/>
      <c r="N825" s="64"/>
    </row>
    <row r="826" spans="1:14" x14ac:dyDescent="0.25">
      <c r="A826" s="45" t="s">
        <v>894</v>
      </c>
      <c r="B826" s="46">
        <v>517127</v>
      </c>
      <c r="C826" s="60">
        <v>0.21</v>
      </c>
      <c r="D826" s="47">
        <v>907298</v>
      </c>
      <c r="E826" s="47" t="s">
        <v>1839</v>
      </c>
      <c r="F826" s="47">
        <v>907298</v>
      </c>
      <c r="G826" s="48">
        <v>8.77E-2</v>
      </c>
      <c r="H826" s="48">
        <v>8.77E-2</v>
      </c>
      <c r="I826" s="48">
        <v>0.14339237343996419</v>
      </c>
      <c r="K826" s="62">
        <v>0</v>
      </c>
      <c r="M826" s="64"/>
      <c r="N826" s="64"/>
    </row>
    <row r="827" spans="1:14" x14ac:dyDescent="0.25">
      <c r="A827" s="45" t="s">
        <v>895</v>
      </c>
      <c r="B827" s="46">
        <v>258999</v>
      </c>
      <c r="C827" s="60">
        <v>0.21</v>
      </c>
      <c r="D827" s="47">
        <v>454414</v>
      </c>
      <c r="E827" s="47" t="s">
        <v>1839</v>
      </c>
      <c r="F827" s="47">
        <v>454414</v>
      </c>
      <c r="G827" s="48">
        <v>8.5599999999999996E-2</v>
      </c>
      <c r="H827" s="48">
        <v>8.5599999999999996E-2</v>
      </c>
      <c r="I827" s="48">
        <v>0.14339352281843329</v>
      </c>
      <c r="K827" s="62">
        <v>0</v>
      </c>
      <c r="M827" s="64"/>
      <c r="N827" s="64"/>
    </row>
    <row r="828" spans="1:14" x14ac:dyDescent="0.25">
      <c r="A828" s="45" t="s">
        <v>896</v>
      </c>
      <c r="B828" s="46">
        <v>141742</v>
      </c>
      <c r="C828" s="60">
        <v>0.21</v>
      </c>
      <c r="D828" s="47">
        <v>248684</v>
      </c>
      <c r="E828" s="47" t="s">
        <v>1839</v>
      </c>
      <c r="F828" s="47">
        <v>248684</v>
      </c>
      <c r="G828" s="48">
        <v>8.4000000000000005E-2</v>
      </c>
      <c r="H828" s="48">
        <v>8.4000000000000005E-2</v>
      </c>
      <c r="I828" s="48">
        <v>0.14338784281126429</v>
      </c>
      <c r="K828" s="62">
        <v>0</v>
      </c>
      <c r="M828" s="64"/>
      <c r="N828" s="64"/>
    </row>
    <row r="829" spans="1:14" x14ac:dyDescent="0.25">
      <c r="A829" s="45" t="s">
        <v>897</v>
      </c>
      <c r="B829" s="46">
        <v>141742</v>
      </c>
      <c r="C829" s="60">
        <v>0.21</v>
      </c>
      <c r="D829" s="47">
        <v>248684</v>
      </c>
      <c r="E829" s="47" t="s">
        <v>1839</v>
      </c>
      <c r="F829" s="47">
        <v>248684</v>
      </c>
      <c r="G829" s="48">
        <v>8.2100000000000006E-2</v>
      </c>
      <c r="H829" s="48">
        <v>8.2100000000000006E-2</v>
      </c>
      <c r="I829" s="48">
        <v>0.14338784281126429</v>
      </c>
      <c r="K829" s="62">
        <v>0</v>
      </c>
      <c r="M829" s="64"/>
      <c r="N829" s="64"/>
    </row>
    <row r="830" spans="1:14" x14ac:dyDescent="0.25">
      <c r="A830" s="45" t="s">
        <v>898</v>
      </c>
      <c r="B830" s="46">
        <v>231859</v>
      </c>
      <c r="C830" s="60">
        <v>0.21</v>
      </c>
      <c r="D830" s="47">
        <v>406797</v>
      </c>
      <c r="E830" s="47" t="s">
        <v>1839</v>
      </c>
      <c r="F830" s="47">
        <v>406797</v>
      </c>
      <c r="G830" s="48">
        <v>8.5500000000000007E-2</v>
      </c>
      <c r="H830" s="48">
        <v>8.5500000000000007E-2</v>
      </c>
      <c r="I830" s="48">
        <v>0.14339374232650279</v>
      </c>
      <c r="K830" s="62">
        <v>0</v>
      </c>
      <c r="M830" s="64"/>
      <c r="N830" s="64"/>
    </row>
    <row r="831" spans="1:14" x14ac:dyDescent="0.25">
      <c r="A831" s="45" t="s">
        <v>899</v>
      </c>
      <c r="B831" s="46">
        <v>72356</v>
      </c>
      <c r="C831" s="60">
        <v>0.21</v>
      </c>
      <c r="D831" s="47">
        <v>126947</v>
      </c>
      <c r="E831" s="47" t="s">
        <v>1839</v>
      </c>
      <c r="F831" s="47">
        <v>126947</v>
      </c>
      <c r="G831" s="48">
        <v>8.0100000000000005E-2</v>
      </c>
      <c r="H831" s="48">
        <v>8.0100000000000005E-2</v>
      </c>
      <c r="I831" s="48">
        <v>0.14338601099080209</v>
      </c>
      <c r="K831" s="62">
        <v>0</v>
      </c>
      <c r="M831" s="64"/>
      <c r="N831" s="64"/>
    </row>
    <row r="832" spans="1:14" x14ac:dyDescent="0.25">
      <c r="A832" s="45" t="s">
        <v>900</v>
      </c>
      <c r="B832" s="46">
        <v>71477</v>
      </c>
      <c r="C832" s="60">
        <v>0.21</v>
      </c>
      <c r="D832" s="47">
        <v>125404</v>
      </c>
      <c r="E832" s="47" t="s">
        <v>1839</v>
      </c>
      <c r="F832" s="47">
        <v>125404</v>
      </c>
      <c r="G832" s="48">
        <v>8.9399999999999993E-2</v>
      </c>
      <c r="H832" s="48">
        <v>8.9399999999999993E-2</v>
      </c>
      <c r="I832" s="48">
        <v>0.14338231147748809</v>
      </c>
      <c r="K832" s="62">
        <v>0</v>
      </c>
      <c r="M832" s="64"/>
      <c r="N832" s="64"/>
    </row>
    <row r="833" spans="1:14" x14ac:dyDescent="0.25">
      <c r="A833" s="45" t="s">
        <v>901</v>
      </c>
      <c r="B833" s="46">
        <v>71477</v>
      </c>
      <c r="C833" s="60">
        <v>0.21</v>
      </c>
      <c r="D833" s="47">
        <v>125404</v>
      </c>
      <c r="E833" s="47" t="s">
        <v>1839</v>
      </c>
      <c r="F833" s="47">
        <v>125404</v>
      </c>
      <c r="G833" s="48">
        <v>8.9399999999999993E-2</v>
      </c>
      <c r="H833" s="48">
        <v>8.9399999999999993E-2</v>
      </c>
      <c r="I833" s="48">
        <v>0.14338231147748809</v>
      </c>
      <c r="K833" s="62">
        <v>0</v>
      </c>
      <c r="M833" s="64"/>
      <c r="N833" s="64"/>
    </row>
    <row r="834" spans="1:14" x14ac:dyDescent="0.25">
      <c r="A834" s="45" t="s">
        <v>902</v>
      </c>
      <c r="B834" s="46">
        <v>71477</v>
      </c>
      <c r="C834" s="60">
        <v>0.21</v>
      </c>
      <c r="D834" s="47">
        <v>125404</v>
      </c>
      <c r="E834" s="47" t="s">
        <v>1839</v>
      </c>
      <c r="F834" s="47">
        <v>125404</v>
      </c>
      <c r="G834" s="48">
        <v>7.9000000000000001E-2</v>
      </c>
      <c r="H834" s="48">
        <v>7.9000000000000001E-2</v>
      </c>
      <c r="I834" s="48">
        <v>0.14338231147748809</v>
      </c>
      <c r="K834" s="62">
        <v>0</v>
      </c>
      <c r="M834" s="64"/>
      <c r="N834" s="64"/>
    </row>
    <row r="835" spans="1:14" x14ac:dyDescent="0.25">
      <c r="A835" s="45" t="s">
        <v>903</v>
      </c>
      <c r="B835" s="46">
        <v>67091</v>
      </c>
      <c r="C835" s="60">
        <v>0.21</v>
      </c>
      <c r="D835" s="47">
        <v>117712</v>
      </c>
      <c r="E835" s="47" t="s">
        <v>1839</v>
      </c>
      <c r="F835" s="47">
        <v>117712</v>
      </c>
      <c r="G835" s="48">
        <v>7.9399999999999998E-2</v>
      </c>
      <c r="H835" s="48">
        <v>7.9399999999999998E-2</v>
      </c>
      <c r="I835" s="48">
        <v>0.14339727331520141</v>
      </c>
      <c r="K835" s="62">
        <v>0</v>
      </c>
      <c r="M835" s="64"/>
      <c r="N835" s="64"/>
    </row>
    <row r="836" spans="1:14" x14ac:dyDescent="0.25">
      <c r="A836" s="45" t="s">
        <v>904</v>
      </c>
      <c r="B836" s="46">
        <v>58744</v>
      </c>
      <c r="C836" s="60">
        <v>0.105</v>
      </c>
      <c r="D836" s="47">
        <v>94120</v>
      </c>
      <c r="E836" s="47" t="s">
        <v>1839</v>
      </c>
      <c r="F836" s="47">
        <v>94120</v>
      </c>
      <c r="G836" s="48">
        <v>0.1</v>
      </c>
      <c r="H836" s="48">
        <v>0.1</v>
      </c>
      <c r="I836" s="48">
        <v>0.167747854070741</v>
      </c>
      <c r="K836" s="62">
        <v>0</v>
      </c>
      <c r="M836" s="64"/>
      <c r="N836" s="64"/>
    </row>
    <row r="837" spans="1:14" x14ac:dyDescent="0.25">
      <c r="A837" s="45" t="s">
        <v>905</v>
      </c>
      <c r="B837" s="46">
        <v>88090</v>
      </c>
      <c r="C837" s="60">
        <v>0.21</v>
      </c>
      <c r="D837" s="47">
        <v>154555</v>
      </c>
      <c r="E837" s="47" t="s">
        <v>1839</v>
      </c>
      <c r="F837" s="47">
        <v>154555</v>
      </c>
      <c r="G837" s="48">
        <v>8.1000000000000003E-2</v>
      </c>
      <c r="H837" s="48">
        <v>8.1000000000000003E-2</v>
      </c>
      <c r="I837" s="48">
        <v>0.1433972417096008</v>
      </c>
      <c r="K837" s="62">
        <v>0</v>
      </c>
      <c r="M837" s="64"/>
      <c r="N837" s="64"/>
    </row>
    <row r="838" spans="1:14" x14ac:dyDescent="0.25">
      <c r="A838" s="45" t="s">
        <v>906</v>
      </c>
      <c r="B838" s="46">
        <v>78315</v>
      </c>
      <c r="C838" s="60">
        <v>0.21</v>
      </c>
      <c r="D838" s="47">
        <v>137402</v>
      </c>
      <c r="E838" s="47" t="s">
        <v>1839</v>
      </c>
      <c r="F838" s="47">
        <v>137402</v>
      </c>
      <c r="G838" s="48">
        <v>8.0799999999999997E-2</v>
      </c>
      <c r="H838" s="48">
        <v>8.0799999999999997E-2</v>
      </c>
      <c r="I838" s="48">
        <v>0.1433862865777378</v>
      </c>
      <c r="K838" s="62">
        <v>0</v>
      </c>
      <c r="M838" s="64"/>
      <c r="N838" s="64"/>
    </row>
    <row r="839" spans="1:14" x14ac:dyDescent="0.25">
      <c r="A839" s="45" t="s">
        <v>907</v>
      </c>
      <c r="B839" s="46">
        <v>37141</v>
      </c>
      <c r="C839" s="60">
        <v>0.21</v>
      </c>
      <c r="D839" s="47">
        <v>65165</v>
      </c>
      <c r="E839" s="47" t="s">
        <v>1839</v>
      </c>
      <c r="F839" s="47">
        <v>65165</v>
      </c>
      <c r="G839" s="48">
        <v>8.9399999999999993E-2</v>
      </c>
      <c r="H839" s="48">
        <v>8.9399999999999993E-2</v>
      </c>
      <c r="I839" s="48">
        <v>0.14340296027804639</v>
      </c>
      <c r="K839" s="62">
        <v>0</v>
      </c>
      <c r="M839" s="64"/>
      <c r="N839" s="64"/>
    </row>
    <row r="840" spans="1:14" x14ac:dyDescent="0.25">
      <c r="A840" s="45" t="s">
        <v>908</v>
      </c>
      <c r="B840" s="46">
        <v>135741</v>
      </c>
      <c r="C840" s="60">
        <v>0.21</v>
      </c>
      <c r="D840" s="47">
        <v>238157</v>
      </c>
      <c r="E840" s="47" t="s">
        <v>1839</v>
      </c>
      <c r="F840" s="47">
        <v>238157</v>
      </c>
      <c r="G840" s="48">
        <v>8.4099999999999994E-2</v>
      </c>
      <c r="H840" s="48">
        <v>8.4099999999999994E-2</v>
      </c>
      <c r="I840" s="48">
        <v>0.1433918047646664</v>
      </c>
      <c r="K840" s="62">
        <v>0</v>
      </c>
      <c r="M840" s="64"/>
      <c r="N840" s="64"/>
    </row>
    <row r="841" spans="1:14" x14ac:dyDescent="0.25">
      <c r="A841" s="45" t="s">
        <v>909</v>
      </c>
      <c r="B841" s="46">
        <v>169800</v>
      </c>
      <c r="C841" s="60">
        <v>0.21</v>
      </c>
      <c r="D841" s="47">
        <v>297916</v>
      </c>
      <c r="E841" s="47" t="s">
        <v>1839</v>
      </c>
      <c r="F841" s="47">
        <v>297916</v>
      </c>
      <c r="G841" s="48">
        <v>8.4099999999999994E-2</v>
      </c>
      <c r="H841" s="48">
        <v>8.4099999999999994E-2</v>
      </c>
      <c r="I841" s="48">
        <v>0.1433968386204732</v>
      </c>
      <c r="K841" s="62">
        <v>0</v>
      </c>
      <c r="M841" s="64"/>
      <c r="N841" s="64"/>
    </row>
    <row r="842" spans="1:14" x14ac:dyDescent="0.25">
      <c r="A842" s="45" t="s">
        <v>910</v>
      </c>
      <c r="B842" s="46">
        <v>201595</v>
      </c>
      <c r="C842" s="60">
        <v>0.21</v>
      </c>
      <c r="D842" s="47">
        <v>353697</v>
      </c>
      <c r="E842" s="47" t="s">
        <v>1839</v>
      </c>
      <c r="F842" s="47">
        <v>353697</v>
      </c>
      <c r="G842" s="48">
        <v>8.4599999999999995E-2</v>
      </c>
      <c r="H842" s="48">
        <v>8.4599999999999995E-2</v>
      </c>
      <c r="I842" s="48">
        <v>0.143390903267372</v>
      </c>
      <c r="K842" s="62">
        <v>0</v>
      </c>
      <c r="M842" s="64"/>
      <c r="N842" s="64"/>
    </row>
    <row r="843" spans="1:14" x14ac:dyDescent="0.25">
      <c r="A843" s="45" t="s">
        <v>911</v>
      </c>
      <c r="B843" s="46">
        <v>196520</v>
      </c>
      <c r="C843" s="60">
        <v>0.21</v>
      </c>
      <c r="D843" s="47">
        <v>344794</v>
      </c>
      <c r="E843" s="47" t="s">
        <v>1839</v>
      </c>
      <c r="F843" s="47">
        <v>344794</v>
      </c>
      <c r="G843" s="48">
        <v>8.48E-2</v>
      </c>
      <c r="H843" s="48">
        <v>8.48E-2</v>
      </c>
      <c r="I843" s="48">
        <v>0.1433926415656456</v>
      </c>
      <c r="K843" s="62">
        <v>0</v>
      </c>
      <c r="M843" s="64"/>
      <c r="N843" s="64"/>
    </row>
    <row r="844" spans="1:14" x14ac:dyDescent="0.25">
      <c r="A844" s="45" t="s">
        <v>912</v>
      </c>
      <c r="B844" s="46">
        <v>60541</v>
      </c>
      <c r="C844" s="60">
        <v>0.21</v>
      </c>
      <c r="D844" s="47">
        <v>106220</v>
      </c>
      <c r="E844" s="47" t="s">
        <v>1839</v>
      </c>
      <c r="F844" s="47">
        <v>106220</v>
      </c>
      <c r="G844" s="48">
        <v>7.8299999999999995E-2</v>
      </c>
      <c r="H844" s="48">
        <v>7.8299999999999995E-2</v>
      </c>
      <c r="I844" s="48">
        <v>0.1433975794726946</v>
      </c>
      <c r="K844" s="62">
        <v>0</v>
      </c>
      <c r="M844" s="64"/>
      <c r="N844" s="64"/>
    </row>
    <row r="845" spans="1:14" x14ac:dyDescent="0.25">
      <c r="A845" s="45" t="s">
        <v>913</v>
      </c>
      <c r="B845" s="46">
        <v>62411</v>
      </c>
      <c r="C845" s="60">
        <v>0.21</v>
      </c>
      <c r="D845" s="47">
        <v>109501</v>
      </c>
      <c r="E845" s="47" t="s">
        <v>1839</v>
      </c>
      <c r="F845" s="47">
        <v>109501</v>
      </c>
      <c r="G845" s="48">
        <v>7.7600000000000002E-2</v>
      </c>
      <c r="H845" s="48">
        <v>7.7600000000000002E-2</v>
      </c>
      <c r="I845" s="48">
        <v>0.14339789079063059</v>
      </c>
      <c r="K845" s="62">
        <v>0</v>
      </c>
      <c r="M845" s="64"/>
      <c r="N845" s="64"/>
    </row>
    <row r="846" spans="1:14" x14ac:dyDescent="0.25">
      <c r="A846" s="45" t="s">
        <v>914</v>
      </c>
      <c r="B846" s="46">
        <v>40337</v>
      </c>
      <c r="C846" s="60">
        <v>0.21</v>
      </c>
      <c r="D846" s="47">
        <v>70771</v>
      </c>
      <c r="E846" s="47" t="s">
        <v>1839</v>
      </c>
      <c r="F846" s="47">
        <v>70771</v>
      </c>
      <c r="G846" s="48">
        <v>7.2700000000000001E-2</v>
      </c>
      <c r="H846" s="48">
        <v>7.2700000000000001E-2</v>
      </c>
      <c r="I846" s="48">
        <v>0.14339105731333329</v>
      </c>
      <c r="K846" s="62">
        <v>0</v>
      </c>
      <c r="M846" s="64"/>
      <c r="N846" s="64"/>
    </row>
    <row r="847" spans="1:14" x14ac:dyDescent="0.25">
      <c r="A847" s="45" t="s">
        <v>915</v>
      </c>
      <c r="B847" s="46">
        <v>65735</v>
      </c>
      <c r="C847" s="60">
        <v>0.21</v>
      </c>
      <c r="D847" s="47">
        <v>115332</v>
      </c>
      <c r="E847" s="47" t="s">
        <v>1839</v>
      </c>
      <c r="F847" s="47">
        <v>115332</v>
      </c>
      <c r="G847" s="48">
        <v>7.8200000000000006E-2</v>
      </c>
      <c r="H847" s="48">
        <v>7.8200000000000006E-2</v>
      </c>
      <c r="I847" s="48">
        <v>0.14339291944274371</v>
      </c>
      <c r="K847" s="62">
        <v>0</v>
      </c>
      <c r="M847" s="64"/>
      <c r="N847" s="64"/>
    </row>
    <row r="848" spans="1:14" x14ac:dyDescent="0.25">
      <c r="A848" s="45" t="s">
        <v>916</v>
      </c>
      <c r="B848" s="46">
        <v>66627</v>
      </c>
      <c r="C848" s="60">
        <v>0.21</v>
      </c>
      <c r="D848" s="47">
        <v>116896</v>
      </c>
      <c r="E848" s="47" t="s">
        <v>1839</v>
      </c>
      <c r="F848" s="47">
        <v>116896</v>
      </c>
      <c r="G848" s="48">
        <v>7.6200000000000004E-2</v>
      </c>
      <c r="H848" s="48">
        <v>7.6200000000000004E-2</v>
      </c>
      <c r="I848" s="48">
        <v>0.1433879791710001</v>
      </c>
      <c r="K848" s="62">
        <v>0</v>
      </c>
      <c r="M848" s="64"/>
      <c r="N848" s="64"/>
    </row>
    <row r="849" spans="1:14" x14ac:dyDescent="0.25">
      <c r="A849" s="45" t="s">
        <v>917</v>
      </c>
      <c r="B849" s="46">
        <v>76254</v>
      </c>
      <c r="C849" s="60">
        <v>0.21</v>
      </c>
      <c r="D849" s="47">
        <v>133785</v>
      </c>
      <c r="E849" s="47" t="s">
        <v>1839</v>
      </c>
      <c r="F849" s="47">
        <v>133785</v>
      </c>
      <c r="G849" s="48">
        <v>7.7799999999999994E-2</v>
      </c>
      <c r="H849" s="48">
        <v>7.7799999999999994E-2</v>
      </c>
      <c r="I849" s="48">
        <v>0.14338194365630749</v>
      </c>
      <c r="K849" s="62">
        <v>0</v>
      </c>
      <c r="M849" s="64"/>
      <c r="N849" s="64"/>
    </row>
    <row r="850" spans="1:14" x14ac:dyDescent="0.25">
      <c r="A850" s="45" t="s">
        <v>918</v>
      </c>
      <c r="B850" s="46">
        <v>22963</v>
      </c>
      <c r="C850" s="60">
        <v>0.21</v>
      </c>
      <c r="D850" s="47">
        <v>40290</v>
      </c>
      <c r="E850" s="47" t="s">
        <v>1839</v>
      </c>
      <c r="F850" s="47">
        <v>40290</v>
      </c>
      <c r="G850" s="48">
        <v>5.7200000000000001E-2</v>
      </c>
      <c r="H850" s="48">
        <v>5.7200000000000001E-2</v>
      </c>
      <c r="I850" s="48">
        <v>0.14341324213754211</v>
      </c>
      <c r="K850" s="62">
        <v>0</v>
      </c>
      <c r="M850" s="64"/>
      <c r="N850" s="64"/>
    </row>
    <row r="851" spans="1:14" x14ac:dyDescent="0.25">
      <c r="A851" s="45" t="s">
        <v>919</v>
      </c>
      <c r="B851" s="46">
        <v>22963</v>
      </c>
      <c r="C851" s="60">
        <v>0.21</v>
      </c>
      <c r="D851" s="47">
        <v>40290</v>
      </c>
      <c r="E851" s="47" t="s">
        <v>1839</v>
      </c>
      <c r="F851" s="47">
        <v>40290</v>
      </c>
      <c r="G851" s="48">
        <v>5.7200000000000001E-2</v>
      </c>
      <c r="H851" s="48">
        <v>5.7200000000000001E-2</v>
      </c>
      <c r="I851" s="48">
        <v>0.14341324213754211</v>
      </c>
      <c r="K851" s="62">
        <v>0</v>
      </c>
      <c r="M851" s="64"/>
      <c r="N851" s="64"/>
    </row>
    <row r="852" spans="1:14" x14ac:dyDescent="0.25">
      <c r="A852" s="45" t="s">
        <v>920</v>
      </c>
      <c r="B852" s="46">
        <v>25211</v>
      </c>
      <c r="C852" s="60">
        <v>0.21</v>
      </c>
      <c r="D852" s="47">
        <v>44234</v>
      </c>
      <c r="E852" s="47" t="s">
        <v>1839</v>
      </c>
      <c r="F852" s="47">
        <v>44234</v>
      </c>
      <c r="G852" s="48">
        <v>6.2700000000000006E-2</v>
      </c>
      <c r="H852" s="48">
        <v>6.2700000000000006E-2</v>
      </c>
      <c r="I852" s="48">
        <v>0.14340996077751769</v>
      </c>
      <c r="K852" s="62">
        <v>0</v>
      </c>
      <c r="M852" s="64"/>
      <c r="N852" s="64"/>
    </row>
    <row r="853" spans="1:14" x14ac:dyDescent="0.25">
      <c r="A853" s="45" t="s">
        <v>921</v>
      </c>
      <c r="B853" s="46">
        <v>25364</v>
      </c>
      <c r="C853" s="60">
        <v>0.21</v>
      </c>
      <c r="D853" s="47">
        <v>44501</v>
      </c>
      <c r="E853" s="47" t="s">
        <v>1839</v>
      </c>
      <c r="F853" s="47">
        <v>44501</v>
      </c>
      <c r="G853" s="48">
        <v>6.0199999999999997E-2</v>
      </c>
      <c r="H853" s="48">
        <v>6.0199999999999997E-2</v>
      </c>
      <c r="I853" s="48">
        <v>0.14339143611801769</v>
      </c>
      <c r="K853" s="62">
        <v>0</v>
      </c>
      <c r="M853" s="64"/>
      <c r="N853" s="64"/>
    </row>
    <row r="854" spans="1:14" x14ac:dyDescent="0.25">
      <c r="A854" s="45" t="s">
        <v>922</v>
      </c>
      <c r="B854" s="46">
        <v>25364</v>
      </c>
      <c r="C854" s="60">
        <v>0.21</v>
      </c>
      <c r="D854" s="47">
        <v>44501</v>
      </c>
      <c r="E854" s="47" t="s">
        <v>1839</v>
      </c>
      <c r="F854" s="47">
        <v>44501</v>
      </c>
      <c r="G854" s="48">
        <v>6.2799999999999995E-2</v>
      </c>
      <c r="H854" s="48">
        <v>6.2799999999999995E-2</v>
      </c>
      <c r="I854" s="48">
        <v>0.14339143611801769</v>
      </c>
      <c r="K854" s="62">
        <v>0</v>
      </c>
      <c r="M854" s="64"/>
      <c r="N854" s="64"/>
    </row>
    <row r="855" spans="1:14" x14ac:dyDescent="0.25">
      <c r="A855" s="45" t="s">
        <v>923</v>
      </c>
      <c r="B855" s="46">
        <v>217120</v>
      </c>
      <c r="C855" s="60">
        <v>0.21</v>
      </c>
      <c r="D855" s="47">
        <v>380936</v>
      </c>
      <c r="E855" s="47" t="s">
        <v>1839</v>
      </c>
      <c r="F855" s="47">
        <v>380936</v>
      </c>
      <c r="G855" s="48">
        <v>8.5300000000000001E-2</v>
      </c>
      <c r="H855" s="48">
        <v>8.5300000000000001E-2</v>
      </c>
      <c r="I855" s="48">
        <v>0.1433916475380882</v>
      </c>
      <c r="K855" s="62">
        <v>0</v>
      </c>
      <c r="M855" s="64"/>
      <c r="N855" s="64"/>
    </row>
    <row r="856" spans="1:14" x14ac:dyDescent="0.25">
      <c r="A856" s="45" t="s">
        <v>924</v>
      </c>
      <c r="B856" s="46">
        <v>217120</v>
      </c>
      <c r="C856" s="60">
        <v>0.21</v>
      </c>
      <c r="D856" s="47">
        <v>380936</v>
      </c>
      <c r="E856" s="47" t="s">
        <v>1839</v>
      </c>
      <c r="F856" s="47">
        <v>380936</v>
      </c>
      <c r="G856" s="48">
        <v>8.4599999999999995E-2</v>
      </c>
      <c r="H856" s="48">
        <v>8.4599999999999995E-2</v>
      </c>
      <c r="I856" s="48">
        <v>0.1433916475380882</v>
      </c>
      <c r="K856" s="62">
        <v>0</v>
      </c>
      <c r="M856" s="64"/>
      <c r="N856" s="64"/>
    </row>
    <row r="857" spans="1:14" x14ac:dyDescent="0.25">
      <c r="A857" s="45" t="s">
        <v>925</v>
      </c>
      <c r="B857" s="46">
        <v>318049</v>
      </c>
      <c r="C857" s="60">
        <v>0.21</v>
      </c>
      <c r="D857" s="47">
        <v>558016</v>
      </c>
      <c r="E857" s="47" t="s">
        <v>1839</v>
      </c>
      <c r="F857" s="47">
        <v>558016</v>
      </c>
      <c r="G857" s="48">
        <v>8.6099999999999996E-2</v>
      </c>
      <c r="H857" s="48">
        <v>8.6099999999999996E-2</v>
      </c>
      <c r="I857" s="48">
        <v>0.14339221232575031</v>
      </c>
      <c r="K857" s="62">
        <v>0</v>
      </c>
      <c r="M857" s="64"/>
      <c r="N857" s="64"/>
    </row>
    <row r="858" spans="1:14" x14ac:dyDescent="0.25">
      <c r="A858" s="45" t="s">
        <v>926</v>
      </c>
      <c r="B858" s="46">
        <v>397936</v>
      </c>
      <c r="C858" s="60">
        <v>0.21</v>
      </c>
      <c r="D858" s="47">
        <v>698177</v>
      </c>
      <c r="E858" s="47" t="s">
        <v>1839</v>
      </c>
      <c r="F858" s="47">
        <v>698177</v>
      </c>
      <c r="G858" s="48">
        <v>8.7099999999999997E-2</v>
      </c>
      <c r="H858" s="48">
        <v>8.7099999999999997E-2</v>
      </c>
      <c r="I858" s="48">
        <v>0.1433918059975581</v>
      </c>
      <c r="K858" s="62">
        <v>0</v>
      </c>
      <c r="M858" s="64"/>
      <c r="N858" s="64"/>
    </row>
    <row r="859" spans="1:14" x14ac:dyDescent="0.25">
      <c r="A859" s="45" t="s">
        <v>927</v>
      </c>
      <c r="B859" s="46">
        <v>245892</v>
      </c>
      <c r="C859" s="60">
        <v>0.21</v>
      </c>
      <c r="D859" s="47">
        <v>431417</v>
      </c>
      <c r="E859" s="47" t="s">
        <v>1839</v>
      </c>
      <c r="F859" s="47">
        <v>431417</v>
      </c>
      <c r="G859" s="48">
        <v>8.5199999999999998E-2</v>
      </c>
      <c r="H859" s="48">
        <v>8.5199999999999998E-2</v>
      </c>
      <c r="I859" s="48">
        <v>0.14339252453706869</v>
      </c>
      <c r="K859" s="62">
        <v>0</v>
      </c>
      <c r="M859" s="64"/>
      <c r="N859" s="64"/>
    </row>
    <row r="860" spans="1:14" x14ac:dyDescent="0.25">
      <c r="A860" s="45" t="s">
        <v>928</v>
      </c>
      <c r="B860" s="46">
        <v>49636</v>
      </c>
      <c r="C860" s="60">
        <v>0.21</v>
      </c>
      <c r="D860" s="47">
        <v>87086</v>
      </c>
      <c r="E860" s="47" t="s">
        <v>1839</v>
      </c>
      <c r="F860" s="47">
        <v>87086</v>
      </c>
      <c r="G860" s="48">
        <v>7.0800000000000002E-2</v>
      </c>
      <c r="H860" s="48">
        <v>7.0800000000000002E-2</v>
      </c>
      <c r="I860" s="48">
        <v>0.1433908343758688</v>
      </c>
      <c r="K860" s="62">
        <v>0</v>
      </c>
      <c r="M860" s="64"/>
      <c r="N860" s="64"/>
    </row>
    <row r="861" spans="1:14" x14ac:dyDescent="0.25">
      <c r="A861" s="45" t="s">
        <v>929</v>
      </c>
      <c r="B861" s="46">
        <v>338075</v>
      </c>
      <c r="C861" s="60">
        <v>0.21</v>
      </c>
      <c r="D861" s="47">
        <v>593151</v>
      </c>
      <c r="E861" s="47" t="s">
        <v>1839</v>
      </c>
      <c r="F861" s="47">
        <v>593151</v>
      </c>
      <c r="G861" s="48">
        <v>8.9399999999999993E-2</v>
      </c>
      <c r="H861" s="48">
        <v>8.9399999999999993E-2</v>
      </c>
      <c r="I861" s="48">
        <v>0.1433916781639849</v>
      </c>
      <c r="K861" s="62">
        <v>0</v>
      </c>
      <c r="M861" s="64"/>
      <c r="N861" s="64"/>
    </row>
    <row r="862" spans="1:14" x14ac:dyDescent="0.25">
      <c r="A862" s="45" t="s">
        <v>930</v>
      </c>
      <c r="B862" s="46">
        <v>337246</v>
      </c>
      <c r="C862" s="60">
        <v>0.21</v>
      </c>
      <c r="D862" s="47">
        <v>591697</v>
      </c>
      <c r="E862" s="47" t="s">
        <v>1839</v>
      </c>
      <c r="F862" s="47">
        <v>591697</v>
      </c>
      <c r="G862" s="48">
        <v>8.9399999999999993E-2</v>
      </c>
      <c r="H862" s="48">
        <v>8.9399999999999993E-2</v>
      </c>
      <c r="I862" s="48">
        <v>0.14339213726587161</v>
      </c>
      <c r="K862" s="62">
        <v>0</v>
      </c>
      <c r="M862" s="64"/>
      <c r="N862" s="64"/>
    </row>
    <row r="863" spans="1:14" x14ac:dyDescent="0.25">
      <c r="A863" s="45" t="s">
        <v>931</v>
      </c>
      <c r="B863" s="46">
        <v>4021</v>
      </c>
      <c r="C863" s="60">
        <v>0.105</v>
      </c>
      <c r="D863" s="47">
        <v>6664</v>
      </c>
      <c r="E863" s="47" t="s">
        <v>1839</v>
      </c>
      <c r="F863" s="47">
        <v>6664</v>
      </c>
      <c r="G863" s="48">
        <v>0.10780000000000001</v>
      </c>
      <c r="H863" s="48">
        <v>0.10780000000000001</v>
      </c>
      <c r="I863" s="48">
        <v>0.18849589404321099</v>
      </c>
      <c r="K863" s="62">
        <v>0</v>
      </c>
      <c r="M863" s="64"/>
      <c r="N863" s="64"/>
    </row>
    <row r="864" spans="1:14" x14ac:dyDescent="0.25">
      <c r="A864" s="45" t="s">
        <v>932</v>
      </c>
      <c r="B864" s="46">
        <v>3736</v>
      </c>
      <c r="C864" s="60">
        <v>0.105</v>
      </c>
      <c r="D864" s="47">
        <v>6192</v>
      </c>
      <c r="E864" s="47" t="s">
        <v>1839</v>
      </c>
      <c r="F864" s="47">
        <v>6192</v>
      </c>
      <c r="G864" s="48">
        <v>0.1028</v>
      </c>
      <c r="H864" s="48">
        <v>0.1028</v>
      </c>
      <c r="I864" s="48">
        <v>0.1885280774592128</v>
      </c>
      <c r="K864" s="62">
        <v>0</v>
      </c>
      <c r="M864" s="64"/>
      <c r="N864" s="64"/>
    </row>
    <row r="865" spans="1:14" x14ac:dyDescent="0.25">
      <c r="A865" s="45" t="s">
        <v>933</v>
      </c>
      <c r="B865" s="46">
        <v>53559</v>
      </c>
      <c r="C865" s="60">
        <v>0.105</v>
      </c>
      <c r="D865" s="47">
        <v>85816</v>
      </c>
      <c r="E865" s="47" t="s">
        <v>1839</v>
      </c>
      <c r="F865" s="47">
        <v>85816</v>
      </c>
      <c r="G865" s="48">
        <v>9.8699999999999996E-2</v>
      </c>
      <c r="H865" s="48">
        <v>9.8699999999999996E-2</v>
      </c>
      <c r="I865" s="48">
        <v>0.16777286632182151</v>
      </c>
      <c r="K865" s="62">
        <v>0</v>
      </c>
      <c r="M865" s="64"/>
      <c r="N865" s="64"/>
    </row>
    <row r="866" spans="1:14" x14ac:dyDescent="0.25">
      <c r="A866" s="45" t="s">
        <v>934</v>
      </c>
      <c r="B866" s="46">
        <v>63699</v>
      </c>
      <c r="C866" s="60">
        <v>0.21</v>
      </c>
      <c r="D866" s="47">
        <v>115612</v>
      </c>
      <c r="E866" s="47" t="s">
        <v>1839</v>
      </c>
      <c r="F866" s="47">
        <v>115612</v>
      </c>
      <c r="G866" s="48">
        <v>9.5699999999999993E-2</v>
      </c>
      <c r="H866" s="48">
        <v>9.5699999999999993E-2</v>
      </c>
      <c r="I866" s="48">
        <v>0.16238393859507561</v>
      </c>
      <c r="K866" s="62">
        <v>0</v>
      </c>
      <c r="M866" s="64"/>
      <c r="N866" s="64"/>
    </row>
    <row r="867" spans="1:14" x14ac:dyDescent="0.25">
      <c r="A867" s="45" t="s">
        <v>935</v>
      </c>
      <c r="B867" s="46">
        <v>63699</v>
      </c>
      <c r="C867" s="60">
        <v>0.21</v>
      </c>
      <c r="D867" s="47">
        <v>115612</v>
      </c>
      <c r="E867" s="47" t="s">
        <v>1839</v>
      </c>
      <c r="F867" s="47">
        <v>115612</v>
      </c>
      <c r="G867" s="48">
        <v>9.6000000000000002E-2</v>
      </c>
      <c r="H867" s="48">
        <v>9.6000000000000002E-2</v>
      </c>
      <c r="I867" s="48">
        <v>0.16238393859507561</v>
      </c>
      <c r="K867" s="62">
        <v>0</v>
      </c>
      <c r="M867" s="64"/>
      <c r="N867" s="64"/>
    </row>
    <row r="868" spans="1:14" x14ac:dyDescent="0.25">
      <c r="A868" s="45" t="s">
        <v>936</v>
      </c>
      <c r="B868" s="46">
        <v>151933</v>
      </c>
      <c r="C868" s="60">
        <v>0.105</v>
      </c>
      <c r="D868" s="47">
        <v>243435</v>
      </c>
      <c r="E868" s="47" t="s">
        <v>1839</v>
      </c>
      <c r="F868" s="47">
        <v>243435</v>
      </c>
      <c r="G868" s="48">
        <v>0.1079</v>
      </c>
      <c r="H868" s="48">
        <v>0.1079</v>
      </c>
      <c r="I868" s="48">
        <v>0.16776582186768971</v>
      </c>
      <c r="K868" s="62">
        <v>0</v>
      </c>
      <c r="M868" s="64"/>
      <c r="N868" s="64"/>
    </row>
    <row r="869" spans="1:14" x14ac:dyDescent="0.25">
      <c r="A869" s="45" t="s">
        <v>937</v>
      </c>
      <c r="B869" s="46">
        <v>64409</v>
      </c>
      <c r="C869" s="60">
        <v>0.105</v>
      </c>
      <c r="D869" s="47">
        <v>103198</v>
      </c>
      <c r="E869" s="47" t="s">
        <v>1839</v>
      </c>
      <c r="F869" s="47">
        <v>103198</v>
      </c>
      <c r="G869" s="48">
        <v>0.1008</v>
      </c>
      <c r="H869" s="48">
        <v>0.1008</v>
      </c>
      <c r="I869" s="48">
        <v>0.16775693798287061</v>
      </c>
      <c r="K869" s="62">
        <v>0</v>
      </c>
      <c r="M869" s="64"/>
      <c r="N869" s="64"/>
    </row>
    <row r="870" spans="1:14" x14ac:dyDescent="0.25">
      <c r="A870" s="45" t="s">
        <v>938</v>
      </c>
      <c r="B870" s="46">
        <v>231340</v>
      </c>
      <c r="C870" s="60">
        <v>0.105</v>
      </c>
      <c r="D870" s="47">
        <v>370663</v>
      </c>
      <c r="E870" s="47" t="s">
        <v>1839</v>
      </c>
      <c r="F870" s="47">
        <v>370663</v>
      </c>
      <c r="G870" s="48">
        <v>0.11020000000000001</v>
      </c>
      <c r="H870" s="48">
        <v>0.11020000000000001</v>
      </c>
      <c r="I870" s="48">
        <v>0.16776237165267299</v>
      </c>
      <c r="K870" s="62">
        <v>0</v>
      </c>
      <c r="M870" s="64"/>
      <c r="N870" s="64"/>
    </row>
    <row r="871" spans="1:14" x14ac:dyDescent="0.25">
      <c r="A871" s="45" t="s">
        <v>939</v>
      </c>
      <c r="B871" s="46">
        <v>298631</v>
      </c>
      <c r="C871" s="60">
        <v>0.105</v>
      </c>
      <c r="D871" s="47">
        <v>478482</v>
      </c>
      <c r="E871" s="47" t="s">
        <v>1839</v>
      </c>
      <c r="F871" s="47">
        <v>478482</v>
      </c>
      <c r="G871" s="48">
        <v>0.1111</v>
      </c>
      <c r="H871" s="48">
        <v>0.1111</v>
      </c>
      <c r="I871" s="48">
        <v>0.16776554903801641</v>
      </c>
      <c r="K871" s="62">
        <v>0</v>
      </c>
      <c r="M871" s="64"/>
      <c r="N871" s="64"/>
    </row>
    <row r="872" spans="1:14" x14ac:dyDescent="0.25">
      <c r="A872" s="45" t="s">
        <v>940</v>
      </c>
      <c r="B872" s="46">
        <v>79307</v>
      </c>
      <c r="C872" s="60">
        <v>0.21</v>
      </c>
      <c r="D872" s="47">
        <v>139142</v>
      </c>
      <c r="E872" s="47" t="s">
        <v>1839</v>
      </c>
      <c r="F872" s="47" t="s">
        <v>1839</v>
      </c>
      <c r="G872" s="48">
        <v>8.1500000000000003E-2</v>
      </c>
      <c r="H872" s="48">
        <v>8.1500000000000003E-2</v>
      </c>
      <c r="I872" s="48">
        <v>0.11151189658482449</v>
      </c>
      <c r="K872" s="62">
        <v>0</v>
      </c>
      <c r="M872" s="64"/>
      <c r="N872" s="64"/>
    </row>
    <row r="873" spans="1:14" x14ac:dyDescent="0.25">
      <c r="A873" s="45" t="s">
        <v>941</v>
      </c>
      <c r="B873" s="46">
        <v>108188</v>
      </c>
      <c r="C873" s="60">
        <v>0.21</v>
      </c>
      <c r="D873" s="47">
        <v>189817</v>
      </c>
      <c r="E873" s="47" t="s">
        <v>1839</v>
      </c>
      <c r="F873" s="47">
        <v>189817</v>
      </c>
      <c r="G873" s="48">
        <v>8.3199999999999996E-2</v>
      </c>
      <c r="H873" s="48">
        <v>8.3199999999999996E-2</v>
      </c>
      <c r="I873" s="48">
        <v>0.14339666871629431</v>
      </c>
      <c r="K873" s="62">
        <v>0</v>
      </c>
      <c r="M873" s="64"/>
      <c r="N873" s="64"/>
    </row>
    <row r="874" spans="1:14" x14ac:dyDescent="0.25">
      <c r="A874" s="45" t="s">
        <v>942</v>
      </c>
      <c r="B874" s="46">
        <v>103288</v>
      </c>
      <c r="C874" s="60">
        <v>0.21</v>
      </c>
      <c r="D874" s="47">
        <v>174968</v>
      </c>
      <c r="E874" s="47" t="s">
        <v>1839</v>
      </c>
      <c r="F874" s="47">
        <v>174968</v>
      </c>
      <c r="G874" s="48">
        <v>5.8099999999999999E-2</v>
      </c>
      <c r="H874" s="48">
        <v>5.8099999999999999E-2</v>
      </c>
      <c r="I874" s="48">
        <v>0.1230310679958582</v>
      </c>
      <c r="K874" s="62">
        <v>0</v>
      </c>
      <c r="M874" s="64"/>
      <c r="N874" s="64"/>
    </row>
    <row r="875" spans="1:14" x14ac:dyDescent="0.25">
      <c r="A875" s="45" t="s">
        <v>943</v>
      </c>
      <c r="B875" s="46">
        <v>75642</v>
      </c>
      <c r="C875" s="60">
        <v>0.105</v>
      </c>
      <c r="D875" s="47">
        <v>121197</v>
      </c>
      <c r="E875" s="47" t="s">
        <v>1839</v>
      </c>
      <c r="F875" s="47">
        <v>121197</v>
      </c>
      <c r="G875" s="48">
        <v>0.1007</v>
      </c>
      <c r="H875" s="48">
        <v>0.1007</v>
      </c>
      <c r="I875" s="48">
        <v>0.16776289107197859</v>
      </c>
      <c r="K875" s="62">
        <v>0</v>
      </c>
      <c r="M875" s="64"/>
      <c r="N875" s="64"/>
    </row>
    <row r="876" spans="1:14" x14ac:dyDescent="0.25">
      <c r="A876" s="45" t="s">
        <v>944</v>
      </c>
      <c r="B876" s="46">
        <v>112085</v>
      </c>
      <c r="C876" s="60">
        <v>0.105</v>
      </c>
      <c r="D876" s="47">
        <v>179588</v>
      </c>
      <c r="E876" s="47" t="s">
        <v>1839</v>
      </c>
      <c r="F876" s="47">
        <v>179588</v>
      </c>
      <c r="G876" s="48">
        <v>0.10630000000000001</v>
      </c>
      <c r="H876" s="48">
        <v>0.10630000000000001</v>
      </c>
      <c r="I876" s="48">
        <v>0.16776425795825831</v>
      </c>
      <c r="K876" s="62">
        <v>0</v>
      </c>
      <c r="M876" s="64"/>
      <c r="N876" s="64"/>
    </row>
    <row r="877" spans="1:14" x14ac:dyDescent="0.25">
      <c r="A877" s="45" t="s">
        <v>945</v>
      </c>
      <c r="B877" s="46">
        <v>27132</v>
      </c>
      <c r="C877" s="60">
        <v>0.21</v>
      </c>
      <c r="D877" s="47">
        <v>47604</v>
      </c>
      <c r="E877" s="47" t="s">
        <v>1839</v>
      </c>
      <c r="F877" s="47">
        <v>47604</v>
      </c>
      <c r="G877" s="48">
        <v>5.8000000000000003E-2</v>
      </c>
      <c r="H877" s="48">
        <v>5.8000000000000003E-2</v>
      </c>
      <c r="I877" s="48">
        <v>0.1434040511468154</v>
      </c>
      <c r="K877" s="62">
        <v>0</v>
      </c>
      <c r="M877" s="64"/>
      <c r="N877" s="64"/>
    </row>
    <row r="878" spans="1:14" x14ac:dyDescent="0.25">
      <c r="A878" s="45" t="s">
        <v>946</v>
      </c>
      <c r="B878" s="46">
        <v>70469</v>
      </c>
      <c r="C878" s="60">
        <v>0.21</v>
      </c>
      <c r="D878" s="47">
        <v>123636</v>
      </c>
      <c r="E878" s="47" t="s">
        <v>1839</v>
      </c>
      <c r="F878" s="47">
        <v>123636</v>
      </c>
      <c r="G878" s="48">
        <v>7.8600000000000003E-2</v>
      </c>
      <c r="H878" s="48">
        <v>7.8600000000000003E-2</v>
      </c>
      <c r="I878" s="48">
        <v>0.14338462668392529</v>
      </c>
      <c r="K878" s="62">
        <v>0</v>
      </c>
      <c r="M878" s="64"/>
      <c r="N878" s="64"/>
    </row>
    <row r="879" spans="1:14" x14ac:dyDescent="0.25">
      <c r="A879" s="45" t="s">
        <v>947</v>
      </c>
      <c r="B879" s="46">
        <v>88256</v>
      </c>
      <c r="C879" s="60">
        <v>0.21</v>
      </c>
      <c r="D879" s="47">
        <v>154844</v>
      </c>
      <c r="E879" s="47" t="s">
        <v>1839</v>
      </c>
      <c r="F879" s="47">
        <v>154844</v>
      </c>
      <c r="G879" s="48">
        <v>7.8799999999999995E-2</v>
      </c>
      <c r="H879" s="48">
        <v>7.8799999999999995E-2</v>
      </c>
      <c r="I879" s="48">
        <v>0.14338896322437289</v>
      </c>
      <c r="K879" s="62">
        <v>0</v>
      </c>
      <c r="M879" s="64"/>
      <c r="N879" s="64"/>
    </row>
    <row r="880" spans="1:14" x14ac:dyDescent="0.25">
      <c r="A880" s="45" t="s">
        <v>948</v>
      </c>
      <c r="B880" s="46">
        <v>98409</v>
      </c>
      <c r="C880" s="60">
        <v>0.21</v>
      </c>
      <c r="D880" s="47">
        <v>172656</v>
      </c>
      <c r="E880" s="47" t="s">
        <v>1839</v>
      </c>
      <c r="F880" s="47">
        <v>172656</v>
      </c>
      <c r="G880" s="48">
        <v>7.8399999999999997E-2</v>
      </c>
      <c r="H880" s="48">
        <v>7.8399999999999997E-2</v>
      </c>
      <c r="I880" s="48">
        <v>0.1433846519808156</v>
      </c>
      <c r="K880" s="62">
        <v>0</v>
      </c>
      <c r="M880" s="64"/>
      <c r="N880" s="64"/>
    </row>
    <row r="881" spans="1:14" x14ac:dyDescent="0.25">
      <c r="A881" s="45" t="s">
        <v>949</v>
      </c>
      <c r="B881" s="46">
        <v>134908</v>
      </c>
      <c r="C881" s="60">
        <v>0.21</v>
      </c>
      <c r="D881" s="47">
        <v>236695</v>
      </c>
      <c r="E881" s="47" t="s">
        <v>1839</v>
      </c>
      <c r="F881" s="47">
        <v>236695</v>
      </c>
      <c r="G881" s="48">
        <v>8.1699999999999995E-2</v>
      </c>
      <c r="H881" s="48">
        <v>8.1699999999999995E-2</v>
      </c>
      <c r="I881" s="48">
        <v>0.1433905885094707</v>
      </c>
      <c r="K881" s="62">
        <v>0</v>
      </c>
      <c r="M881" s="64"/>
      <c r="N881" s="64"/>
    </row>
    <row r="882" spans="1:14" x14ac:dyDescent="0.25">
      <c r="A882" s="45" t="s">
        <v>950</v>
      </c>
      <c r="B882" s="46">
        <v>49661</v>
      </c>
      <c r="C882" s="60">
        <v>0.105</v>
      </c>
      <c r="D882" s="47">
        <v>79568</v>
      </c>
      <c r="E882" s="47" t="s">
        <v>1839</v>
      </c>
      <c r="F882" s="47">
        <v>79568</v>
      </c>
      <c r="G882" s="48">
        <v>9.74E-2</v>
      </c>
      <c r="H882" s="48">
        <v>9.74E-2</v>
      </c>
      <c r="I882" s="48">
        <v>0.1677544333728781</v>
      </c>
      <c r="K882" s="62">
        <v>0</v>
      </c>
      <c r="M882" s="64"/>
      <c r="N882" s="64"/>
    </row>
    <row r="883" spans="1:14" x14ac:dyDescent="0.25">
      <c r="A883" s="45" t="s">
        <v>951</v>
      </c>
      <c r="B883" s="46">
        <v>68531</v>
      </c>
      <c r="C883" s="60">
        <v>0.105</v>
      </c>
      <c r="D883" s="47">
        <v>109803</v>
      </c>
      <c r="E883" s="47" t="s">
        <v>1839</v>
      </c>
      <c r="F883" s="47">
        <v>109803</v>
      </c>
      <c r="G883" s="48">
        <v>0.10199999999999999</v>
      </c>
      <c r="H883" s="48">
        <v>0.10199999999999999</v>
      </c>
      <c r="I883" s="48">
        <v>0.16776040523551869</v>
      </c>
      <c r="K883" s="62">
        <v>0</v>
      </c>
      <c r="M883" s="64"/>
      <c r="N883" s="64"/>
    </row>
    <row r="884" spans="1:14" x14ac:dyDescent="0.25">
      <c r="A884" s="45" t="s">
        <v>952</v>
      </c>
      <c r="B884" s="46">
        <v>38879</v>
      </c>
      <c r="C884" s="60">
        <v>0.105</v>
      </c>
      <c r="D884" s="47">
        <v>62292</v>
      </c>
      <c r="E884" s="47" t="s">
        <v>1839</v>
      </c>
      <c r="F884" s="47">
        <v>62292</v>
      </c>
      <c r="G884" s="48">
        <v>9.2899999999999996E-2</v>
      </c>
      <c r="H884" s="48">
        <v>9.2899999999999996E-2</v>
      </c>
      <c r="I884" s="48">
        <v>0.16774610886618499</v>
      </c>
      <c r="K884" s="62">
        <v>0</v>
      </c>
      <c r="M884" s="64"/>
      <c r="N884" s="64"/>
    </row>
    <row r="885" spans="1:14" x14ac:dyDescent="0.25">
      <c r="A885" s="45" t="s">
        <v>953</v>
      </c>
      <c r="B885" s="46">
        <v>81638</v>
      </c>
      <c r="C885" s="60">
        <v>0.105</v>
      </c>
      <c r="D885" s="47">
        <v>130806</v>
      </c>
      <c r="E885" s="47" t="s">
        <v>1839</v>
      </c>
      <c r="F885" s="47">
        <v>130806</v>
      </c>
      <c r="G885" s="48">
        <v>8.8300000000000003E-2</v>
      </c>
      <c r="H885" s="48">
        <v>8.8300000000000003E-2</v>
      </c>
      <c r="I885" s="48">
        <v>0.16777214883208591</v>
      </c>
      <c r="K885" s="62">
        <v>0</v>
      </c>
      <c r="M885" s="64"/>
      <c r="N885" s="64"/>
    </row>
    <row r="886" spans="1:14" x14ac:dyDescent="0.25">
      <c r="A886" s="45" t="s">
        <v>954</v>
      </c>
      <c r="B886" s="46">
        <v>53482</v>
      </c>
      <c r="C886" s="60">
        <v>0.21</v>
      </c>
      <c r="D886" s="47">
        <v>90597</v>
      </c>
      <c r="E886" s="47" t="s">
        <v>1839</v>
      </c>
      <c r="F886" s="47">
        <v>90597</v>
      </c>
      <c r="G886" s="48">
        <v>5.1200000000000002E-2</v>
      </c>
      <c r="H886" s="48">
        <v>5.1200000000000002E-2</v>
      </c>
      <c r="I886" s="48">
        <v>0.1230275579347538</v>
      </c>
      <c r="K886" s="62">
        <v>0</v>
      </c>
      <c r="M886" s="64"/>
      <c r="N886" s="64"/>
    </row>
    <row r="887" spans="1:14" x14ac:dyDescent="0.25">
      <c r="A887" s="45" t="s">
        <v>955</v>
      </c>
      <c r="B887" s="46">
        <v>137135</v>
      </c>
      <c r="C887" s="60">
        <v>0.21</v>
      </c>
      <c r="D887" s="47">
        <v>232305</v>
      </c>
      <c r="E887" s="47" t="s">
        <v>1839</v>
      </c>
      <c r="F887" s="47">
        <v>232305</v>
      </c>
      <c r="G887" s="48">
        <v>6.1899999999999997E-2</v>
      </c>
      <c r="H887" s="48">
        <v>6.1899999999999997E-2</v>
      </c>
      <c r="I887" s="48">
        <v>0.1230330893538954</v>
      </c>
      <c r="K887" s="62">
        <v>0</v>
      </c>
      <c r="M887" s="64"/>
      <c r="N887" s="64"/>
    </row>
    <row r="888" spans="1:14" x14ac:dyDescent="0.25">
      <c r="A888" s="45" t="s">
        <v>956</v>
      </c>
      <c r="B888" s="46">
        <v>84715</v>
      </c>
      <c r="C888" s="60">
        <v>0.21</v>
      </c>
      <c r="D888" s="47">
        <v>143509</v>
      </c>
      <c r="E888" s="47" t="s">
        <v>1839</v>
      </c>
      <c r="F888" s="47">
        <v>143509</v>
      </c>
      <c r="G888" s="48">
        <v>6.0499999999999998E-2</v>
      </c>
      <c r="H888" s="48">
        <v>6.0499999999999998E-2</v>
      </c>
      <c r="I888" s="48">
        <v>0.1230447469714047</v>
      </c>
      <c r="K888" s="62">
        <v>0</v>
      </c>
      <c r="M888" s="64"/>
      <c r="N888" s="64"/>
    </row>
    <row r="889" spans="1:14" x14ac:dyDescent="0.25">
      <c r="A889" s="45" t="s">
        <v>957</v>
      </c>
      <c r="B889" s="46">
        <v>84715</v>
      </c>
      <c r="C889" s="60">
        <v>0.21</v>
      </c>
      <c r="D889" s="47">
        <v>143509</v>
      </c>
      <c r="E889" s="47" t="s">
        <v>1839</v>
      </c>
      <c r="F889" s="47">
        <v>143509</v>
      </c>
      <c r="G889" s="48">
        <v>5.9400000000000001E-2</v>
      </c>
      <c r="H889" s="48">
        <v>5.9400000000000001E-2</v>
      </c>
      <c r="I889" s="48">
        <v>0.1230447469714047</v>
      </c>
      <c r="K889" s="62">
        <v>0</v>
      </c>
      <c r="M889" s="64"/>
      <c r="N889" s="64"/>
    </row>
    <row r="890" spans="1:14" x14ac:dyDescent="0.25">
      <c r="A890" s="45" t="s">
        <v>958</v>
      </c>
      <c r="B890" s="46">
        <v>117657</v>
      </c>
      <c r="C890" s="60">
        <v>0.21</v>
      </c>
      <c r="D890" s="47">
        <v>199312</v>
      </c>
      <c r="E890" s="47" t="s">
        <v>1839</v>
      </c>
      <c r="F890" s="47">
        <v>199312</v>
      </c>
      <c r="G890" s="48">
        <v>6.08E-2</v>
      </c>
      <c r="H890" s="48">
        <v>6.08E-2</v>
      </c>
      <c r="I890" s="48">
        <v>0.1230404700522513</v>
      </c>
      <c r="K890" s="62">
        <v>0</v>
      </c>
      <c r="M890" s="64"/>
      <c r="N890" s="64"/>
    </row>
    <row r="891" spans="1:14" x14ac:dyDescent="0.25">
      <c r="A891" s="45" t="s">
        <v>959</v>
      </c>
      <c r="B891" s="46">
        <v>101626</v>
      </c>
      <c r="C891" s="60">
        <v>0.21</v>
      </c>
      <c r="D891" s="47">
        <v>172154</v>
      </c>
      <c r="E891" s="47" t="s">
        <v>1839</v>
      </c>
      <c r="F891" s="47">
        <v>172154</v>
      </c>
      <c r="G891" s="48">
        <v>6.0900000000000003E-2</v>
      </c>
      <c r="H891" s="48">
        <v>6.0900000000000003E-2</v>
      </c>
      <c r="I891" s="48">
        <v>0.1230358613920194</v>
      </c>
      <c r="K891" s="62">
        <v>0</v>
      </c>
      <c r="M891" s="64"/>
      <c r="N891" s="64"/>
    </row>
    <row r="892" spans="1:14" x14ac:dyDescent="0.25">
      <c r="A892" s="45" t="s">
        <v>960</v>
      </c>
      <c r="B892" s="46">
        <v>117657</v>
      </c>
      <c r="C892" s="60">
        <v>0.21</v>
      </c>
      <c r="D892" s="47">
        <v>199312</v>
      </c>
      <c r="E892" s="47" t="s">
        <v>1839</v>
      </c>
      <c r="F892" s="47">
        <v>199312</v>
      </c>
      <c r="G892" s="48">
        <v>6.08E-2</v>
      </c>
      <c r="H892" s="48">
        <v>6.08E-2</v>
      </c>
      <c r="I892" s="48">
        <v>0.1230404700522513</v>
      </c>
      <c r="K892" s="62">
        <v>0</v>
      </c>
      <c r="M892" s="64"/>
      <c r="N892" s="64"/>
    </row>
    <row r="893" spans="1:14" x14ac:dyDescent="0.25">
      <c r="A893" s="45" t="s">
        <v>961</v>
      </c>
      <c r="B893" s="46">
        <v>42700</v>
      </c>
      <c r="C893" s="60">
        <v>0.21</v>
      </c>
      <c r="D893" s="47">
        <v>72335</v>
      </c>
      <c r="E893" s="47" t="s">
        <v>1839</v>
      </c>
      <c r="F893" s="47">
        <v>72335</v>
      </c>
      <c r="G893" s="48">
        <v>5.0099999999999999E-2</v>
      </c>
      <c r="H893" s="48">
        <v>5.0099999999999999E-2</v>
      </c>
      <c r="I893" s="48">
        <v>0.1230471769561705</v>
      </c>
      <c r="K893" s="62">
        <v>0</v>
      </c>
      <c r="M893" s="64"/>
      <c r="N893" s="64"/>
    </row>
    <row r="894" spans="1:14" x14ac:dyDescent="0.25">
      <c r="A894" s="45" t="s">
        <v>962</v>
      </c>
      <c r="B894" s="46">
        <v>52823</v>
      </c>
      <c r="C894" s="60">
        <v>0.21</v>
      </c>
      <c r="D894" s="47">
        <v>92679</v>
      </c>
      <c r="E894" s="47" t="s">
        <v>1839</v>
      </c>
      <c r="F894" s="47">
        <v>92679</v>
      </c>
      <c r="G894" s="48">
        <v>7.6300000000000007E-2</v>
      </c>
      <c r="H894" s="48">
        <v>7.6300000000000007E-2</v>
      </c>
      <c r="I894" s="48">
        <v>0.14339963943322409</v>
      </c>
      <c r="K894" s="62">
        <v>0</v>
      </c>
      <c r="M894" s="64"/>
      <c r="N894" s="64"/>
    </row>
    <row r="895" spans="1:14" x14ac:dyDescent="0.25">
      <c r="A895" s="45" t="s">
        <v>963</v>
      </c>
      <c r="B895" s="46">
        <v>41829</v>
      </c>
      <c r="C895" s="60">
        <v>0.21</v>
      </c>
      <c r="D895" s="47">
        <v>73389</v>
      </c>
      <c r="E895" s="47" t="s">
        <v>1839</v>
      </c>
      <c r="F895" s="47">
        <v>73389</v>
      </c>
      <c r="G895" s="48">
        <v>6.7400000000000002E-2</v>
      </c>
      <c r="H895" s="48">
        <v>6.7400000000000002E-2</v>
      </c>
      <c r="I895" s="48">
        <v>0.1433933550472305</v>
      </c>
      <c r="K895" s="62">
        <v>0</v>
      </c>
      <c r="M895" s="64"/>
      <c r="N895" s="64"/>
    </row>
    <row r="896" spans="1:14" x14ac:dyDescent="0.25">
      <c r="A896" s="45" t="s">
        <v>964</v>
      </c>
      <c r="B896" s="46">
        <v>51089</v>
      </c>
      <c r="C896" s="60">
        <v>0.21</v>
      </c>
      <c r="D896" s="47">
        <v>89636</v>
      </c>
      <c r="E896" s="47" t="s">
        <v>1839</v>
      </c>
      <c r="F896" s="47">
        <v>89636</v>
      </c>
      <c r="G896" s="48">
        <v>7.6200000000000004E-2</v>
      </c>
      <c r="H896" s="48">
        <v>7.6200000000000004E-2</v>
      </c>
      <c r="I896" s="48">
        <v>0.143395425948139</v>
      </c>
      <c r="K896" s="62">
        <v>0</v>
      </c>
      <c r="M896" s="64"/>
      <c r="N896" s="64"/>
    </row>
    <row r="897" spans="1:14" x14ac:dyDescent="0.25">
      <c r="A897" s="45" t="s">
        <v>965</v>
      </c>
      <c r="B897" s="46">
        <v>46457</v>
      </c>
      <c r="C897" s="60">
        <v>0.21</v>
      </c>
      <c r="D897" s="47">
        <v>81506</v>
      </c>
      <c r="E897" s="47" t="s">
        <v>1839</v>
      </c>
      <c r="F897" s="47">
        <v>81506</v>
      </c>
      <c r="G897" s="48">
        <v>7.46E-2</v>
      </c>
      <c r="H897" s="48">
        <v>7.46E-2</v>
      </c>
      <c r="I897" s="48">
        <v>0.14337357804223269</v>
      </c>
      <c r="K897" s="62">
        <v>0</v>
      </c>
      <c r="M897" s="64"/>
      <c r="N897" s="64"/>
    </row>
    <row r="898" spans="1:14" x14ac:dyDescent="0.25">
      <c r="A898" s="45" t="s">
        <v>966</v>
      </c>
      <c r="B898" s="46">
        <v>46457</v>
      </c>
      <c r="C898" s="60">
        <v>0.21</v>
      </c>
      <c r="D898" s="47">
        <v>81506</v>
      </c>
      <c r="E898" s="47" t="s">
        <v>1839</v>
      </c>
      <c r="F898" s="47">
        <v>81506</v>
      </c>
      <c r="G898" s="48">
        <v>7.2599999999999998E-2</v>
      </c>
      <c r="H898" s="48">
        <v>7.2599999999999998E-2</v>
      </c>
      <c r="I898" s="48">
        <v>0.14337357804223269</v>
      </c>
      <c r="K898" s="62">
        <v>0</v>
      </c>
      <c r="M898" s="64"/>
      <c r="N898" s="64"/>
    </row>
    <row r="899" spans="1:14" x14ac:dyDescent="0.25">
      <c r="A899" s="45" t="s">
        <v>967</v>
      </c>
      <c r="B899" s="46">
        <v>54557</v>
      </c>
      <c r="C899" s="60">
        <v>0.21</v>
      </c>
      <c r="D899" s="47">
        <v>95722</v>
      </c>
      <c r="E899" s="47" t="s">
        <v>1839</v>
      </c>
      <c r="F899" s="47">
        <v>95722</v>
      </c>
      <c r="G899" s="48">
        <v>7.2800000000000004E-2</v>
      </c>
      <c r="H899" s="48">
        <v>7.2800000000000004E-2</v>
      </c>
      <c r="I899" s="48">
        <v>0.1434035850251367</v>
      </c>
      <c r="K899" s="62">
        <v>0</v>
      </c>
      <c r="M899" s="64"/>
      <c r="N899" s="64"/>
    </row>
    <row r="900" spans="1:14" x14ac:dyDescent="0.25">
      <c r="A900" s="45" t="s">
        <v>968</v>
      </c>
      <c r="B900" s="46">
        <v>54557</v>
      </c>
      <c r="C900" s="60">
        <v>0.21</v>
      </c>
      <c r="D900" s="47">
        <v>95722</v>
      </c>
      <c r="E900" s="47" t="s">
        <v>1839</v>
      </c>
      <c r="F900" s="47">
        <v>95722</v>
      </c>
      <c r="G900" s="48">
        <v>7.2499999999999995E-2</v>
      </c>
      <c r="H900" s="48">
        <v>7.2499999999999995E-2</v>
      </c>
      <c r="I900" s="48">
        <v>0.1434035850251367</v>
      </c>
      <c r="K900" s="62">
        <v>0</v>
      </c>
      <c r="M900" s="64"/>
      <c r="N900" s="64"/>
    </row>
    <row r="901" spans="1:14" x14ac:dyDescent="0.25">
      <c r="A901" s="45" t="s">
        <v>969</v>
      </c>
      <c r="B901" s="46">
        <v>64388</v>
      </c>
      <c r="C901" s="60">
        <v>0.21</v>
      </c>
      <c r="D901" s="47">
        <v>112969</v>
      </c>
      <c r="E901" s="47" t="s">
        <v>1839</v>
      </c>
      <c r="F901" s="47">
        <v>112969</v>
      </c>
      <c r="G901" s="48">
        <v>7.4999999999999997E-2</v>
      </c>
      <c r="H901" s="48">
        <v>7.4999999999999997E-2</v>
      </c>
      <c r="I901" s="48">
        <v>0.1433944851110861</v>
      </c>
      <c r="K901" s="62">
        <v>0</v>
      </c>
      <c r="M901" s="64"/>
      <c r="N901" s="64"/>
    </row>
    <row r="902" spans="1:14" x14ac:dyDescent="0.25">
      <c r="A902" s="45" t="s">
        <v>970</v>
      </c>
      <c r="B902" s="46">
        <v>146289</v>
      </c>
      <c r="C902" s="60">
        <v>0.21</v>
      </c>
      <c r="D902" s="47">
        <v>256666</v>
      </c>
      <c r="E902" s="47" t="s">
        <v>1839</v>
      </c>
      <c r="F902" s="47">
        <v>256666</v>
      </c>
      <c r="G902" s="48">
        <v>8.3199999999999996E-2</v>
      </c>
      <c r="H902" s="48">
        <v>8.3199999999999996E-2</v>
      </c>
      <c r="I902" s="48">
        <v>0.14339753274280129</v>
      </c>
      <c r="K902" s="62">
        <v>0</v>
      </c>
      <c r="M902" s="64"/>
      <c r="N902" s="64"/>
    </row>
    <row r="903" spans="1:14" x14ac:dyDescent="0.25">
      <c r="A903" s="45" t="s">
        <v>971</v>
      </c>
      <c r="B903" s="46">
        <v>45063</v>
      </c>
      <c r="C903" s="60">
        <v>0.21</v>
      </c>
      <c r="D903" s="47">
        <v>79062</v>
      </c>
      <c r="E903" s="47" t="s">
        <v>1839</v>
      </c>
      <c r="F903" s="47">
        <v>79062</v>
      </c>
      <c r="G903" s="48">
        <v>6.93E-2</v>
      </c>
      <c r="H903" s="48">
        <v>6.93E-2</v>
      </c>
      <c r="I903" s="48">
        <v>0.14338575303707229</v>
      </c>
      <c r="K903" s="62">
        <v>0</v>
      </c>
      <c r="M903" s="64"/>
      <c r="N903" s="64"/>
    </row>
    <row r="904" spans="1:14" x14ac:dyDescent="0.25">
      <c r="A904" s="45" t="s">
        <v>972</v>
      </c>
      <c r="B904" s="46">
        <v>38446</v>
      </c>
      <c r="C904" s="60">
        <v>0.21</v>
      </c>
      <c r="D904" s="47">
        <v>67451</v>
      </c>
      <c r="E904" s="47" t="s">
        <v>1839</v>
      </c>
      <c r="F904" s="47">
        <v>67451</v>
      </c>
      <c r="G904" s="48">
        <v>6.5500000000000003E-2</v>
      </c>
      <c r="H904" s="48">
        <v>6.5500000000000003E-2</v>
      </c>
      <c r="I904" s="48">
        <v>0.14337201937943431</v>
      </c>
      <c r="K904" s="62">
        <v>0</v>
      </c>
      <c r="M904" s="64"/>
      <c r="N904" s="64"/>
    </row>
    <row r="905" spans="1:14" x14ac:dyDescent="0.25">
      <c r="A905" s="45" t="s">
        <v>973</v>
      </c>
      <c r="B905" s="46">
        <v>53410</v>
      </c>
      <c r="C905" s="60">
        <v>0.21</v>
      </c>
      <c r="D905" s="47">
        <v>93708</v>
      </c>
      <c r="E905" s="47" t="s">
        <v>1839</v>
      </c>
      <c r="F905" s="47">
        <v>93708</v>
      </c>
      <c r="G905" s="48">
        <v>7.2099999999999997E-2</v>
      </c>
      <c r="H905" s="48">
        <v>7.2099999999999997E-2</v>
      </c>
      <c r="I905" s="48">
        <v>0.1433941463649642</v>
      </c>
      <c r="K905" s="62">
        <v>0</v>
      </c>
      <c r="M905" s="64"/>
      <c r="N905" s="64"/>
    </row>
    <row r="906" spans="1:14" x14ac:dyDescent="0.25">
      <c r="A906" s="45" t="s">
        <v>974</v>
      </c>
      <c r="B906" s="46">
        <v>83202</v>
      </c>
      <c r="C906" s="60">
        <v>0.21</v>
      </c>
      <c r="D906" s="47">
        <v>145979</v>
      </c>
      <c r="E906" s="47" t="s">
        <v>1839</v>
      </c>
      <c r="F906" s="47">
        <v>145979</v>
      </c>
      <c r="G906" s="48">
        <v>7.9899999999999999E-2</v>
      </c>
      <c r="H906" s="48">
        <v>7.9899999999999999E-2</v>
      </c>
      <c r="I906" s="48">
        <v>0.1433974633232783</v>
      </c>
      <c r="K906" s="62">
        <v>0</v>
      </c>
      <c r="M906" s="64"/>
      <c r="N906" s="64"/>
    </row>
    <row r="907" spans="1:14" x14ac:dyDescent="0.25">
      <c r="A907" s="45" t="s">
        <v>975</v>
      </c>
      <c r="B907" s="46">
        <v>9448</v>
      </c>
      <c r="C907" s="60">
        <v>0.21</v>
      </c>
      <c r="D907" s="47">
        <v>16575</v>
      </c>
      <c r="E907" s="47" t="s">
        <v>1839</v>
      </c>
      <c r="F907" s="47">
        <v>16575</v>
      </c>
      <c r="G907" s="48">
        <v>6.3E-2</v>
      </c>
      <c r="H907" s="48">
        <v>6.3E-2</v>
      </c>
      <c r="I907" s="48">
        <v>0.14334107305569341</v>
      </c>
      <c r="K907" s="62">
        <v>0</v>
      </c>
      <c r="M907" s="64"/>
      <c r="N907" s="64"/>
    </row>
    <row r="908" spans="1:14" x14ac:dyDescent="0.25">
      <c r="A908" s="45" t="s">
        <v>976</v>
      </c>
      <c r="B908" s="46">
        <v>29950</v>
      </c>
      <c r="C908" s="60">
        <v>0.21</v>
      </c>
      <c r="D908" s="47">
        <v>52547</v>
      </c>
      <c r="E908" s="47" t="s">
        <v>1839</v>
      </c>
      <c r="F908" s="47">
        <v>52547</v>
      </c>
      <c r="G908" s="48">
        <v>6.3799999999999996E-2</v>
      </c>
      <c r="H908" s="48">
        <v>6.3799999999999996E-2</v>
      </c>
      <c r="I908" s="48">
        <v>0.1433902207539931</v>
      </c>
      <c r="K908" s="62">
        <v>0</v>
      </c>
      <c r="M908" s="64"/>
      <c r="N908" s="64"/>
    </row>
    <row r="909" spans="1:14" x14ac:dyDescent="0.25">
      <c r="A909" s="45" t="s">
        <v>977</v>
      </c>
      <c r="B909" s="46">
        <v>34157</v>
      </c>
      <c r="C909" s="60">
        <v>0.21</v>
      </c>
      <c r="D909" s="47">
        <v>59929</v>
      </c>
      <c r="E909" s="47" t="s">
        <v>1839</v>
      </c>
      <c r="F909" s="47">
        <v>59929</v>
      </c>
      <c r="G909" s="48">
        <v>6.2600000000000003E-2</v>
      </c>
      <c r="H909" s="48">
        <v>6.2600000000000003E-2</v>
      </c>
      <c r="I909" s="48">
        <v>0.14339837263495661</v>
      </c>
      <c r="K909" s="62">
        <v>0</v>
      </c>
      <c r="M909" s="64"/>
      <c r="N909" s="64"/>
    </row>
    <row r="910" spans="1:14" x14ac:dyDescent="0.25">
      <c r="A910" s="45" t="s">
        <v>978</v>
      </c>
      <c r="B910" s="46">
        <v>53129</v>
      </c>
      <c r="C910" s="60">
        <v>0.21</v>
      </c>
      <c r="D910" s="47">
        <v>93215</v>
      </c>
      <c r="E910" s="47" t="s">
        <v>1839</v>
      </c>
      <c r="F910" s="47">
        <v>93215</v>
      </c>
      <c r="G910" s="48">
        <v>7.2400000000000006E-2</v>
      </c>
      <c r="H910" s="48">
        <v>7.2400000000000006E-2</v>
      </c>
      <c r="I910" s="48">
        <v>0.14339424001130899</v>
      </c>
      <c r="K910" s="62">
        <v>0</v>
      </c>
      <c r="M910" s="64"/>
      <c r="N910" s="64"/>
    </row>
    <row r="911" spans="1:14" x14ac:dyDescent="0.25">
      <c r="A911" s="45" t="s">
        <v>979</v>
      </c>
      <c r="B911" s="46">
        <v>77439</v>
      </c>
      <c r="C911" s="60">
        <v>0.21</v>
      </c>
      <c r="D911" s="47">
        <v>135868</v>
      </c>
      <c r="E911" s="47" t="s">
        <v>1839</v>
      </c>
      <c r="F911" s="47">
        <v>135868</v>
      </c>
      <c r="G911" s="48">
        <v>7.9500000000000001E-2</v>
      </c>
      <c r="H911" s="48">
        <v>7.9500000000000001E-2</v>
      </c>
      <c r="I911" s="48">
        <v>0.14339855010033259</v>
      </c>
      <c r="K911" s="62">
        <v>0</v>
      </c>
      <c r="M911" s="64"/>
      <c r="N911" s="64"/>
    </row>
    <row r="912" spans="1:14" x14ac:dyDescent="0.25">
      <c r="A912" s="45" t="s">
        <v>980</v>
      </c>
      <c r="B912" s="46">
        <v>18972</v>
      </c>
      <c r="C912" s="60">
        <v>0.21</v>
      </c>
      <c r="D912" s="47">
        <v>33286</v>
      </c>
      <c r="E912" s="47" t="s">
        <v>1839</v>
      </c>
      <c r="F912" s="47">
        <v>33286</v>
      </c>
      <c r="G912" s="48">
        <v>5.3800000000000001E-2</v>
      </c>
      <c r="H912" s="48">
        <v>5.3800000000000001E-2</v>
      </c>
      <c r="I912" s="48">
        <v>0.14338679952574229</v>
      </c>
      <c r="K912" s="62">
        <v>0</v>
      </c>
      <c r="M912" s="64"/>
      <c r="N912" s="64"/>
    </row>
    <row r="913" spans="1:14" x14ac:dyDescent="0.25">
      <c r="A913" s="45" t="s">
        <v>981</v>
      </c>
      <c r="B913" s="46">
        <v>25041</v>
      </c>
      <c r="C913" s="60">
        <v>0.21</v>
      </c>
      <c r="D913" s="47">
        <v>43936</v>
      </c>
      <c r="E913" s="47" t="s">
        <v>1839</v>
      </c>
      <c r="F913" s="47">
        <v>43936</v>
      </c>
      <c r="G913" s="48">
        <v>5.8900000000000001E-2</v>
      </c>
      <c r="H913" s="48">
        <v>5.8900000000000001E-2</v>
      </c>
      <c r="I913" s="48">
        <v>0.14341351216635889</v>
      </c>
      <c r="K913" s="62">
        <v>0</v>
      </c>
      <c r="M913" s="64"/>
      <c r="N913" s="64"/>
    </row>
    <row r="914" spans="1:14" x14ac:dyDescent="0.25">
      <c r="A914" s="45" t="s">
        <v>982</v>
      </c>
      <c r="B914" s="46">
        <v>39929</v>
      </c>
      <c r="C914" s="60">
        <v>0.21</v>
      </c>
      <c r="D914" s="47">
        <v>70057</v>
      </c>
      <c r="E914" s="47" t="s">
        <v>1839</v>
      </c>
      <c r="F914" s="47">
        <v>70057</v>
      </c>
      <c r="G914" s="48">
        <v>6.6799999999999998E-2</v>
      </c>
      <c r="H914" s="48">
        <v>6.6799999999999998E-2</v>
      </c>
      <c r="I914" s="48">
        <v>0.14340597258988219</v>
      </c>
      <c r="K914" s="62">
        <v>0</v>
      </c>
      <c r="M914" s="64"/>
      <c r="N914" s="64"/>
    </row>
    <row r="915" spans="1:14" x14ac:dyDescent="0.25">
      <c r="A915" s="45" t="s">
        <v>983</v>
      </c>
      <c r="B915" s="46">
        <v>37166</v>
      </c>
      <c r="C915" s="60">
        <v>0.21</v>
      </c>
      <c r="D915" s="47">
        <v>65207</v>
      </c>
      <c r="E915" s="47" t="s">
        <v>1839</v>
      </c>
      <c r="F915" s="47">
        <v>65207</v>
      </c>
      <c r="G915" s="48">
        <v>6.5000000000000002E-2</v>
      </c>
      <c r="H915" s="48">
        <v>6.5000000000000002E-2</v>
      </c>
      <c r="I915" s="48">
        <v>0.14338667420785189</v>
      </c>
      <c r="K915" s="62">
        <v>0</v>
      </c>
      <c r="M915" s="64"/>
      <c r="N915" s="64"/>
    </row>
    <row r="916" spans="1:14" x14ac:dyDescent="0.25">
      <c r="A916" s="45" t="s">
        <v>984</v>
      </c>
      <c r="B916" s="46">
        <v>101184</v>
      </c>
      <c r="C916" s="60">
        <v>0.21</v>
      </c>
      <c r="D916" s="47">
        <v>177526</v>
      </c>
      <c r="E916" s="47" t="s">
        <v>1839</v>
      </c>
      <c r="F916" s="47">
        <v>177526</v>
      </c>
      <c r="G916" s="48">
        <v>8.0500000000000002E-2</v>
      </c>
      <c r="H916" s="48">
        <v>8.0500000000000002E-2</v>
      </c>
      <c r="I916" s="48">
        <v>0.14338893994219401</v>
      </c>
      <c r="K916" s="62">
        <v>0</v>
      </c>
      <c r="M916" s="64"/>
      <c r="N916" s="64"/>
    </row>
    <row r="917" spans="1:14" x14ac:dyDescent="0.25">
      <c r="A917" s="45" t="s">
        <v>985</v>
      </c>
      <c r="B917" s="46">
        <v>17582</v>
      </c>
      <c r="C917" s="60">
        <v>0.21</v>
      </c>
      <c r="D917" s="47">
        <v>30846</v>
      </c>
      <c r="E917" s="47" t="s">
        <v>1839</v>
      </c>
      <c r="F917" s="47">
        <v>30846</v>
      </c>
      <c r="G917" s="48">
        <v>5.0999999999999997E-2</v>
      </c>
      <c r="H917" s="48">
        <v>5.0999999999999997E-2</v>
      </c>
      <c r="I917" s="48">
        <v>0.14336328821710079</v>
      </c>
      <c r="K917" s="62">
        <v>0</v>
      </c>
      <c r="M917" s="64"/>
      <c r="N917" s="64"/>
    </row>
    <row r="918" spans="1:14" x14ac:dyDescent="0.25">
      <c r="A918" s="45" t="s">
        <v>986</v>
      </c>
      <c r="B918" s="46">
        <v>24642</v>
      </c>
      <c r="C918" s="60">
        <v>0.21</v>
      </c>
      <c r="D918" s="47">
        <v>43235</v>
      </c>
      <c r="E918" s="47" t="s">
        <v>1839</v>
      </c>
      <c r="F918" s="47">
        <v>43235</v>
      </c>
      <c r="G918" s="48">
        <v>6.2100000000000002E-2</v>
      </c>
      <c r="H918" s="48">
        <v>6.2100000000000002E-2</v>
      </c>
      <c r="I918" s="48">
        <v>0.14340125835958781</v>
      </c>
      <c r="K918" s="62">
        <v>0</v>
      </c>
      <c r="M918" s="64"/>
      <c r="N918" s="64"/>
    </row>
    <row r="919" spans="1:14" x14ac:dyDescent="0.25">
      <c r="A919" s="45" t="s">
        <v>987</v>
      </c>
      <c r="B919" s="46">
        <v>26541</v>
      </c>
      <c r="C919" s="60">
        <v>0.21</v>
      </c>
      <c r="D919" s="47">
        <v>46567</v>
      </c>
      <c r="E919" s="47" t="s">
        <v>1839</v>
      </c>
      <c r="F919" s="47">
        <v>46567</v>
      </c>
      <c r="G919" s="48">
        <v>6.3700000000000007E-2</v>
      </c>
      <c r="H919" s="48">
        <v>6.3700000000000007E-2</v>
      </c>
      <c r="I919" s="48">
        <v>0.1434031850239138</v>
      </c>
      <c r="K919" s="62">
        <v>0</v>
      </c>
      <c r="M919" s="64"/>
      <c r="N919" s="64"/>
    </row>
    <row r="920" spans="1:14" x14ac:dyDescent="0.25">
      <c r="A920" s="45" t="s">
        <v>988</v>
      </c>
      <c r="B920" s="46">
        <v>44731</v>
      </c>
      <c r="C920" s="60">
        <v>0.21</v>
      </c>
      <c r="D920" s="47">
        <v>78480</v>
      </c>
      <c r="E920" s="47" t="s">
        <v>1839</v>
      </c>
      <c r="F920" s="47">
        <v>78480</v>
      </c>
      <c r="G920" s="48">
        <v>6.9199999999999998E-2</v>
      </c>
      <c r="H920" s="48">
        <v>6.9199999999999998E-2</v>
      </c>
      <c r="I920" s="48">
        <v>0.14338928547168769</v>
      </c>
      <c r="K920" s="62">
        <v>0</v>
      </c>
      <c r="M920" s="64"/>
      <c r="N920" s="64"/>
    </row>
    <row r="921" spans="1:14" x14ac:dyDescent="0.25">
      <c r="A921" s="45" t="s">
        <v>989</v>
      </c>
      <c r="B921" s="46">
        <v>46372</v>
      </c>
      <c r="C921" s="60">
        <v>0.21</v>
      </c>
      <c r="D921" s="47">
        <v>81357</v>
      </c>
      <c r="E921" s="47" t="s">
        <v>1839</v>
      </c>
      <c r="F921" s="47">
        <v>81357</v>
      </c>
      <c r="G921" s="48">
        <v>6.9900000000000004E-2</v>
      </c>
      <c r="H921" s="48">
        <v>6.9900000000000004E-2</v>
      </c>
      <c r="I921" s="48">
        <v>0.14337447035491041</v>
      </c>
      <c r="K921" s="62">
        <v>0</v>
      </c>
      <c r="M921" s="64"/>
      <c r="N921" s="64"/>
    </row>
    <row r="922" spans="1:14" x14ac:dyDescent="0.25">
      <c r="A922" s="45" t="s">
        <v>990</v>
      </c>
      <c r="B922" s="46">
        <v>67669</v>
      </c>
      <c r="C922" s="60">
        <v>0.21</v>
      </c>
      <c r="D922" s="47">
        <v>118723</v>
      </c>
      <c r="E922" s="47" t="s">
        <v>1839</v>
      </c>
      <c r="F922" s="47">
        <v>118723</v>
      </c>
      <c r="G922" s="48">
        <v>7.5700000000000003E-2</v>
      </c>
      <c r="H922" s="48">
        <v>7.5700000000000003E-2</v>
      </c>
      <c r="I922" s="48">
        <v>0.14338235144165051</v>
      </c>
      <c r="K922" s="62">
        <v>0</v>
      </c>
      <c r="M922" s="64"/>
      <c r="N922" s="64"/>
    </row>
    <row r="923" spans="1:14" x14ac:dyDescent="0.25">
      <c r="A923" s="45" t="s">
        <v>991</v>
      </c>
      <c r="B923" s="46">
        <v>63461</v>
      </c>
      <c r="C923" s="60">
        <v>0.21</v>
      </c>
      <c r="D923" s="47">
        <v>111341</v>
      </c>
      <c r="E923" s="47" t="s">
        <v>1839</v>
      </c>
      <c r="F923" s="47">
        <v>111341</v>
      </c>
      <c r="G923" s="48">
        <v>7.4800000000000005E-2</v>
      </c>
      <c r="H923" s="48">
        <v>7.4800000000000005E-2</v>
      </c>
      <c r="I923" s="48">
        <v>0.14338642338875021</v>
      </c>
      <c r="K923" s="62">
        <v>0</v>
      </c>
      <c r="M923" s="64"/>
      <c r="N923" s="64"/>
    </row>
    <row r="924" spans="1:14" x14ac:dyDescent="0.25">
      <c r="A924" s="45" t="s">
        <v>992</v>
      </c>
      <c r="B924" s="46">
        <v>56223</v>
      </c>
      <c r="C924" s="60">
        <v>0.105</v>
      </c>
      <c r="D924" s="47">
        <v>90083</v>
      </c>
      <c r="E924" s="47" t="s">
        <v>1839</v>
      </c>
      <c r="F924" s="47">
        <v>90083</v>
      </c>
      <c r="G924" s="48">
        <v>9.5799999999999996E-2</v>
      </c>
      <c r="H924" s="48">
        <v>9.5799999999999996E-2</v>
      </c>
      <c r="I924" s="48">
        <v>0.1677628319940849</v>
      </c>
      <c r="K924" s="62">
        <v>0</v>
      </c>
      <c r="M924" s="64"/>
      <c r="N924" s="64"/>
    </row>
    <row r="925" spans="1:14" x14ac:dyDescent="0.25">
      <c r="A925" s="45" t="s">
        <v>993</v>
      </c>
      <c r="B925" s="46">
        <v>118550</v>
      </c>
      <c r="C925" s="60">
        <v>0.21</v>
      </c>
      <c r="D925" s="47">
        <v>207995</v>
      </c>
      <c r="E925" s="47" t="s">
        <v>1839</v>
      </c>
      <c r="F925" s="47">
        <v>207995</v>
      </c>
      <c r="G925" s="48">
        <v>8.0199999999999994E-2</v>
      </c>
      <c r="H925" s="48">
        <v>8.0199999999999994E-2</v>
      </c>
      <c r="I925" s="48">
        <v>0.14339053183829481</v>
      </c>
      <c r="K925" s="62">
        <v>0</v>
      </c>
      <c r="M925" s="64"/>
      <c r="N925" s="64"/>
    </row>
    <row r="926" spans="1:14" x14ac:dyDescent="0.25">
      <c r="A926" s="45" t="s">
        <v>994</v>
      </c>
      <c r="B926" s="46">
        <v>121648</v>
      </c>
      <c r="C926" s="60">
        <v>0.21</v>
      </c>
      <c r="D926" s="47">
        <v>213430</v>
      </c>
      <c r="E926" s="47" t="s">
        <v>1839</v>
      </c>
      <c r="F926" s="47">
        <v>213430</v>
      </c>
      <c r="G926" s="48">
        <v>8.1600000000000006E-2</v>
      </c>
      <c r="H926" s="48">
        <v>8.1600000000000006E-2</v>
      </c>
      <c r="I926" s="48">
        <v>0.1433894221882166</v>
      </c>
      <c r="K926" s="62">
        <v>0</v>
      </c>
      <c r="M926" s="64"/>
      <c r="N926" s="64"/>
    </row>
    <row r="927" spans="1:14" x14ac:dyDescent="0.25">
      <c r="A927" s="45" t="s">
        <v>995</v>
      </c>
      <c r="B927" s="46">
        <v>121648</v>
      </c>
      <c r="C927" s="60">
        <v>0.21</v>
      </c>
      <c r="D927" s="47">
        <v>213430</v>
      </c>
      <c r="E927" s="47" t="s">
        <v>1839</v>
      </c>
      <c r="F927" s="47">
        <v>213430</v>
      </c>
      <c r="G927" s="48">
        <v>8.0500000000000002E-2</v>
      </c>
      <c r="H927" s="48">
        <v>8.0500000000000002E-2</v>
      </c>
      <c r="I927" s="48">
        <v>0.1433894221882166</v>
      </c>
      <c r="K927" s="62">
        <v>0</v>
      </c>
      <c r="M927" s="64"/>
      <c r="N927" s="64"/>
    </row>
    <row r="928" spans="1:14" x14ac:dyDescent="0.25">
      <c r="A928" s="45" t="s">
        <v>996</v>
      </c>
      <c r="B928" s="46">
        <v>155695</v>
      </c>
      <c r="C928" s="60">
        <v>0.21</v>
      </c>
      <c r="D928" s="47">
        <v>273164</v>
      </c>
      <c r="E928" s="47" t="s">
        <v>1839</v>
      </c>
      <c r="F928" s="47">
        <v>273164</v>
      </c>
      <c r="G928" s="48">
        <v>8.2299999999999998E-2</v>
      </c>
      <c r="H928" s="48">
        <v>8.2299999999999998E-2</v>
      </c>
      <c r="I928" s="48">
        <v>0.1433871996340991</v>
      </c>
      <c r="K928" s="62">
        <v>0</v>
      </c>
      <c r="M928" s="64"/>
      <c r="N928" s="64"/>
    </row>
    <row r="929" spans="1:14" x14ac:dyDescent="0.25">
      <c r="A929" s="45" t="s">
        <v>997</v>
      </c>
      <c r="B929" s="46">
        <v>155695</v>
      </c>
      <c r="C929" s="60">
        <v>0.21</v>
      </c>
      <c r="D929" s="47">
        <v>273164</v>
      </c>
      <c r="E929" s="47" t="s">
        <v>1839</v>
      </c>
      <c r="F929" s="47">
        <v>273164</v>
      </c>
      <c r="G929" s="48">
        <v>8.2299999999999998E-2</v>
      </c>
      <c r="H929" s="48">
        <v>8.2299999999999998E-2</v>
      </c>
      <c r="I929" s="48">
        <v>0.1433871996340991</v>
      </c>
      <c r="K929" s="62">
        <v>0</v>
      </c>
      <c r="M929" s="64"/>
      <c r="N929" s="64"/>
    </row>
    <row r="930" spans="1:14" x14ac:dyDescent="0.25">
      <c r="A930" s="45" t="s">
        <v>998</v>
      </c>
      <c r="B930" s="46">
        <v>186061</v>
      </c>
      <c r="C930" s="60">
        <v>0.21</v>
      </c>
      <c r="D930" s="47">
        <v>326442</v>
      </c>
      <c r="E930" s="47" t="s">
        <v>1839</v>
      </c>
      <c r="F930" s="47">
        <v>326442</v>
      </c>
      <c r="G930" s="48">
        <v>8.3400000000000002E-2</v>
      </c>
      <c r="H930" s="48">
        <v>8.3400000000000002E-2</v>
      </c>
      <c r="I930" s="48">
        <v>0.14338966885650081</v>
      </c>
      <c r="K930" s="62">
        <v>0</v>
      </c>
      <c r="M930" s="64"/>
      <c r="N930" s="64"/>
    </row>
    <row r="931" spans="1:14" x14ac:dyDescent="0.25">
      <c r="A931" s="45" t="s">
        <v>999</v>
      </c>
      <c r="B931" s="46">
        <v>232496</v>
      </c>
      <c r="C931" s="60">
        <v>0.21</v>
      </c>
      <c r="D931" s="47">
        <v>407915</v>
      </c>
      <c r="E931" s="47" t="s">
        <v>1839</v>
      </c>
      <c r="F931" s="47">
        <v>407915</v>
      </c>
      <c r="G931" s="48">
        <v>8.4900000000000003E-2</v>
      </c>
      <c r="H931" s="48">
        <v>8.4900000000000003E-2</v>
      </c>
      <c r="I931" s="48">
        <v>0.14339427669886051</v>
      </c>
      <c r="K931" s="62">
        <v>0</v>
      </c>
      <c r="M931" s="64"/>
      <c r="N931" s="64"/>
    </row>
    <row r="932" spans="1:14" x14ac:dyDescent="0.25">
      <c r="A932" s="45" t="s">
        <v>1000</v>
      </c>
      <c r="B932" s="46">
        <v>254197</v>
      </c>
      <c r="C932" s="60">
        <v>0.21</v>
      </c>
      <c r="D932" s="47">
        <v>445986</v>
      </c>
      <c r="E932" s="47" t="s">
        <v>1839</v>
      </c>
      <c r="F932" s="47">
        <v>445986</v>
      </c>
      <c r="G932" s="48">
        <v>8.5000000000000006E-2</v>
      </c>
      <c r="H932" s="48">
        <v>8.5000000000000006E-2</v>
      </c>
      <c r="I932" s="48">
        <v>0.14338983419916021</v>
      </c>
      <c r="K932" s="62">
        <v>0</v>
      </c>
      <c r="M932" s="64"/>
      <c r="N932" s="64"/>
    </row>
    <row r="933" spans="1:14" x14ac:dyDescent="0.25">
      <c r="A933" s="45" t="s">
        <v>1001</v>
      </c>
      <c r="B933" s="46">
        <v>272761</v>
      </c>
      <c r="C933" s="60">
        <v>0.21</v>
      </c>
      <c r="D933" s="47">
        <v>478558</v>
      </c>
      <c r="E933" s="47" t="s">
        <v>1839</v>
      </c>
      <c r="F933" s="47">
        <v>478558</v>
      </c>
      <c r="G933" s="48">
        <v>8.5199999999999998E-2</v>
      </c>
      <c r="H933" s="48">
        <v>8.5199999999999998E-2</v>
      </c>
      <c r="I933" s="48">
        <v>0.1433918047734403</v>
      </c>
      <c r="K933" s="62">
        <v>0</v>
      </c>
      <c r="M933" s="64"/>
      <c r="N933" s="64"/>
    </row>
    <row r="934" spans="1:14" x14ac:dyDescent="0.25">
      <c r="A934" s="45" t="s">
        <v>1002</v>
      </c>
      <c r="B934" s="46">
        <v>272761</v>
      </c>
      <c r="C934" s="60">
        <v>0.21</v>
      </c>
      <c r="D934" s="47">
        <v>478558</v>
      </c>
      <c r="E934" s="47" t="s">
        <v>1839</v>
      </c>
      <c r="F934" s="47">
        <v>478558</v>
      </c>
      <c r="G934" s="48">
        <v>8.5199999999999998E-2</v>
      </c>
      <c r="H934" s="48">
        <v>8.5199999999999998E-2</v>
      </c>
      <c r="I934" s="48">
        <v>0.1433918047734403</v>
      </c>
      <c r="K934" s="62">
        <v>0</v>
      </c>
      <c r="M934" s="64"/>
      <c r="N934" s="64"/>
    </row>
    <row r="935" spans="1:14" x14ac:dyDescent="0.25">
      <c r="A935" s="45" t="s">
        <v>1003</v>
      </c>
      <c r="B935" s="46">
        <v>228357</v>
      </c>
      <c r="C935" s="60">
        <v>0.21</v>
      </c>
      <c r="D935" s="47">
        <v>400651</v>
      </c>
      <c r="E935" s="47" t="s">
        <v>1839</v>
      </c>
      <c r="F935" s="47">
        <v>400651</v>
      </c>
      <c r="G935" s="48">
        <v>8.4500000000000006E-2</v>
      </c>
      <c r="H935" s="48">
        <v>8.4500000000000006E-2</v>
      </c>
      <c r="I935" s="48">
        <v>0.14339127385765879</v>
      </c>
      <c r="K935" s="62">
        <v>0</v>
      </c>
      <c r="M935" s="64"/>
      <c r="N935" s="64"/>
    </row>
    <row r="936" spans="1:14" x14ac:dyDescent="0.25">
      <c r="A936" s="45" t="s">
        <v>1004</v>
      </c>
      <c r="B936" s="46">
        <v>134100</v>
      </c>
      <c r="C936" s="60">
        <v>0.21</v>
      </c>
      <c r="D936" s="47">
        <v>235280</v>
      </c>
      <c r="E936" s="47" t="s">
        <v>1839</v>
      </c>
      <c r="F936" s="47">
        <v>235280</v>
      </c>
      <c r="G936" s="48">
        <v>8.1299999999999997E-2</v>
      </c>
      <c r="H936" s="48">
        <v>8.1299999999999997E-2</v>
      </c>
      <c r="I936" s="48">
        <v>0.14339695846009951</v>
      </c>
      <c r="K936" s="62">
        <v>0</v>
      </c>
      <c r="M936" s="64"/>
      <c r="N936" s="64"/>
    </row>
    <row r="937" spans="1:14" x14ac:dyDescent="0.25">
      <c r="A937" s="45" t="s">
        <v>1005</v>
      </c>
      <c r="B937" s="46">
        <v>137815</v>
      </c>
      <c r="C937" s="60">
        <v>0.21</v>
      </c>
      <c r="D937" s="47">
        <v>241795</v>
      </c>
      <c r="E937" s="47" t="s">
        <v>1839</v>
      </c>
      <c r="F937" s="47">
        <v>241795</v>
      </c>
      <c r="G937" s="48">
        <v>8.0199999999999994E-2</v>
      </c>
      <c r="H937" s="48">
        <v>8.0199999999999994E-2</v>
      </c>
      <c r="I937" s="48">
        <v>0.14338986225070871</v>
      </c>
      <c r="K937" s="62">
        <v>0</v>
      </c>
      <c r="M937" s="64"/>
      <c r="N937" s="64"/>
    </row>
    <row r="938" spans="1:14" x14ac:dyDescent="0.25">
      <c r="A938" s="45" t="s">
        <v>1006</v>
      </c>
      <c r="B938" s="46">
        <v>277334</v>
      </c>
      <c r="C938" s="60">
        <v>0.21</v>
      </c>
      <c r="D938" s="47">
        <v>486582</v>
      </c>
      <c r="E938" s="47" t="s">
        <v>1839</v>
      </c>
      <c r="F938" s="47">
        <v>486582</v>
      </c>
      <c r="G938" s="48">
        <v>8.5800000000000001E-2</v>
      </c>
      <c r="H938" s="48">
        <v>8.5800000000000001E-2</v>
      </c>
      <c r="I938" s="48">
        <v>0.14339261440950951</v>
      </c>
      <c r="K938" s="62">
        <v>0</v>
      </c>
      <c r="M938" s="64"/>
      <c r="N938" s="64"/>
    </row>
    <row r="939" spans="1:14" x14ac:dyDescent="0.25">
      <c r="A939" s="45" t="s">
        <v>1007</v>
      </c>
      <c r="B939" s="46">
        <v>153336</v>
      </c>
      <c r="C939" s="60">
        <v>0.21</v>
      </c>
      <c r="D939" s="47">
        <v>269029</v>
      </c>
      <c r="E939" s="47" t="s">
        <v>1839</v>
      </c>
      <c r="F939" s="47">
        <v>269029</v>
      </c>
      <c r="G939" s="48">
        <v>7.6700000000000004E-2</v>
      </c>
      <c r="H939" s="48">
        <v>7.6700000000000004E-2</v>
      </c>
      <c r="I939" s="48">
        <v>0.14339529677372939</v>
      </c>
      <c r="K939" s="62">
        <v>0</v>
      </c>
      <c r="M939" s="64"/>
      <c r="N939" s="64"/>
    </row>
    <row r="940" spans="1:14" x14ac:dyDescent="0.25">
      <c r="A940" s="45" t="s">
        <v>1008</v>
      </c>
      <c r="B940" s="46">
        <v>53644</v>
      </c>
      <c r="C940" s="60">
        <v>0.21</v>
      </c>
      <c r="D940" s="47">
        <v>94116</v>
      </c>
      <c r="E940" s="47" t="s">
        <v>1839</v>
      </c>
      <c r="F940" s="47">
        <v>94116</v>
      </c>
      <c r="G940" s="48">
        <v>7.6499999999999999E-2</v>
      </c>
      <c r="H940" s="48">
        <v>7.6499999999999999E-2</v>
      </c>
      <c r="I940" s="48">
        <v>0.14337868140614729</v>
      </c>
      <c r="K940" s="62">
        <v>0</v>
      </c>
      <c r="M940" s="64"/>
      <c r="N940" s="64"/>
    </row>
    <row r="941" spans="1:14" x14ac:dyDescent="0.25">
      <c r="A941" s="45" t="s">
        <v>1009</v>
      </c>
      <c r="B941" s="46">
        <v>24888</v>
      </c>
      <c r="C941" s="60">
        <v>0.21</v>
      </c>
      <c r="D941" s="47">
        <v>43664</v>
      </c>
      <c r="E941" s="47" t="s">
        <v>1839</v>
      </c>
      <c r="F941" s="47">
        <v>43664</v>
      </c>
      <c r="G941" s="48">
        <v>6.2300000000000001E-2</v>
      </c>
      <c r="H941" s="48">
        <v>6.2300000000000001E-2</v>
      </c>
      <c r="I941" s="48">
        <v>0.1433671490496955</v>
      </c>
      <c r="K941" s="62">
        <v>0</v>
      </c>
      <c r="M941" s="64"/>
      <c r="N941" s="64"/>
    </row>
    <row r="942" spans="1:14" x14ac:dyDescent="0.25">
      <c r="A942" s="45" t="s">
        <v>1010</v>
      </c>
      <c r="B942" s="46">
        <v>36903</v>
      </c>
      <c r="C942" s="60">
        <v>0.21</v>
      </c>
      <c r="D942" s="47">
        <v>64744</v>
      </c>
      <c r="E942" s="47" t="s">
        <v>1839</v>
      </c>
      <c r="F942" s="47">
        <v>64744</v>
      </c>
      <c r="G942" s="48">
        <v>6.7000000000000004E-2</v>
      </c>
      <c r="H942" s="48">
        <v>6.7000000000000004E-2</v>
      </c>
      <c r="I942" s="48">
        <v>0.14337283709436949</v>
      </c>
      <c r="K942" s="62">
        <v>0</v>
      </c>
      <c r="M942" s="64"/>
      <c r="N942" s="64"/>
    </row>
    <row r="943" spans="1:14" x14ac:dyDescent="0.25">
      <c r="A943" s="45" t="s">
        <v>1011</v>
      </c>
      <c r="B943" s="46">
        <v>6711</v>
      </c>
      <c r="C943" s="60">
        <v>0.21</v>
      </c>
      <c r="D943" s="47">
        <v>11772</v>
      </c>
      <c r="E943" s="47" t="s">
        <v>1839</v>
      </c>
      <c r="F943" s="47">
        <v>11772</v>
      </c>
      <c r="G943" s="48">
        <v>0.15670000000000001</v>
      </c>
      <c r="H943" s="48">
        <v>0.15670000000000001</v>
      </c>
      <c r="I943" s="48">
        <v>0.14327460657260499</v>
      </c>
      <c r="K943" s="62">
        <v>0</v>
      </c>
      <c r="M943" s="64"/>
      <c r="N943" s="64"/>
    </row>
    <row r="944" spans="1:14" x14ac:dyDescent="0.25">
      <c r="A944" s="45" t="s">
        <v>1012</v>
      </c>
      <c r="B944" s="46">
        <v>2563</v>
      </c>
      <c r="C944" s="60">
        <v>0.21</v>
      </c>
      <c r="D944" s="47">
        <v>4649</v>
      </c>
      <c r="E944" s="47" t="s">
        <v>1839</v>
      </c>
      <c r="F944" s="47">
        <v>4649</v>
      </c>
      <c r="G944" s="48">
        <v>6.9900000000000004E-2</v>
      </c>
      <c r="H944" s="48">
        <v>6.9900000000000004E-2</v>
      </c>
      <c r="I944" s="48">
        <v>0.16205480088181731</v>
      </c>
      <c r="K944" s="62">
        <v>0</v>
      </c>
      <c r="M944" s="64"/>
      <c r="N944" s="64"/>
    </row>
    <row r="945" spans="1:14" x14ac:dyDescent="0.25">
      <c r="A945" s="45" t="s">
        <v>1013</v>
      </c>
      <c r="B945" s="46">
        <v>145733</v>
      </c>
      <c r="C945" s="60">
        <v>0.21</v>
      </c>
      <c r="D945" s="47">
        <v>255688</v>
      </c>
      <c r="E945" s="47" t="s">
        <v>1839</v>
      </c>
      <c r="F945" s="47">
        <v>255688</v>
      </c>
      <c r="G945" s="48">
        <v>8.2299999999999998E-2</v>
      </c>
      <c r="H945" s="48">
        <v>8.2299999999999998E-2</v>
      </c>
      <c r="I945" s="48">
        <v>0.1433919809235637</v>
      </c>
      <c r="K945" s="62">
        <v>0</v>
      </c>
      <c r="M945" s="64"/>
      <c r="N945" s="64"/>
    </row>
    <row r="946" spans="1:14" x14ac:dyDescent="0.25">
      <c r="A946" s="45" t="s">
        <v>1014</v>
      </c>
      <c r="B946" s="46">
        <v>188798</v>
      </c>
      <c r="C946" s="60">
        <v>0.21</v>
      </c>
      <c r="D946" s="47">
        <v>331245</v>
      </c>
      <c r="E946" s="47" t="s">
        <v>1839</v>
      </c>
      <c r="F946" s="47">
        <v>331245</v>
      </c>
      <c r="G946" s="48">
        <v>8.3900000000000002E-2</v>
      </c>
      <c r="H946" s="48">
        <v>8.3900000000000002E-2</v>
      </c>
      <c r="I946" s="48">
        <v>0.14339132635414659</v>
      </c>
      <c r="K946" s="62">
        <v>0</v>
      </c>
      <c r="M946" s="64"/>
      <c r="N946" s="64"/>
    </row>
    <row r="947" spans="1:14" x14ac:dyDescent="0.25">
      <c r="A947" s="45" t="s">
        <v>1015</v>
      </c>
      <c r="B947" s="46">
        <v>363065</v>
      </c>
      <c r="C947" s="60">
        <v>0.21</v>
      </c>
      <c r="D947" s="47">
        <v>636998</v>
      </c>
      <c r="E947" s="47" t="s">
        <v>1839</v>
      </c>
      <c r="F947" s="47">
        <v>636998</v>
      </c>
      <c r="G947" s="48">
        <v>8.4199999999999997E-2</v>
      </c>
      <c r="H947" s="48">
        <v>8.4199999999999997E-2</v>
      </c>
      <c r="I947" s="48">
        <v>0.1433936129584423</v>
      </c>
      <c r="K947" s="62">
        <v>0</v>
      </c>
      <c r="M947" s="64"/>
      <c r="N947" s="64"/>
    </row>
    <row r="948" spans="1:14" x14ac:dyDescent="0.25">
      <c r="A948" s="45" t="s">
        <v>1016</v>
      </c>
      <c r="B948" s="46">
        <v>537472</v>
      </c>
      <c r="C948" s="60">
        <v>0.21</v>
      </c>
      <c r="D948" s="47">
        <v>942994</v>
      </c>
      <c r="E948" s="47" t="s">
        <v>1839</v>
      </c>
      <c r="F948" s="47">
        <v>942994</v>
      </c>
      <c r="G948" s="48">
        <v>8.6800000000000002E-2</v>
      </c>
      <c r="H948" s="48">
        <v>8.6800000000000002E-2</v>
      </c>
      <c r="I948" s="48">
        <v>0.14339282644675941</v>
      </c>
      <c r="K948" s="62">
        <v>0</v>
      </c>
      <c r="M948" s="64"/>
      <c r="N948" s="64"/>
    </row>
    <row r="949" spans="1:14" x14ac:dyDescent="0.25">
      <c r="A949" s="45" t="s">
        <v>1017</v>
      </c>
      <c r="B949" s="46">
        <v>469285</v>
      </c>
      <c r="C949" s="60">
        <v>0.21</v>
      </c>
      <c r="D949" s="47">
        <v>823361</v>
      </c>
      <c r="E949" s="47" t="s">
        <v>1839</v>
      </c>
      <c r="F949" s="47">
        <v>823361</v>
      </c>
      <c r="G949" s="48">
        <v>8.5000000000000006E-2</v>
      </c>
      <c r="H949" s="48">
        <v>8.5000000000000006E-2</v>
      </c>
      <c r="I949" s="48">
        <v>0.1433935272257944</v>
      </c>
      <c r="K949" s="62">
        <v>0</v>
      </c>
      <c r="M949" s="64"/>
      <c r="N949" s="64"/>
    </row>
    <row r="950" spans="1:14" x14ac:dyDescent="0.25">
      <c r="A950" s="45" t="s">
        <v>1018</v>
      </c>
      <c r="B950" s="46">
        <v>534374</v>
      </c>
      <c r="C950" s="60">
        <v>0.21</v>
      </c>
      <c r="D950" s="47">
        <v>937558</v>
      </c>
      <c r="E950" s="47" t="s">
        <v>1839</v>
      </c>
      <c r="F950" s="47">
        <v>937558</v>
      </c>
      <c r="G950" s="48">
        <v>8.7999999999999995E-2</v>
      </c>
      <c r="H950" s="48">
        <v>8.7999999999999995E-2</v>
      </c>
      <c r="I950" s="48">
        <v>0.14339248443110111</v>
      </c>
      <c r="K950" s="62">
        <v>0</v>
      </c>
      <c r="M950" s="64"/>
      <c r="N950" s="64"/>
    </row>
    <row r="951" spans="1:14" x14ac:dyDescent="0.25">
      <c r="A951" s="45" t="s">
        <v>1019</v>
      </c>
      <c r="B951" s="46">
        <v>125090</v>
      </c>
      <c r="C951" s="60">
        <v>0.21</v>
      </c>
      <c r="D951" s="47">
        <v>219470</v>
      </c>
      <c r="E951" s="47" t="s">
        <v>1839</v>
      </c>
      <c r="F951" s="47">
        <v>219470</v>
      </c>
      <c r="G951" s="48">
        <v>7.9799999999999996E-2</v>
      </c>
      <c r="H951" s="48">
        <v>7.9799999999999996E-2</v>
      </c>
      <c r="I951" s="48">
        <v>0.14339215182003581</v>
      </c>
      <c r="K951" s="62">
        <v>0</v>
      </c>
      <c r="M951" s="64"/>
      <c r="N951" s="64"/>
    </row>
    <row r="952" spans="1:14" x14ac:dyDescent="0.25">
      <c r="A952" s="45" t="s">
        <v>1020</v>
      </c>
      <c r="B952" s="46">
        <v>157679</v>
      </c>
      <c r="C952" s="60">
        <v>0.21</v>
      </c>
      <c r="D952" s="47">
        <v>276649</v>
      </c>
      <c r="E952" s="47" t="s">
        <v>1839</v>
      </c>
      <c r="F952" s="47">
        <v>276649</v>
      </c>
      <c r="G952" s="48">
        <v>8.1600000000000006E-2</v>
      </c>
      <c r="H952" s="48">
        <v>8.1600000000000006E-2</v>
      </c>
      <c r="I952" s="48">
        <v>0.14339566455888411</v>
      </c>
      <c r="K952" s="62">
        <v>0</v>
      </c>
      <c r="M952" s="64"/>
      <c r="N952" s="64"/>
    </row>
    <row r="953" spans="1:14" x14ac:dyDescent="0.25">
      <c r="A953" s="45" t="s">
        <v>1021</v>
      </c>
      <c r="B953" s="46">
        <v>258294</v>
      </c>
      <c r="C953" s="60">
        <v>0.21</v>
      </c>
      <c r="D953" s="47">
        <v>453177</v>
      </c>
      <c r="E953" s="47" t="s">
        <v>1839</v>
      </c>
      <c r="F953" s="47">
        <v>453177</v>
      </c>
      <c r="G953" s="48">
        <v>8.2100000000000006E-2</v>
      </c>
      <c r="H953" s="48">
        <v>8.2100000000000006E-2</v>
      </c>
      <c r="I953" s="48">
        <v>0.14339342621763401</v>
      </c>
      <c r="K953" s="62">
        <v>0</v>
      </c>
      <c r="M953" s="64"/>
      <c r="N953" s="64"/>
    </row>
    <row r="954" spans="1:14" x14ac:dyDescent="0.25">
      <c r="A954" s="45" t="s">
        <v>1022</v>
      </c>
      <c r="B954" s="46">
        <v>161521</v>
      </c>
      <c r="C954" s="60">
        <v>0.21</v>
      </c>
      <c r="D954" s="47">
        <v>283390</v>
      </c>
      <c r="E954" s="47" t="s">
        <v>1839</v>
      </c>
      <c r="F954" s="47">
        <v>283390</v>
      </c>
      <c r="G954" s="48">
        <v>8.1100000000000005E-2</v>
      </c>
      <c r="H954" s="48">
        <v>8.1100000000000005E-2</v>
      </c>
      <c r="I954" s="48">
        <v>0.1433960303900183</v>
      </c>
      <c r="K954" s="62">
        <v>0</v>
      </c>
      <c r="M954" s="64"/>
      <c r="N954" s="64"/>
    </row>
    <row r="955" spans="1:14" x14ac:dyDescent="0.25">
      <c r="A955" s="45" t="s">
        <v>1023</v>
      </c>
      <c r="B955" s="46">
        <v>132957</v>
      </c>
      <c r="C955" s="60">
        <v>0.21</v>
      </c>
      <c r="D955" s="47">
        <v>233274</v>
      </c>
      <c r="E955" s="47" t="s">
        <v>1839</v>
      </c>
      <c r="F955" s="47">
        <v>233274</v>
      </c>
      <c r="G955" s="48">
        <v>8.2299999999999998E-2</v>
      </c>
      <c r="H955" s="48">
        <v>8.2299999999999998E-2</v>
      </c>
      <c r="I955" s="48">
        <v>0.14339550887596669</v>
      </c>
      <c r="K955" s="62">
        <v>0</v>
      </c>
      <c r="M955" s="64"/>
      <c r="N955" s="64"/>
    </row>
    <row r="956" spans="1:14" x14ac:dyDescent="0.25">
      <c r="A956" s="45" t="s">
        <v>1024</v>
      </c>
      <c r="B956" s="46">
        <v>36520</v>
      </c>
      <c r="C956" s="60">
        <v>0.105</v>
      </c>
      <c r="D956" s="47">
        <v>60532</v>
      </c>
      <c r="E956" s="47" t="s">
        <v>1839</v>
      </c>
      <c r="F956" s="47">
        <v>60532</v>
      </c>
      <c r="G956" s="48">
        <v>0.11509999999999999</v>
      </c>
      <c r="H956" s="48">
        <v>0.11509999999999999</v>
      </c>
      <c r="I956" s="48">
        <v>0.18856999690182619</v>
      </c>
      <c r="K956" s="62">
        <v>0</v>
      </c>
      <c r="M956" s="64"/>
      <c r="N956" s="64"/>
    </row>
    <row r="957" spans="1:14" x14ac:dyDescent="0.25">
      <c r="A957" s="45" t="s">
        <v>1025</v>
      </c>
      <c r="B957" s="46">
        <v>41480</v>
      </c>
      <c r="C957" s="60">
        <v>0.105</v>
      </c>
      <c r="D957" s="47">
        <v>66461</v>
      </c>
      <c r="E957" s="47" t="s">
        <v>1839</v>
      </c>
      <c r="F957" s="47">
        <v>66461</v>
      </c>
      <c r="G957" s="48">
        <v>0.1119</v>
      </c>
      <c r="H957" s="48">
        <v>0.1119</v>
      </c>
      <c r="I957" s="48">
        <v>0.18355075153817571</v>
      </c>
      <c r="K957" s="62">
        <v>0</v>
      </c>
      <c r="M957" s="64"/>
      <c r="N957" s="64"/>
    </row>
    <row r="958" spans="1:14" x14ac:dyDescent="0.25">
      <c r="A958" s="45" t="s">
        <v>1026</v>
      </c>
      <c r="B958" s="46">
        <v>50941</v>
      </c>
      <c r="C958" s="60">
        <v>0.105</v>
      </c>
      <c r="D958" s="47">
        <v>81621</v>
      </c>
      <c r="E958" s="47" t="s">
        <v>1839</v>
      </c>
      <c r="F958" s="47">
        <v>81621</v>
      </c>
      <c r="G958" s="48">
        <v>0.1168</v>
      </c>
      <c r="H958" s="48">
        <v>0.1168</v>
      </c>
      <c r="I958" s="48">
        <v>0.18354628494953079</v>
      </c>
      <c r="K958" s="62">
        <v>0</v>
      </c>
      <c r="M958" s="64"/>
      <c r="N958" s="64"/>
    </row>
    <row r="959" spans="1:14" x14ac:dyDescent="0.25">
      <c r="A959" s="45" t="s">
        <v>1027</v>
      </c>
      <c r="B959" s="46">
        <v>41480</v>
      </c>
      <c r="C959" s="60">
        <v>0.105</v>
      </c>
      <c r="D959" s="47">
        <v>66461</v>
      </c>
      <c r="E959" s="47" t="s">
        <v>1839</v>
      </c>
      <c r="F959" s="47">
        <v>66461</v>
      </c>
      <c r="G959" s="48">
        <v>0.1113</v>
      </c>
      <c r="H959" s="48">
        <v>0.1113</v>
      </c>
      <c r="I959" s="48">
        <v>0.18359669038241649</v>
      </c>
      <c r="K959" s="62">
        <v>0</v>
      </c>
      <c r="M959" s="64"/>
      <c r="N959" s="64"/>
    </row>
    <row r="960" spans="1:14" x14ac:dyDescent="0.25">
      <c r="A960" s="45" t="s">
        <v>1028</v>
      </c>
      <c r="B960" s="46">
        <v>50941</v>
      </c>
      <c r="C960" s="60">
        <v>0.105</v>
      </c>
      <c r="D960" s="47">
        <v>81621</v>
      </c>
      <c r="E960" s="47" t="s">
        <v>1839</v>
      </c>
      <c r="F960" s="47">
        <v>81621</v>
      </c>
      <c r="G960" s="48">
        <v>0.1163</v>
      </c>
      <c r="H960" s="48">
        <v>0.1163</v>
      </c>
      <c r="I960" s="48">
        <v>0.18356511256692501</v>
      </c>
      <c r="K960" s="62">
        <v>0</v>
      </c>
      <c r="M960" s="64"/>
      <c r="N960" s="64"/>
    </row>
    <row r="961" spans="1:14" x14ac:dyDescent="0.25">
      <c r="A961" s="45" t="s">
        <v>1029</v>
      </c>
      <c r="B961" s="46">
        <v>19588</v>
      </c>
      <c r="C961" s="60">
        <v>0.21</v>
      </c>
      <c r="D961" s="47">
        <v>35551</v>
      </c>
      <c r="E961" s="47" t="s">
        <v>1839</v>
      </c>
      <c r="F961" s="47">
        <v>35551</v>
      </c>
      <c r="G961" s="48">
        <v>7.51E-2</v>
      </c>
      <c r="H961" s="48">
        <v>7.51E-2</v>
      </c>
      <c r="I961" s="48">
        <v>0.1623730613029431</v>
      </c>
      <c r="K961" s="62">
        <v>0</v>
      </c>
      <c r="M961" s="64"/>
      <c r="N961" s="64"/>
    </row>
    <row r="962" spans="1:14" x14ac:dyDescent="0.25">
      <c r="A962" s="45" t="s">
        <v>1030</v>
      </c>
      <c r="B962" s="46">
        <v>19588</v>
      </c>
      <c r="C962" s="60">
        <v>0.21</v>
      </c>
      <c r="D962" s="47">
        <v>35551</v>
      </c>
      <c r="E962" s="47" t="s">
        <v>1839</v>
      </c>
      <c r="F962" s="47">
        <v>35551</v>
      </c>
      <c r="G962" s="48">
        <v>7.51E-2</v>
      </c>
      <c r="H962" s="48">
        <v>7.51E-2</v>
      </c>
      <c r="I962" s="48">
        <v>0.1623730613029431</v>
      </c>
      <c r="K962" s="62">
        <v>0</v>
      </c>
      <c r="M962" s="64"/>
      <c r="N962" s="64"/>
    </row>
    <row r="963" spans="1:14" x14ac:dyDescent="0.25">
      <c r="A963" s="45" t="s">
        <v>1031</v>
      </c>
      <c r="B963" s="46">
        <v>19431</v>
      </c>
      <c r="C963" s="60">
        <v>0.21</v>
      </c>
      <c r="D963" s="47">
        <v>34093</v>
      </c>
      <c r="E963" s="47" t="s">
        <v>1839</v>
      </c>
      <c r="F963" s="47">
        <v>34093</v>
      </c>
      <c r="G963" s="48" t="s">
        <v>1839</v>
      </c>
      <c r="H963" s="48" t="s">
        <v>1839</v>
      </c>
      <c r="K963" s="62">
        <v>0</v>
      </c>
      <c r="M963" s="64"/>
      <c r="N963" s="64"/>
    </row>
    <row r="964" spans="1:14" x14ac:dyDescent="0.25">
      <c r="A964" s="45" t="s">
        <v>1032</v>
      </c>
      <c r="B964" s="46">
        <v>19588</v>
      </c>
      <c r="C964" s="60">
        <v>0.21</v>
      </c>
      <c r="D964" s="47">
        <v>35551</v>
      </c>
      <c r="E964" s="47" t="s">
        <v>1839</v>
      </c>
      <c r="F964" s="47">
        <v>35551</v>
      </c>
      <c r="G964" s="48">
        <v>7.51E-2</v>
      </c>
      <c r="H964" s="48">
        <v>7.51E-2</v>
      </c>
      <c r="I964" s="48">
        <v>0.1623730613029431</v>
      </c>
      <c r="K964" s="62">
        <v>0</v>
      </c>
      <c r="M964" s="64"/>
      <c r="N964" s="64"/>
    </row>
    <row r="965" spans="1:14" x14ac:dyDescent="0.25">
      <c r="A965" s="45" t="s">
        <v>1033</v>
      </c>
      <c r="B965" s="46">
        <v>19503</v>
      </c>
      <c r="C965" s="60">
        <v>0.21</v>
      </c>
      <c r="D965" s="47">
        <v>34216</v>
      </c>
      <c r="E965" s="47" t="s">
        <v>1839</v>
      </c>
      <c r="F965" s="47">
        <v>34216</v>
      </c>
      <c r="G965" s="48">
        <v>5.4399999999999997E-2</v>
      </c>
      <c r="H965" s="48">
        <v>5.4399999999999997E-2</v>
      </c>
      <c r="I965" s="48">
        <v>0.1433596631431194</v>
      </c>
      <c r="K965" s="62">
        <v>0</v>
      </c>
      <c r="M965" s="64"/>
      <c r="N965" s="64"/>
    </row>
    <row r="966" spans="1:14" x14ac:dyDescent="0.25">
      <c r="A966" s="45" t="s">
        <v>1034</v>
      </c>
      <c r="B966" s="46">
        <v>28764</v>
      </c>
      <c r="C966" s="60">
        <v>0.105</v>
      </c>
      <c r="D966" s="47">
        <v>46087</v>
      </c>
      <c r="E966" s="47" t="s">
        <v>1839</v>
      </c>
      <c r="F966" s="47">
        <v>46087</v>
      </c>
      <c r="G966" s="48">
        <v>8.8099999999999998E-2</v>
      </c>
      <c r="H966" s="48">
        <v>8.8099999999999998E-2</v>
      </c>
      <c r="I966" s="48">
        <v>0.16776331108011039</v>
      </c>
      <c r="K966" s="62">
        <v>0</v>
      </c>
      <c r="M966" s="64"/>
      <c r="N966" s="64"/>
    </row>
    <row r="967" spans="1:14" x14ac:dyDescent="0.25">
      <c r="A967" s="45" t="s">
        <v>1035</v>
      </c>
      <c r="B967" s="46">
        <v>96594</v>
      </c>
      <c r="C967" s="60">
        <v>0.105</v>
      </c>
      <c r="D967" s="47">
        <v>154768</v>
      </c>
      <c r="E967" s="47" t="s">
        <v>1839</v>
      </c>
      <c r="F967" s="47">
        <v>154768</v>
      </c>
      <c r="G967" s="48">
        <v>0.1061</v>
      </c>
      <c r="H967" s="48">
        <v>0.1061</v>
      </c>
      <c r="I967" s="48">
        <v>0.16776598520797209</v>
      </c>
      <c r="K967" s="62">
        <v>0</v>
      </c>
      <c r="M967" s="64"/>
      <c r="N967" s="64"/>
    </row>
    <row r="968" spans="1:14" x14ac:dyDescent="0.25">
      <c r="A968" s="45" t="s">
        <v>1036</v>
      </c>
      <c r="B968" s="46">
        <v>37842</v>
      </c>
      <c r="C968" s="60">
        <v>0.105</v>
      </c>
      <c r="D968" s="47">
        <v>60630</v>
      </c>
      <c r="E968" s="47" t="s">
        <v>1839</v>
      </c>
      <c r="F968" s="47">
        <v>60630</v>
      </c>
      <c r="G968" s="48">
        <v>9.1600000000000001E-2</v>
      </c>
      <c r="H968" s="48">
        <v>9.1600000000000001E-2</v>
      </c>
      <c r="I968" s="48">
        <v>0.16774078843837631</v>
      </c>
      <c r="K968" s="62">
        <v>0</v>
      </c>
      <c r="M968" s="64"/>
      <c r="N968" s="64"/>
    </row>
    <row r="969" spans="1:14" x14ac:dyDescent="0.25">
      <c r="A969" s="45" t="s">
        <v>1037</v>
      </c>
      <c r="B969" s="46">
        <v>187786</v>
      </c>
      <c r="C969" s="60">
        <v>0.21</v>
      </c>
      <c r="D969" s="47">
        <v>329472</v>
      </c>
      <c r="E969" s="47" t="s">
        <v>1839</v>
      </c>
      <c r="F969" s="47">
        <v>329472</v>
      </c>
      <c r="G969" s="48">
        <v>8.3900000000000002E-2</v>
      </c>
      <c r="H969" s="48">
        <v>8.3900000000000002E-2</v>
      </c>
      <c r="I969" s="48">
        <v>0.1433957344890312</v>
      </c>
      <c r="K969" s="62">
        <v>0</v>
      </c>
      <c r="M969" s="64"/>
      <c r="N969" s="64"/>
    </row>
    <row r="970" spans="1:14" x14ac:dyDescent="0.25">
      <c r="A970" s="45" t="s">
        <v>1038</v>
      </c>
      <c r="B970" s="46">
        <v>108622</v>
      </c>
      <c r="C970" s="60">
        <v>0.21</v>
      </c>
      <c r="D970" s="47">
        <v>190578</v>
      </c>
      <c r="E970" s="47" t="s">
        <v>1839</v>
      </c>
      <c r="F970" s="47">
        <v>190578</v>
      </c>
      <c r="G970" s="48">
        <v>7.5700000000000003E-2</v>
      </c>
      <c r="H970" s="48">
        <v>7.5700000000000003E-2</v>
      </c>
      <c r="I970" s="48">
        <v>0.14339530008944329</v>
      </c>
      <c r="K970" s="62">
        <v>0</v>
      </c>
      <c r="M970" s="64"/>
      <c r="N970" s="64"/>
    </row>
    <row r="971" spans="1:14" x14ac:dyDescent="0.25">
      <c r="A971" s="45" t="s">
        <v>1039</v>
      </c>
      <c r="B971" s="46">
        <v>110487</v>
      </c>
      <c r="C971" s="60">
        <v>0.21</v>
      </c>
      <c r="D971" s="47">
        <v>193851</v>
      </c>
      <c r="E971" s="47" t="s">
        <v>1839</v>
      </c>
      <c r="F971" s="47">
        <v>193851</v>
      </c>
      <c r="G971" s="48">
        <v>7.0999999999999994E-2</v>
      </c>
      <c r="H971" s="48">
        <v>7.0999999999999994E-2</v>
      </c>
      <c r="I971" s="48">
        <v>0.1433977859235859</v>
      </c>
      <c r="K971" s="62">
        <v>0</v>
      </c>
      <c r="M971" s="64"/>
      <c r="N971" s="64"/>
    </row>
    <row r="972" spans="1:14" x14ac:dyDescent="0.25">
      <c r="A972" s="45" t="s">
        <v>1040</v>
      </c>
      <c r="B972" s="46">
        <v>96892</v>
      </c>
      <c r="C972" s="60">
        <v>0.21</v>
      </c>
      <c r="D972" s="47">
        <v>169995</v>
      </c>
      <c r="E972" s="47" t="s">
        <v>1839</v>
      </c>
      <c r="F972" s="47">
        <v>169995</v>
      </c>
      <c r="G972" s="48">
        <v>7.3800000000000004E-2</v>
      </c>
      <c r="H972" s="48">
        <v>7.3800000000000004E-2</v>
      </c>
      <c r="I972" s="48">
        <v>0.14338645102062941</v>
      </c>
      <c r="K972" s="62">
        <v>0</v>
      </c>
      <c r="M972" s="64"/>
      <c r="N972" s="64"/>
    </row>
    <row r="973" spans="1:14" x14ac:dyDescent="0.25">
      <c r="A973" s="45" t="s">
        <v>1041</v>
      </c>
      <c r="B973" s="46">
        <v>329372.02147553838</v>
      </c>
      <c r="C973" s="60">
        <v>0.21</v>
      </c>
      <c r="D973" s="47">
        <v>546000</v>
      </c>
      <c r="E973" s="47" t="s">
        <v>1839</v>
      </c>
      <c r="F973" s="47" t="s">
        <v>1839</v>
      </c>
      <c r="G973" s="48">
        <v>5.6099999999999997E-2</v>
      </c>
      <c r="H973" s="48">
        <v>5.6099999999999997E-2</v>
      </c>
      <c r="I973" s="48">
        <v>7.714375487223725E-2</v>
      </c>
      <c r="K973" s="62">
        <v>0</v>
      </c>
      <c r="M973" s="64"/>
      <c r="N973" s="64"/>
    </row>
    <row r="974" spans="1:14" x14ac:dyDescent="0.25">
      <c r="A974" s="45" t="s">
        <v>1042</v>
      </c>
      <c r="B974" s="46">
        <v>166797.36984979187</v>
      </c>
      <c r="C974" s="60">
        <v>0.21</v>
      </c>
      <c r="D974" s="47">
        <v>276500</v>
      </c>
      <c r="E974" s="47" t="s">
        <v>1839</v>
      </c>
      <c r="F974" s="47" t="s">
        <v>1839</v>
      </c>
      <c r="G974" s="48">
        <v>5.0500000000000003E-2</v>
      </c>
      <c r="H974" s="48">
        <v>5.0500000000000003E-2</v>
      </c>
      <c r="I974" s="48">
        <v>7.0801005120780011E-2</v>
      </c>
      <c r="K974" s="62">
        <v>0</v>
      </c>
      <c r="M974" s="64"/>
      <c r="N974" s="64"/>
    </row>
    <row r="975" spans="1:14" x14ac:dyDescent="0.25">
      <c r="A975" s="45" t="s">
        <v>1043</v>
      </c>
      <c r="B975" s="46">
        <v>46027.628642094467</v>
      </c>
      <c r="C975" s="60">
        <v>0.21</v>
      </c>
      <c r="D975" s="47">
        <v>76300</v>
      </c>
      <c r="E975" s="47" t="s">
        <v>1839</v>
      </c>
      <c r="F975" s="47" t="s">
        <v>1839</v>
      </c>
      <c r="G975" s="48">
        <v>8.72E-2</v>
      </c>
      <c r="H975" s="48">
        <v>8.72E-2</v>
      </c>
      <c r="I975" s="48">
        <v>0.1201952122791535</v>
      </c>
      <c r="K975" s="62">
        <v>0</v>
      </c>
      <c r="M975" s="64"/>
      <c r="N975" s="64"/>
    </row>
    <row r="976" spans="1:14" x14ac:dyDescent="0.25">
      <c r="A976" s="45" t="s">
        <v>1044</v>
      </c>
      <c r="B976" s="46">
        <v>5067.2618688544362</v>
      </c>
      <c r="C976" s="60">
        <v>0.21</v>
      </c>
      <c r="D976" s="47">
        <v>8400</v>
      </c>
      <c r="E976" s="47" t="s">
        <v>1839</v>
      </c>
      <c r="F976" s="47" t="s">
        <v>1839</v>
      </c>
      <c r="G976" s="48">
        <v>8.4000000000000005E-2</v>
      </c>
      <c r="H976" s="48">
        <v>8.4000000000000005E-2</v>
      </c>
      <c r="I976" s="48">
        <v>0.15301909331416191</v>
      </c>
      <c r="K976" s="62">
        <v>0</v>
      </c>
      <c r="M976" s="64"/>
      <c r="N976" s="64"/>
    </row>
    <row r="977" spans="1:14" x14ac:dyDescent="0.25">
      <c r="A977" s="45" t="s">
        <v>1045</v>
      </c>
      <c r="B977" s="46">
        <v>171020.08807383725</v>
      </c>
      <c r="C977" s="60">
        <v>0.21</v>
      </c>
      <c r="D977" s="47">
        <v>283500</v>
      </c>
      <c r="E977" s="47" t="s">
        <v>1839</v>
      </c>
      <c r="F977" s="47" t="s">
        <v>1839</v>
      </c>
      <c r="G977" s="48">
        <v>5.1700000000000003E-2</v>
      </c>
      <c r="H977" s="48">
        <v>5.1700000000000003E-2</v>
      </c>
      <c r="I977" s="48">
        <v>7.1734591854576091E-2</v>
      </c>
      <c r="K977" s="62">
        <v>0</v>
      </c>
      <c r="M977" s="64"/>
      <c r="N977" s="64"/>
    </row>
    <row r="978" spans="1:14" x14ac:dyDescent="0.25">
      <c r="A978" s="45" t="s">
        <v>1046</v>
      </c>
      <c r="B978" s="46">
        <v>36991.775935528618</v>
      </c>
      <c r="C978" s="60">
        <v>0.105</v>
      </c>
      <c r="D978" s="47">
        <v>56000</v>
      </c>
      <c r="E978" s="47" t="s">
        <v>1839</v>
      </c>
      <c r="F978" s="47" t="s">
        <v>1839</v>
      </c>
      <c r="G978" s="48">
        <v>5.74E-2</v>
      </c>
      <c r="H978" s="48">
        <v>5.74E-2</v>
      </c>
      <c r="I978" s="48">
        <v>8.0709976666151872E-2</v>
      </c>
      <c r="K978" s="62">
        <v>0</v>
      </c>
      <c r="M978" s="64"/>
      <c r="N978" s="64"/>
    </row>
    <row r="979" spans="1:14" x14ac:dyDescent="0.25">
      <c r="A979" s="45" t="s">
        <v>1047</v>
      </c>
      <c r="B979" s="46">
        <v>35105.195362816659</v>
      </c>
      <c r="C979" s="60">
        <v>0.105</v>
      </c>
      <c r="D979" s="47">
        <v>53144</v>
      </c>
      <c r="E979" s="47" t="s">
        <v>1839</v>
      </c>
      <c r="F979" s="47" t="s">
        <v>1839</v>
      </c>
      <c r="G979" s="48">
        <v>5.6300000000000003E-2</v>
      </c>
      <c r="H979" s="48">
        <v>5.6300000000000003E-2</v>
      </c>
      <c r="I979" s="48">
        <v>7.9654349271788868E-2</v>
      </c>
      <c r="K979" s="62">
        <v>0</v>
      </c>
      <c r="M979" s="64"/>
      <c r="N979" s="64"/>
    </row>
    <row r="980" spans="1:14" x14ac:dyDescent="0.25">
      <c r="A980" s="45" t="s">
        <v>1048</v>
      </c>
      <c r="B980" s="46">
        <v>48551.70591538131</v>
      </c>
      <c r="C980" s="60">
        <v>0.105</v>
      </c>
      <c r="D980" s="47">
        <v>73500</v>
      </c>
      <c r="E980" s="47" t="s">
        <v>1839</v>
      </c>
      <c r="F980" s="47" t="s">
        <v>1839</v>
      </c>
      <c r="G980" s="48">
        <v>6.2E-2</v>
      </c>
      <c r="H980" s="48">
        <v>6.2E-2</v>
      </c>
      <c r="I980" s="48">
        <v>8.6386920278793661E-2</v>
      </c>
      <c r="K980" s="62">
        <v>0</v>
      </c>
      <c r="M980" s="64"/>
      <c r="N980" s="64"/>
    </row>
    <row r="981" spans="1:14" x14ac:dyDescent="0.25">
      <c r="A981" s="45" t="s">
        <v>1049</v>
      </c>
      <c r="B981" s="46">
        <v>58955.642897248727</v>
      </c>
      <c r="C981" s="60">
        <v>0.105</v>
      </c>
      <c r="D981" s="47">
        <v>89250</v>
      </c>
      <c r="E981" s="47" t="s">
        <v>1839</v>
      </c>
      <c r="F981" s="47" t="s">
        <v>1839</v>
      </c>
      <c r="G981" s="48">
        <v>6.5000000000000002E-2</v>
      </c>
      <c r="H981" s="48">
        <v>6.5000000000000002E-2</v>
      </c>
      <c r="I981" s="48">
        <v>9.0027936714918919E-2</v>
      </c>
      <c r="K981" s="62">
        <v>0</v>
      </c>
      <c r="M981" s="64"/>
      <c r="N981" s="64"/>
    </row>
    <row r="982" spans="1:14" x14ac:dyDescent="0.25">
      <c r="A982" s="45" t="s">
        <v>1050</v>
      </c>
      <c r="B982" s="46">
        <v>26587.838953661194</v>
      </c>
      <c r="C982" s="60">
        <v>0.105</v>
      </c>
      <c r="D982" s="47">
        <v>40250</v>
      </c>
      <c r="E982" s="47" t="s">
        <v>1839</v>
      </c>
      <c r="F982" s="47" t="s">
        <v>1839</v>
      </c>
      <c r="G982" s="48">
        <v>4.9700000000000001E-2</v>
      </c>
      <c r="H982" s="48">
        <v>4.9700000000000001E-2</v>
      </c>
      <c r="I982" s="48">
        <v>7.1023673882156427E-2</v>
      </c>
      <c r="K982" s="62">
        <v>0</v>
      </c>
      <c r="M982" s="64"/>
      <c r="N982" s="64"/>
    </row>
    <row r="983" spans="1:14" x14ac:dyDescent="0.25">
      <c r="A983" s="45" t="s">
        <v>1051</v>
      </c>
      <c r="B983" s="46">
        <v>34679.789939558083</v>
      </c>
      <c r="C983" s="60">
        <v>0.105</v>
      </c>
      <c r="D983" s="47">
        <v>52500</v>
      </c>
      <c r="E983" s="47" t="s">
        <v>1839</v>
      </c>
      <c r="F983" s="47" t="s">
        <v>1839</v>
      </c>
      <c r="G983" s="48">
        <v>5.6099999999999997E-2</v>
      </c>
      <c r="H983" s="48">
        <v>5.6099999999999997E-2</v>
      </c>
      <c r="I983" s="48">
        <v>7.940051560346148E-2</v>
      </c>
      <c r="K983" s="62">
        <v>0</v>
      </c>
      <c r="M983" s="64"/>
      <c r="N983" s="64"/>
    </row>
    <row r="984" spans="1:14" x14ac:dyDescent="0.25">
      <c r="A984" s="45" t="s">
        <v>1052</v>
      </c>
      <c r="B984" s="46">
        <v>39303.761931499153</v>
      </c>
      <c r="C984" s="60">
        <v>0.105</v>
      </c>
      <c r="D984" s="47">
        <v>59500</v>
      </c>
      <c r="E984" s="47" t="s">
        <v>1839</v>
      </c>
      <c r="F984" s="47" t="s">
        <v>1839</v>
      </c>
      <c r="G984" s="48">
        <v>5.8500000000000003E-2</v>
      </c>
      <c r="H984" s="48">
        <v>5.8500000000000003E-2</v>
      </c>
      <c r="I984" s="48">
        <v>8.1865538500725574E-2</v>
      </c>
      <c r="K984" s="62">
        <v>0</v>
      </c>
      <c r="M984" s="64"/>
      <c r="N984" s="64"/>
    </row>
    <row r="985" spans="1:14" x14ac:dyDescent="0.25">
      <c r="A985" s="45" t="s">
        <v>1053</v>
      </c>
      <c r="B985" s="46">
        <v>43927.733923440232</v>
      </c>
      <c r="C985" s="60">
        <v>0.105</v>
      </c>
      <c r="D985" s="47">
        <v>66500</v>
      </c>
      <c r="E985" s="47" t="s">
        <v>1839</v>
      </c>
      <c r="F985" s="47" t="s">
        <v>1839</v>
      </c>
      <c r="G985" s="48">
        <v>6.08E-2</v>
      </c>
      <c r="H985" s="48">
        <v>6.08E-2</v>
      </c>
      <c r="I985" s="48">
        <v>8.4811634886503381E-2</v>
      </c>
      <c r="K985" s="62">
        <v>0</v>
      </c>
      <c r="M985" s="64"/>
      <c r="N985" s="64"/>
    </row>
    <row r="986" spans="1:14" x14ac:dyDescent="0.25">
      <c r="A986" s="45" t="s">
        <v>1054</v>
      </c>
      <c r="B986" s="46">
        <v>101727.3838227037</v>
      </c>
      <c r="C986" s="60">
        <v>0.105</v>
      </c>
      <c r="D986" s="47">
        <v>154000</v>
      </c>
      <c r="E986" s="47" t="s">
        <v>1839</v>
      </c>
      <c r="F986" s="47" t="s">
        <v>1839</v>
      </c>
      <c r="G986" s="48">
        <v>7.0199999999999999E-2</v>
      </c>
      <c r="H986" s="48">
        <v>7.0199999999999999E-2</v>
      </c>
      <c r="I986" s="48">
        <v>9.6210018125906099E-2</v>
      </c>
      <c r="K986" s="62">
        <v>0</v>
      </c>
      <c r="M986" s="64"/>
      <c r="N986" s="64"/>
    </row>
    <row r="987" spans="1:14" x14ac:dyDescent="0.25">
      <c r="A987" s="45" t="s">
        <v>1055</v>
      </c>
      <c r="B987" s="46">
        <v>49340.093140007266</v>
      </c>
      <c r="C987" s="60">
        <v>0.105</v>
      </c>
      <c r="D987" s="47">
        <v>74693.5</v>
      </c>
      <c r="E987" s="47" t="s">
        <v>1839</v>
      </c>
      <c r="F987" s="47" t="s">
        <v>1839</v>
      </c>
      <c r="G987" s="48">
        <v>6.2600000000000003E-2</v>
      </c>
      <c r="H987" s="48">
        <v>6.2600000000000003E-2</v>
      </c>
      <c r="I987" s="48">
        <v>8.6626091619079096E-2</v>
      </c>
      <c r="K987" s="62">
        <v>0</v>
      </c>
      <c r="M987" s="64"/>
      <c r="N987" s="64"/>
    </row>
    <row r="988" spans="1:14" x14ac:dyDescent="0.25">
      <c r="A988" s="45" t="s">
        <v>1056</v>
      </c>
      <c r="B988" s="46">
        <v>37916.570333916832</v>
      </c>
      <c r="C988" s="60">
        <v>0.105</v>
      </c>
      <c r="D988" s="47">
        <v>57400</v>
      </c>
      <c r="E988" s="47" t="s">
        <v>1839</v>
      </c>
      <c r="F988" s="47" t="s">
        <v>1839</v>
      </c>
      <c r="G988" s="48">
        <v>5.8200000000000002E-2</v>
      </c>
      <c r="H988" s="48">
        <v>5.8200000000000002E-2</v>
      </c>
      <c r="I988" s="48">
        <v>8.1189203183298767E-2</v>
      </c>
      <c r="K988" s="62">
        <v>0</v>
      </c>
      <c r="M988" s="64"/>
      <c r="N988" s="64"/>
    </row>
    <row r="989" spans="1:14" x14ac:dyDescent="0.25">
      <c r="A989" s="45" t="s">
        <v>1057</v>
      </c>
      <c r="B989" s="46">
        <v>62516.101331043348</v>
      </c>
      <c r="C989" s="60">
        <v>0.105</v>
      </c>
      <c r="D989" s="47">
        <v>94639.999999999985</v>
      </c>
      <c r="E989" s="47" t="s">
        <v>1839</v>
      </c>
      <c r="F989" s="47" t="s">
        <v>1839</v>
      </c>
      <c r="G989" s="48">
        <v>6.5699999999999995E-2</v>
      </c>
      <c r="H989" s="48">
        <v>6.5699999999999995E-2</v>
      </c>
      <c r="I989" s="48">
        <v>9.0729958422831464E-2</v>
      </c>
      <c r="K989" s="62">
        <v>0</v>
      </c>
      <c r="M989" s="64"/>
      <c r="N989" s="64"/>
    </row>
    <row r="990" spans="1:14" x14ac:dyDescent="0.25">
      <c r="A990" s="45" t="s">
        <v>1058</v>
      </c>
      <c r="B990" s="46">
        <v>88317.86504607457</v>
      </c>
      <c r="C990" s="60">
        <v>0.105</v>
      </c>
      <c r="D990" s="47">
        <v>133700</v>
      </c>
      <c r="E990" s="47" t="s">
        <v>1839</v>
      </c>
      <c r="F990" s="47" t="s">
        <v>1839</v>
      </c>
      <c r="G990" s="48">
        <v>6.9099999999999995E-2</v>
      </c>
      <c r="H990" s="48">
        <v>6.9099999999999995E-2</v>
      </c>
      <c r="I990" s="48">
        <v>9.5125507427571809E-2</v>
      </c>
      <c r="K990" s="62">
        <v>0</v>
      </c>
      <c r="M990" s="64"/>
      <c r="N990" s="64"/>
    </row>
    <row r="991" spans="1:14" x14ac:dyDescent="0.25">
      <c r="A991" s="45" t="s">
        <v>1059</v>
      </c>
      <c r="B991" s="46">
        <v>24738.250156884762</v>
      </c>
      <c r="C991" s="60">
        <v>0.105</v>
      </c>
      <c r="D991" s="47">
        <v>37450</v>
      </c>
      <c r="E991" s="47" t="s">
        <v>1839</v>
      </c>
      <c r="F991" s="47" t="s">
        <v>1839</v>
      </c>
      <c r="G991" s="48">
        <v>4.7600000000000003E-2</v>
      </c>
      <c r="H991" s="48">
        <v>4.7600000000000003E-2</v>
      </c>
      <c r="I991" s="48">
        <v>6.7980490501128574E-2</v>
      </c>
      <c r="K991" s="62">
        <v>0</v>
      </c>
      <c r="M991" s="64"/>
      <c r="N991" s="64"/>
    </row>
    <row r="992" spans="1:14" x14ac:dyDescent="0.25">
      <c r="A992" s="45" t="s">
        <v>1060</v>
      </c>
      <c r="B992" s="46">
        <v>358931.04904385592</v>
      </c>
      <c r="C992" s="60">
        <v>0.21</v>
      </c>
      <c r="D992" s="47">
        <v>595000</v>
      </c>
      <c r="E992" s="47" t="s">
        <v>1839</v>
      </c>
      <c r="F992" s="47" t="s">
        <v>1839</v>
      </c>
      <c r="G992" s="48">
        <v>5.0599999999999999E-2</v>
      </c>
      <c r="H992" s="48">
        <v>5.0599999999999999E-2</v>
      </c>
      <c r="I992" s="48">
        <v>7.093508064774634E-2</v>
      </c>
      <c r="K992" s="62">
        <v>0</v>
      </c>
      <c r="M992" s="64"/>
      <c r="N992" s="64"/>
    </row>
    <row r="993" spans="1:14" x14ac:dyDescent="0.25">
      <c r="A993" s="45" t="s">
        <v>1061</v>
      </c>
      <c r="B993" s="46">
        <v>242806.2978826084</v>
      </c>
      <c r="C993" s="60">
        <v>0.21</v>
      </c>
      <c r="D993" s="47">
        <v>402500</v>
      </c>
      <c r="E993" s="47" t="s">
        <v>1839</v>
      </c>
      <c r="F993" s="47" t="s">
        <v>1839</v>
      </c>
      <c r="G993" s="48">
        <v>5.04E-2</v>
      </c>
      <c r="H993" s="48">
        <v>5.04E-2</v>
      </c>
      <c r="I993" s="48">
        <v>7.0707699733667861E-2</v>
      </c>
      <c r="K993" s="62">
        <v>0</v>
      </c>
      <c r="M993" s="64"/>
      <c r="N993" s="64"/>
    </row>
    <row r="994" spans="1:14" x14ac:dyDescent="0.25">
      <c r="A994" s="45" t="s">
        <v>1062</v>
      </c>
      <c r="B994" s="46">
        <v>202015.77</v>
      </c>
      <c r="C994" s="60">
        <v>0.21</v>
      </c>
      <c r="D994" s="47">
        <v>378237</v>
      </c>
      <c r="E994" s="47">
        <v>515159</v>
      </c>
      <c r="F994" s="47">
        <v>360226</v>
      </c>
      <c r="G994" s="48">
        <v>0.15459999999999999</v>
      </c>
      <c r="H994" s="48">
        <v>0.15459999999999999</v>
      </c>
      <c r="I994" s="48">
        <v>0.1625071741336277</v>
      </c>
      <c r="K994" s="62">
        <v>1</v>
      </c>
      <c r="M994" s="64"/>
      <c r="N994" s="64"/>
    </row>
    <row r="995" spans="1:14" x14ac:dyDescent="0.25">
      <c r="A995" s="45" t="s">
        <v>1063</v>
      </c>
      <c r="B995" s="46">
        <v>219584.05</v>
      </c>
      <c r="C995" s="60">
        <v>0.21</v>
      </c>
      <c r="D995" s="47">
        <v>386038</v>
      </c>
      <c r="E995" s="47">
        <v>559960</v>
      </c>
      <c r="F995" s="47">
        <v>391553</v>
      </c>
      <c r="G995" s="48">
        <v>0.15440000000000001</v>
      </c>
      <c r="H995" s="48">
        <v>0.15440000000000001</v>
      </c>
      <c r="I995" s="48">
        <v>0.16217708646934931</v>
      </c>
      <c r="K995" s="62">
        <v>1</v>
      </c>
      <c r="M995" s="64"/>
      <c r="N995" s="64"/>
    </row>
    <row r="996" spans="1:14" x14ac:dyDescent="0.25">
      <c r="A996" s="45" t="s">
        <v>1064</v>
      </c>
      <c r="B996" s="46">
        <v>219584.43</v>
      </c>
      <c r="C996" s="60">
        <v>0.21</v>
      </c>
      <c r="D996" s="47">
        <v>386039</v>
      </c>
      <c r="E996" s="47">
        <v>559962</v>
      </c>
      <c r="F996" s="47">
        <v>391554</v>
      </c>
      <c r="G996" s="48">
        <v>0.15490000000000001</v>
      </c>
      <c r="H996" s="48">
        <v>0.15490000000000001</v>
      </c>
      <c r="I996" s="48">
        <v>0.16217769919447689</v>
      </c>
      <c r="K996" s="62">
        <v>1</v>
      </c>
      <c r="M996" s="64"/>
      <c r="N996" s="64"/>
    </row>
    <row r="997" spans="1:14" x14ac:dyDescent="0.25">
      <c r="A997" s="45" t="s">
        <v>1065</v>
      </c>
      <c r="B997" s="46">
        <v>4447.87</v>
      </c>
      <c r="C997" s="60">
        <v>0.21</v>
      </c>
      <c r="D997" s="47">
        <v>8099</v>
      </c>
      <c r="E997" s="47">
        <v>11749</v>
      </c>
      <c r="F997" s="47">
        <v>8215</v>
      </c>
      <c r="G997" s="48">
        <v>0.1182</v>
      </c>
      <c r="H997" s="48">
        <v>0.1182</v>
      </c>
      <c r="I997" s="48">
        <v>0.17187942840920409</v>
      </c>
      <c r="K997" s="62">
        <v>1</v>
      </c>
      <c r="M997" s="64"/>
      <c r="N997" s="64"/>
    </row>
    <row r="998" spans="1:14" x14ac:dyDescent="0.25">
      <c r="A998" s="45" t="s">
        <v>1066</v>
      </c>
      <c r="B998" s="46">
        <v>6244.85</v>
      </c>
      <c r="C998" s="60">
        <v>0.21</v>
      </c>
      <c r="D998" s="47">
        <v>11370</v>
      </c>
      <c r="E998" s="47">
        <v>16494</v>
      </c>
      <c r="F998" s="47">
        <v>11533</v>
      </c>
      <c r="G998" s="48">
        <v>9.4500000000000001E-2</v>
      </c>
      <c r="H998" s="48">
        <v>9.4500000000000001E-2</v>
      </c>
      <c r="I998" s="48">
        <v>0.19341425077105059</v>
      </c>
      <c r="K998" s="62">
        <v>1</v>
      </c>
      <c r="M998" s="64"/>
      <c r="N998" s="64"/>
    </row>
    <row r="999" spans="1:14" x14ac:dyDescent="0.25">
      <c r="A999" s="45" t="s">
        <v>1067</v>
      </c>
      <c r="B999" s="46">
        <v>8940.6200000000008</v>
      </c>
      <c r="C999" s="60">
        <v>0.21</v>
      </c>
      <c r="D999" s="47">
        <v>16279</v>
      </c>
      <c r="E999" s="47">
        <v>23614</v>
      </c>
      <c r="F999" s="47">
        <v>16512</v>
      </c>
      <c r="G999" s="48">
        <v>0.11219999999999999</v>
      </c>
      <c r="H999" s="48">
        <v>0.11219999999999999</v>
      </c>
      <c r="I999" s="48">
        <v>0.17188621277149849</v>
      </c>
      <c r="K999" s="62">
        <v>1</v>
      </c>
      <c r="M999" s="64"/>
      <c r="N999" s="64"/>
    </row>
    <row r="1000" spans="1:14" x14ac:dyDescent="0.25">
      <c r="A1000" s="45" t="s">
        <v>1068</v>
      </c>
      <c r="B1000" s="46">
        <v>9884.09</v>
      </c>
      <c r="C1000" s="60">
        <v>0.21</v>
      </c>
      <c r="D1000" s="47">
        <v>17997</v>
      </c>
      <c r="E1000" s="47">
        <v>26105</v>
      </c>
      <c r="F1000" s="47">
        <v>18254</v>
      </c>
      <c r="G1000" s="48">
        <v>0.1178</v>
      </c>
      <c r="H1000" s="48">
        <v>0.1178</v>
      </c>
      <c r="I1000" s="48">
        <v>0.1718835772488255</v>
      </c>
      <c r="K1000" s="62">
        <v>1</v>
      </c>
      <c r="M1000" s="64"/>
      <c r="N1000" s="64"/>
    </row>
    <row r="1001" spans="1:14" x14ac:dyDescent="0.25">
      <c r="A1001" s="45" t="s">
        <v>1069</v>
      </c>
      <c r="B1001" s="46">
        <v>29652.25</v>
      </c>
      <c r="C1001" s="60">
        <v>0.21</v>
      </c>
      <c r="D1001" s="47">
        <v>53992</v>
      </c>
      <c r="E1001" s="47">
        <v>78316</v>
      </c>
      <c r="F1001" s="47">
        <v>54763</v>
      </c>
      <c r="G1001" s="48">
        <v>0.1532</v>
      </c>
      <c r="H1001" s="48">
        <v>0.1532</v>
      </c>
      <c r="I1001" s="48">
        <v>0.17189469085180409</v>
      </c>
      <c r="K1001" s="62">
        <v>1</v>
      </c>
      <c r="M1001" s="64"/>
      <c r="N1001" s="64"/>
    </row>
    <row r="1002" spans="1:14" x14ac:dyDescent="0.25">
      <c r="A1002" s="45" t="s">
        <v>1070</v>
      </c>
      <c r="B1002" s="46">
        <v>8808.01</v>
      </c>
      <c r="C1002" s="60">
        <v>0.21</v>
      </c>
      <c r="D1002" s="47">
        <v>16038</v>
      </c>
      <c r="E1002" s="47">
        <v>23263</v>
      </c>
      <c r="F1002" s="47">
        <v>16267</v>
      </c>
      <c r="G1002" s="48">
        <v>9.9900000000000003E-2</v>
      </c>
      <c r="H1002" s="48">
        <v>9.9900000000000003E-2</v>
      </c>
      <c r="I1002" s="48">
        <v>0.1718850286059031</v>
      </c>
      <c r="K1002" s="62">
        <v>1</v>
      </c>
      <c r="M1002" s="64"/>
      <c r="N1002" s="64"/>
    </row>
    <row r="1003" spans="1:14" x14ac:dyDescent="0.25">
      <c r="A1003" s="45" t="s">
        <v>1071</v>
      </c>
      <c r="B1003" s="46">
        <v>4565.16</v>
      </c>
      <c r="C1003" s="60">
        <v>0.21</v>
      </c>
      <c r="D1003" s="47">
        <v>8313</v>
      </c>
      <c r="E1003" s="47">
        <v>12058</v>
      </c>
      <c r="F1003" s="47">
        <v>8431</v>
      </c>
      <c r="G1003" s="48">
        <v>0.11890000000000001</v>
      </c>
      <c r="H1003" s="48">
        <v>0.11890000000000001</v>
      </c>
      <c r="I1003" s="48">
        <v>0.17192253216453579</v>
      </c>
      <c r="K1003" s="62">
        <v>1</v>
      </c>
      <c r="M1003" s="64"/>
      <c r="N1003" s="64"/>
    </row>
    <row r="1004" spans="1:14" x14ac:dyDescent="0.25">
      <c r="A1004" s="45" t="s">
        <v>1072</v>
      </c>
      <c r="B1004" s="46">
        <v>14769.63</v>
      </c>
      <c r="C1004" s="60">
        <v>0.21</v>
      </c>
      <c r="D1004" s="47">
        <v>26893</v>
      </c>
      <c r="E1004" s="47">
        <v>39009</v>
      </c>
      <c r="F1004" s="47">
        <v>27277</v>
      </c>
      <c r="G1004" s="48">
        <v>9.9400000000000002E-2</v>
      </c>
      <c r="H1004" s="48">
        <v>9.9400000000000002E-2</v>
      </c>
      <c r="I1004" s="48">
        <v>0.17188340886217909</v>
      </c>
      <c r="K1004" s="62">
        <v>1</v>
      </c>
      <c r="M1004" s="64"/>
      <c r="N1004" s="64"/>
    </row>
    <row r="1005" spans="1:14" x14ac:dyDescent="0.25">
      <c r="A1005" s="45" t="s">
        <v>1073</v>
      </c>
      <c r="B1005" s="46">
        <v>4358.32</v>
      </c>
      <c r="C1005" s="60">
        <v>0.21</v>
      </c>
      <c r="D1005" s="47">
        <v>7936</v>
      </c>
      <c r="E1005" s="47">
        <v>11510</v>
      </c>
      <c r="F1005" s="47">
        <v>8049</v>
      </c>
      <c r="G1005" s="48">
        <v>0.1177</v>
      </c>
      <c r="H1005" s="48">
        <v>0.1177</v>
      </c>
      <c r="I1005" s="48">
        <v>0.1719007445274329</v>
      </c>
      <c r="K1005" s="62">
        <v>1</v>
      </c>
      <c r="M1005" s="64"/>
      <c r="N1005" s="64"/>
    </row>
    <row r="1006" spans="1:14" x14ac:dyDescent="0.25">
      <c r="A1006" s="45" t="s">
        <v>1074</v>
      </c>
      <c r="B1006" s="46">
        <v>66402.37</v>
      </c>
      <c r="C1006" s="60">
        <v>0.21</v>
      </c>
      <c r="D1006" s="47">
        <v>116738</v>
      </c>
      <c r="E1006" s="47">
        <v>169332</v>
      </c>
      <c r="F1006" s="47">
        <v>118406</v>
      </c>
      <c r="G1006" s="48">
        <v>0.14760000000000001</v>
      </c>
      <c r="H1006" s="48">
        <v>0.14760000000000001</v>
      </c>
      <c r="I1006" s="48">
        <v>0.15378207428523841</v>
      </c>
      <c r="K1006" s="62">
        <v>1</v>
      </c>
      <c r="M1006" s="64"/>
      <c r="N1006" s="64"/>
    </row>
    <row r="1007" spans="1:14" x14ac:dyDescent="0.25">
      <c r="A1007" s="45" t="s">
        <v>1075</v>
      </c>
      <c r="B1007" s="46">
        <v>193233.72</v>
      </c>
      <c r="C1007" s="60">
        <v>0.21</v>
      </c>
      <c r="D1007" s="47">
        <v>339713</v>
      </c>
      <c r="E1007" s="47">
        <v>492763</v>
      </c>
      <c r="F1007" s="47">
        <v>344566</v>
      </c>
      <c r="G1007" s="48">
        <v>0.15340000000000001</v>
      </c>
      <c r="H1007" s="48">
        <v>0.15340000000000001</v>
      </c>
      <c r="I1007" s="48">
        <v>0.16233530183349179</v>
      </c>
      <c r="K1007" s="62">
        <v>1</v>
      </c>
      <c r="M1007" s="64"/>
      <c r="N1007" s="64"/>
    </row>
    <row r="1008" spans="1:14" x14ac:dyDescent="0.25">
      <c r="A1008" s="45" t="s">
        <v>1076</v>
      </c>
      <c r="B1008" s="46">
        <v>119924.28</v>
      </c>
      <c r="C1008" s="60">
        <v>0.21</v>
      </c>
      <c r="D1008" s="47">
        <v>210832</v>
      </c>
      <c r="E1008" s="47">
        <v>305818</v>
      </c>
      <c r="F1008" s="47">
        <v>213844</v>
      </c>
      <c r="G1008" s="48">
        <v>0.15190000000000001</v>
      </c>
      <c r="H1008" s="48">
        <v>0.15190000000000001</v>
      </c>
      <c r="I1008" s="48">
        <v>0.15991821662588629</v>
      </c>
      <c r="K1008" s="62">
        <v>1</v>
      </c>
      <c r="M1008" s="64"/>
      <c r="N1008" s="64"/>
    </row>
    <row r="1009" spans="1:14" x14ac:dyDescent="0.25">
      <c r="A1009" s="45" t="s">
        <v>1077</v>
      </c>
      <c r="B1009" s="46">
        <v>147560.41</v>
      </c>
      <c r="C1009" s="60">
        <v>0.21</v>
      </c>
      <c r="D1009" s="47">
        <v>259417</v>
      </c>
      <c r="E1009" s="47">
        <v>376293</v>
      </c>
      <c r="F1009" s="47">
        <v>263124</v>
      </c>
      <c r="G1009" s="48">
        <v>0.15359999999999999</v>
      </c>
      <c r="H1009" s="48">
        <v>0.15359999999999999</v>
      </c>
      <c r="I1009" s="48">
        <v>0.16110998618040681</v>
      </c>
      <c r="K1009" s="62">
        <v>1</v>
      </c>
      <c r="M1009" s="64"/>
      <c r="N1009" s="64"/>
    </row>
    <row r="1010" spans="1:14" x14ac:dyDescent="0.25">
      <c r="A1010" s="45" t="s">
        <v>1078</v>
      </c>
      <c r="B1010" s="46">
        <v>147560.41</v>
      </c>
      <c r="C1010" s="60">
        <v>0.21</v>
      </c>
      <c r="D1010" s="47">
        <v>259417</v>
      </c>
      <c r="E1010" s="47">
        <v>376293</v>
      </c>
      <c r="F1010" s="47">
        <v>263124</v>
      </c>
      <c r="G1010" s="48">
        <v>0.15359999999999999</v>
      </c>
      <c r="H1010" s="48">
        <v>0.15359999999999999</v>
      </c>
      <c r="I1010" s="48">
        <v>0.16173157511922759</v>
      </c>
      <c r="K1010" s="62">
        <v>1</v>
      </c>
      <c r="M1010" s="64"/>
      <c r="N1010" s="64"/>
    </row>
    <row r="1011" spans="1:14" x14ac:dyDescent="0.25">
      <c r="A1011" s="45" t="s">
        <v>1079</v>
      </c>
      <c r="B1011" s="46">
        <v>180114.34</v>
      </c>
      <c r="C1011" s="60">
        <v>0.21</v>
      </c>
      <c r="D1011" s="47">
        <v>316649</v>
      </c>
      <c r="E1011" s="47">
        <v>459309</v>
      </c>
      <c r="F1011" s="47">
        <v>321172</v>
      </c>
      <c r="G1011" s="48">
        <v>0.15429999999999999</v>
      </c>
      <c r="H1011" s="48">
        <v>0.15429999999999999</v>
      </c>
      <c r="I1011" s="48">
        <v>0.16127611533151609</v>
      </c>
      <c r="K1011" s="62">
        <v>1</v>
      </c>
      <c r="M1011" s="64"/>
      <c r="N1011" s="64"/>
    </row>
    <row r="1012" spans="1:14" x14ac:dyDescent="0.25">
      <c r="A1012" s="45" t="s">
        <v>1080</v>
      </c>
      <c r="B1012" s="46">
        <v>188139.86</v>
      </c>
      <c r="C1012" s="60">
        <v>0.21</v>
      </c>
      <c r="D1012" s="47">
        <v>330758</v>
      </c>
      <c r="E1012" s="47">
        <v>479774</v>
      </c>
      <c r="F1012" s="47">
        <v>335483</v>
      </c>
      <c r="G1012" s="48">
        <v>0.15390000000000001</v>
      </c>
      <c r="H1012" s="48">
        <v>0.15390000000000001</v>
      </c>
      <c r="I1012" s="48">
        <v>0.16222895735619669</v>
      </c>
      <c r="K1012" s="62">
        <v>1</v>
      </c>
      <c r="M1012" s="64"/>
      <c r="N1012" s="64"/>
    </row>
    <row r="1013" spans="1:14" x14ac:dyDescent="0.25">
      <c r="A1013" s="45" t="s">
        <v>1081</v>
      </c>
      <c r="B1013" s="46">
        <v>217916.41</v>
      </c>
      <c r="C1013" s="60">
        <v>0.21</v>
      </c>
      <c r="D1013" s="47">
        <v>383106</v>
      </c>
      <c r="E1013" s="47">
        <v>555707</v>
      </c>
      <c r="F1013" s="47">
        <v>388579</v>
      </c>
      <c r="G1013" s="48">
        <v>0.15329999999999999</v>
      </c>
      <c r="H1013" s="48">
        <v>0.15329999999999999</v>
      </c>
      <c r="I1013" s="48">
        <v>0.16214597078806209</v>
      </c>
      <c r="K1013" s="62">
        <v>1</v>
      </c>
      <c r="M1013" s="64"/>
      <c r="N1013" s="64"/>
    </row>
    <row r="1014" spans="1:14" x14ac:dyDescent="0.25">
      <c r="A1014" s="45" t="s">
        <v>1082</v>
      </c>
      <c r="B1014" s="46">
        <v>470348.19</v>
      </c>
      <c r="C1014" s="60">
        <v>0.21</v>
      </c>
      <c r="D1014" s="47">
        <v>826893</v>
      </c>
      <c r="E1014" s="47">
        <v>1199432</v>
      </c>
      <c r="F1014" s="47">
        <v>838705</v>
      </c>
      <c r="G1014" s="48">
        <v>0.156</v>
      </c>
      <c r="H1014" s="48">
        <v>0.156</v>
      </c>
      <c r="I1014" s="48">
        <v>0.164371333784918</v>
      </c>
      <c r="K1014" s="62">
        <v>1</v>
      </c>
      <c r="M1014" s="64"/>
      <c r="N1014" s="64"/>
    </row>
    <row r="1015" spans="1:14" x14ac:dyDescent="0.25">
      <c r="A1015" s="45" t="s">
        <v>1083</v>
      </c>
      <c r="B1015" s="46">
        <v>430765</v>
      </c>
      <c r="C1015" s="60">
        <v>0.21</v>
      </c>
      <c r="D1015" s="47">
        <v>757303</v>
      </c>
      <c r="E1015" s="47">
        <v>1098491</v>
      </c>
      <c r="F1015" s="47">
        <v>768122</v>
      </c>
      <c r="G1015" s="48">
        <v>0.15579999999999999</v>
      </c>
      <c r="H1015" s="48">
        <v>0.15579999999999999</v>
      </c>
      <c r="I1015" s="48">
        <v>0.164729624012699</v>
      </c>
      <c r="K1015" s="62">
        <v>1</v>
      </c>
      <c r="M1015" s="64"/>
      <c r="N1015" s="64"/>
    </row>
    <row r="1016" spans="1:14" x14ac:dyDescent="0.25">
      <c r="A1016" s="45" t="s">
        <v>1084</v>
      </c>
      <c r="B1016" s="46">
        <v>310826.48</v>
      </c>
      <c r="C1016" s="60">
        <v>0.21</v>
      </c>
      <c r="D1016" s="47">
        <v>565963</v>
      </c>
      <c r="E1016" s="47">
        <v>820944</v>
      </c>
      <c r="F1016" s="47">
        <v>574047</v>
      </c>
      <c r="G1016" s="48">
        <v>0.16919999999999999</v>
      </c>
      <c r="H1016" s="48">
        <v>0.16919999999999999</v>
      </c>
      <c r="I1016" s="48">
        <v>0.18633365987881609</v>
      </c>
      <c r="K1016" s="62">
        <v>1</v>
      </c>
      <c r="M1016" s="64"/>
      <c r="N1016" s="64"/>
    </row>
    <row r="1017" spans="1:14" x14ac:dyDescent="0.25">
      <c r="A1017" s="45" t="s">
        <v>1085</v>
      </c>
      <c r="B1017" s="46">
        <v>37606.79</v>
      </c>
      <c r="C1017" s="60">
        <v>0.21</v>
      </c>
      <c r="D1017" s="47">
        <v>68476</v>
      </c>
      <c r="E1017" s="47">
        <v>99327</v>
      </c>
      <c r="F1017" s="47">
        <v>69454</v>
      </c>
      <c r="G1017" s="48">
        <v>0.1542</v>
      </c>
      <c r="H1017" s="48">
        <v>0.1542</v>
      </c>
      <c r="I1017" s="48">
        <v>0.1718926890181629</v>
      </c>
      <c r="K1017" s="62">
        <v>1</v>
      </c>
      <c r="M1017" s="64"/>
      <c r="N1017" s="64"/>
    </row>
    <row r="1018" spans="1:14" x14ac:dyDescent="0.25">
      <c r="A1018" s="45" t="s">
        <v>1086</v>
      </c>
      <c r="B1018" s="46">
        <v>88374.81</v>
      </c>
      <c r="C1018" s="60">
        <v>0.21</v>
      </c>
      <c r="D1018" s="47">
        <v>160916</v>
      </c>
      <c r="E1018" s="47">
        <v>233413</v>
      </c>
      <c r="F1018" s="47">
        <v>163214</v>
      </c>
      <c r="G1018" s="48">
        <v>0.1638</v>
      </c>
      <c r="H1018" s="48">
        <v>0.1638</v>
      </c>
      <c r="I1018" s="48">
        <v>0.18035830572103631</v>
      </c>
      <c r="K1018" s="62">
        <v>1</v>
      </c>
      <c r="M1018" s="64"/>
      <c r="N1018" s="64"/>
    </row>
    <row r="1019" spans="1:14" x14ac:dyDescent="0.25">
      <c r="A1019" s="45" t="s">
        <v>1087</v>
      </c>
      <c r="B1019" s="46">
        <v>70329.850000000006</v>
      </c>
      <c r="C1019" s="60">
        <v>0.21</v>
      </c>
      <c r="D1019" s="47">
        <v>128059</v>
      </c>
      <c r="E1019" s="47">
        <v>185752</v>
      </c>
      <c r="F1019" s="47">
        <v>129888</v>
      </c>
      <c r="G1019" s="48">
        <v>0.16200000000000001</v>
      </c>
      <c r="H1019" s="48">
        <v>0.16200000000000001</v>
      </c>
      <c r="I1019" s="48">
        <v>0.17821805511506941</v>
      </c>
      <c r="K1019" s="62">
        <v>1</v>
      </c>
      <c r="M1019" s="64"/>
      <c r="N1019" s="64"/>
    </row>
    <row r="1020" spans="1:14" x14ac:dyDescent="0.25">
      <c r="A1020" s="45" t="s">
        <v>1088</v>
      </c>
      <c r="B1020" s="46">
        <v>77093.22</v>
      </c>
      <c r="C1020" s="60">
        <v>0.21</v>
      </c>
      <c r="D1020" s="47">
        <v>140373</v>
      </c>
      <c r="E1020" s="47">
        <v>203616</v>
      </c>
      <c r="F1020" s="47">
        <v>142379</v>
      </c>
      <c r="G1020" s="48">
        <v>0.1641</v>
      </c>
      <c r="H1020" s="48">
        <v>0.1641</v>
      </c>
      <c r="I1020" s="48">
        <v>0.17739469032856719</v>
      </c>
      <c r="K1020" s="62">
        <v>1</v>
      </c>
      <c r="M1020" s="64"/>
      <c r="N1020" s="64"/>
    </row>
    <row r="1021" spans="1:14" x14ac:dyDescent="0.25">
      <c r="A1021" s="45" t="s">
        <v>1089</v>
      </c>
      <c r="B1021" s="46">
        <v>4223.2</v>
      </c>
      <c r="C1021" s="60">
        <v>0.21</v>
      </c>
      <c r="D1021" s="47">
        <v>7690</v>
      </c>
      <c r="E1021" s="47">
        <v>11155</v>
      </c>
      <c r="F1021" s="47">
        <v>7800</v>
      </c>
      <c r="G1021" s="48">
        <v>0.1169</v>
      </c>
      <c r="H1021" s="48">
        <v>0.1169</v>
      </c>
      <c r="I1021" s="48">
        <v>0.1719252439420455</v>
      </c>
      <c r="K1021" s="62">
        <v>1</v>
      </c>
      <c r="M1021" s="64"/>
      <c r="N1021" s="64"/>
    </row>
    <row r="1022" spans="1:14" x14ac:dyDescent="0.25">
      <c r="A1022" s="45" t="s">
        <v>1090</v>
      </c>
      <c r="B1022" s="46">
        <v>229948.41</v>
      </c>
      <c r="C1022" s="60">
        <v>0.21</v>
      </c>
      <c r="D1022" s="47">
        <v>418697</v>
      </c>
      <c r="E1022" s="47">
        <v>607332</v>
      </c>
      <c r="F1022" s="47">
        <v>424678</v>
      </c>
      <c r="G1022" s="48">
        <v>0.1676</v>
      </c>
      <c r="H1022" s="48">
        <v>0.1676</v>
      </c>
      <c r="I1022" s="48">
        <v>0.18588473516440471</v>
      </c>
      <c r="K1022" s="62">
        <v>1</v>
      </c>
      <c r="M1022" s="64"/>
      <c r="N1022" s="64"/>
    </row>
    <row r="1023" spans="1:14" x14ac:dyDescent="0.25">
      <c r="A1023" s="45" t="s">
        <v>1091</v>
      </c>
      <c r="B1023" s="46">
        <v>112894.73</v>
      </c>
      <c r="C1023" s="60">
        <v>0.21</v>
      </c>
      <c r="D1023" s="47">
        <v>205562</v>
      </c>
      <c r="E1023" s="47">
        <v>298174</v>
      </c>
      <c r="F1023" s="47">
        <v>208499</v>
      </c>
      <c r="G1023" s="48">
        <v>0.1653</v>
      </c>
      <c r="H1023" s="48">
        <v>0.1653</v>
      </c>
      <c r="I1023" s="48">
        <v>0.18217263920717081</v>
      </c>
      <c r="K1023" s="62">
        <v>1</v>
      </c>
      <c r="M1023" s="64"/>
      <c r="N1023" s="64"/>
    </row>
    <row r="1024" spans="1:14" x14ac:dyDescent="0.25">
      <c r="A1024" s="45" t="s">
        <v>1092</v>
      </c>
      <c r="B1024" s="46">
        <v>3686.42</v>
      </c>
      <c r="C1024" s="60">
        <v>0.21</v>
      </c>
      <c r="D1024" s="47">
        <v>6713</v>
      </c>
      <c r="E1024" s="47">
        <v>9736</v>
      </c>
      <c r="F1024" s="47">
        <v>6808</v>
      </c>
      <c r="G1024" s="48">
        <v>0.14829999999999999</v>
      </c>
      <c r="H1024" s="48">
        <v>0.14829999999999999</v>
      </c>
      <c r="I1024" s="48">
        <v>0.1719155178139235</v>
      </c>
      <c r="K1024" s="62">
        <v>1</v>
      </c>
      <c r="M1024" s="64"/>
      <c r="N1024" s="64"/>
    </row>
    <row r="1025" spans="1:14" x14ac:dyDescent="0.25">
      <c r="A1025" s="45" t="s">
        <v>1093</v>
      </c>
      <c r="B1025" s="46">
        <v>3686.42</v>
      </c>
      <c r="C1025" s="60">
        <v>0.21</v>
      </c>
      <c r="D1025" s="47">
        <v>6713</v>
      </c>
      <c r="E1025" s="47">
        <v>9736</v>
      </c>
      <c r="F1025" s="47">
        <v>6808</v>
      </c>
      <c r="G1025" s="48">
        <v>0.14829999999999999</v>
      </c>
      <c r="H1025" s="48">
        <v>0.14829999999999999</v>
      </c>
      <c r="I1025" s="48">
        <v>0.1719155178139235</v>
      </c>
      <c r="K1025" s="62">
        <v>1</v>
      </c>
      <c r="M1025" s="64"/>
      <c r="N1025" s="64"/>
    </row>
    <row r="1026" spans="1:14" x14ac:dyDescent="0.25">
      <c r="A1026" s="45" t="s">
        <v>1094</v>
      </c>
      <c r="B1026" s="46">
        <v>3686.42</v>
      </c>
      <c r="C1026" s="60">
        <v>0.21</v>
      </c>
      <c r="D1026" s="47">
        <v>6713</v>
      </c>
      <c r="E1026" s="47">
        <v>9736</v>
      </c>
      <c r="F1026" s="47">
        <v>6808</v>
      </c>
      <c r="G1026" s="48">
        <v>0.14829999999999999</v>
      </c>
      <c r="H1026" s="48">
        <v>0.14829999999999999</v>
      </c>
      <c r="I1026" s="48">
        <v>0.1719155178139235</v>
      </c>
      <c r="K1026" s="62">
        <v>1</v>
      </c>
      <c r="M1026" s="64"/>
      <c r="N1026" s="64"/>
    </row>
    <row r="1027" spans="1:14" x14ac:dyDescent="0.25">
      <c r="A1027" s="45" t="s">
        <v>1095</v>
      </c>
      <c r="B1027" s="46">
        <v>3686.42</v>
      </c>
      <c r="C1027" s="60">
        <v>0.21</v>
      </c>
      <c r="D1027" s="47">
        <v>6713</v>
      </c>
      <c r="E1027" s="47">
        <v>9736</v>
      </c>
      <c r="F1027" s="47">
        <v>6808</v>
      </c>
      <c r="G1027" s="48">
        <v>0.14829999999999999</v>
      </c>
      <c r="H1027" s="48">
        <v>0.14829999999999999</v>
      </c>
      <c r="I1027" s="48">
        <v>0.1719155178139235</v>
      </c>
      <c r="K1027" s="62">
        <v>1</v>
      </c>
      <c r="M1027" s="64"/>
      <c r="N1027" s="64"/>
    </row>
    <row r="1028" spans="1:14" x14ac:dyDescent="0.25">
      <c r="A1028" s="45" t="s">
        <v>1096</v>
      </c>
      <c r="B1028" s="46">
        <v>4915.22</v>
      </c>
      <c r="C1028" s="60">
        <v>0.21</v>
      </c>
      <c r="D1028" s="47">
        <v>8950</v>
      </c>
      <c r="E1028" s="47">
        <v>12983</v>
      </c>
      <c r="F1028" s="47">
        <v>9078</v>
      </c>
      <c r="G1028" s="48">
        <v>0.1206</v>
      </c>
      <c r="H1028" s="48">
        <v>0.1206</v>
      </c>
      <c r="I1028" s="48">
        <v>0.19768799958737179</v>
      </c>
      <c r="K1028" s="62">
        <v>1</v>
      </c>
      <c r="M1028" s="64"/>
      <c r="N1028" s="64"/>
    </row>
    <row r="1029" spans="1:14" x14ac:dyDescent="0.25">
      <c r="A1029" s="45" t="s">
        <v>1097</v>
      </c>
      <c r="B1029" s="46">
        <v>42996.15</v>
      </c>
      <c r="C1029" s="60">
        <v>0.105</v>
      </c>
      <c r="D1029" s="47">
        <v>71496</v>
      </c>
      <c r="E1029" s="47">
        <v>103705</v>
      </c>
      <c r="F1029" s="47">
        <v>72516</v>
      </c>
      <c r="G1029" s="48">
        <v>0.2001</v>
      </c>
      <c r="H1029" s="48">
        <v>0.2001</v>
      </c>
      <c r="I1029" s="48">
        <v>0.20869842533262309</v>
      </c>
      <c r="K1029" s="62">
        <v>1</v>
      </c>
      <c r="M1029" s="64"/>
      <c r="N1029" s="64"/>
    </row>
    <row r="1030" spans="1:14" x14ac:dyDescent="0.25">
      <c r="A1030" s="45" t="s">
        <v>1098</v>
      </c>
      <c r="B1030" s="46">
        <v>7851.39</v>
      </c>
      <c r="C1030" s="60">
        <v>0.21</v>
      </c>
      <c r="D1030" s="47">
        <v>14296</v>
      </c>
      <c r="E1030" s="47">
        <v>20736</v>
      </c>
      <c r="F1030" s="47">
        <v>14500</v>
      </c>
      <c r="G1030" s="48">
        <v>0.1041</v>
      </c>
      <c r="H1030" s="48">
        <v>0.1041</v>
      </c>
      <c r="I1030" s="48">
        <v>0.171879843121758</v>
      </c>
      <c r="K1030" s="62">
        <v>1</v>
      </c>
      <c r="M1030" s="64"/>
      <c r="N1030" s="64"/>
    </row>
    <row r="1031" spans="1:14" x14ac:dyDescent="0.25">
      <c r="A1031" s="45" t="s">
        <v>1099</v>
      </c>
      <c r="B1031" s="46">
        <v>4907.1899999999996</v>
      </c>
      <c r="C1031" s="60">
        <v>0.21</v>
      </c>
      <c r="D1031" s="47">
        <v>8936</v>
      </c>
      <c r="E1031" s="47">
        <v>12961</v>
      </c>
      <c r="F1031" s="47">
        <v>9063</v>
      </c>
      <c r="G1031" s="48">
        <v>0.1709</v>
      </c>
      <c r="H1031" s="48">
        <v>0.1709</v>
      </c>
      <c r="I1031" s="48">
        <v>0.1977238820638775</v>
      </c>
      <c r="K1031" s="62">
        <v>1</v>
      </c>
      <c r="M1031" s="64"/>
      <c r="N1031" s="64"/>
    </row>
    <row r="1032" spans="1:14" x14ac:dyDescent="0.25">
      <c r="A1032" s="45" t="s">
        <v>1100</v>
      </c>
      <c r="B1032" s="46">
        <v>6302.07</v>
      </c>
      <c r="C1032" s="60">
        <v>0.21</v>
      </c>
      <c r="D1032" s="47">
        <v>11475</v>
      </c>
      <c r="E1032" s="47">
        <v>16645</v>
      </c>
      <c r="F1032" s="47">
        <v>11639</v>
      </c>
      <c r="G1032" s="48">
        <v>0.1709</v>
      </c>
      <c r="H1032" s="48">
        <v>0.1709</v>
      </c>
      <c r="I1032" s="48">
        <v>0.18868849905404941</v>
      </c>
      <c r="K1032" s="62">
        <v>1</v>
      </c>
      <c r="M1032" s="64"/>
      <c r="N1032" s="64"/>
    </row>
    <row r="1033" spans="1:14" x14ac:dyDescent="0.25">
      <c r="A1033" s="45" t="s">
        <v>1101</v>
      </c>
      <c r="B1033" s="46">
        <v>6302.07</v>
      </c>
      <c r="C1033" s="60">
        <v>0.21</v>
      </c>
      <c r="D1033" s="47">
        <v>11475</v>
      </c>
      <c r="E1033" s="47">
        <v>16645</v>
      </c>
      <c r="F1033" s="47">
        <v>11639</v>
      </c>
      <c r="G1033" s="48">
        <v>0.1709</v>
      </c>
      <c r="H1033" s="48">
        <v>0.1709</v>
      </c>
      <c r="I1033" s="48">
        <v>0.18868849905404941</v>
      </c>
      <c r="K1033" s="62">
        <v>1</v>
      </c>
      <c r="M1033" s="64"/>
      <c r="N1033" s="64"/>
    </row>
    <row r="1034" spans="1:14" x14ac:dyDescent="0.25">
      <c r="A1034" s="45" t="s">
        <v>1102</v>
      </c>
      <c r="B1034" s="46">
        <v>17404.03</v>
      </c>
      <c r="C1034" s="60">
        <v>0.21</v>
      </c>
      <c r="D1034" s="47">
        <v>31690</v>
      </c>
      <c r="E1034" s="47">
        <v>45966</v>
      </c>
      <c r="F1034" s="47">
        <v>32142</v>
      </c>
      <c r="G1034" s="48">
        <v>9.7799999999999998E-2</v>
      </c>
      <c r="H1034" s="48">
        <v>9.7799999999999998E-2</v>
      </c>
      <c r="I1034" s="48">
        <v>0.17189596582607419</v>
      </c>
      <c r="K1034" s="62">
        <v>1</v>
      </c>
      <c r="M1034" s="64"/>
      <c r="N1034" s="64"/>
    </row>
    <row r="1035" spans="1:14" x14ac:dyDescent="0.25">
      <c r="A1035" s="45" t="s">
        <v>1103</v>
      </c>
      <c r="B1035" s="46">
        <v>9290.8700000000008</v>
      </c>
      <c r="C1035" s="60">
        <v>0.21</v>
      </c>
      <c r="D1035" s="47">
        <v>16918</v>
      </c>
      <c r="E1035" s="47">
        <v>24539</v>
      </c>
      <c r="F1035" s="47">
        <v>17159</v>
      </c>
      <c r="G1035" s="48">
        <v>9.1300000000000006E-2</v>
      </c>
      <c r="H1035" s="48">
        <v>9.1300000000000006E-2</v>
      </c>
      <c r="I1035" s="48">
        <v>0.17190754628007579</v>
      </c>
      <c r="K1035" s="62">
        <v>1</v>
      </c>
      <c r="M1035" s="64"/>
      <c r="N1035" s="64"/>
    </row>
    <row r="1036" spans="1:14" x14ac:dyDescent="0.25">
      <c r="A1036" s="45" t="s">
        <v>1104</v>
      </c>
      <c r="B1036" s="46">
        <v>4274.6899999999996</v>
      </c>
      <c r="C1036" s="60">
        <v>0.21</v>
      </c>
      <c r="D1036" s="47">
        <v>7784</v>
      </c>
      <c r="E1036" s="47">
        <v>11291</v>
      </c>
      <c r="F1036" s="47">
        <v>7895</v>
      </c>
      <c r="G1036" s="48">
        <v>0.1172</v>
      </c>
      <c r="H1036" s="48">
        <v>0.1172</v>
      </c>
      <c r="I1036" s="48">
        <v>0.1719033029160402</v>
      </c>
      <c r="K1036" s="62">
        <v>1</v>
      </c>
      <c r="M1036" s="64"/>
      <c r="N1036" s="64"/>
    </row>
    <row r="1037" spans="1:14" x14ac:dyDescent="0.25">
      <c r="A1037" s="45" t="s">
        <v>1105</v>
      </c>
      <c r="B1037" s="46">
        <v>30532.66</v>
      </c>
      <c r="C1037" s="60">
        <v>0.21</v>
      </c>
      <c r="D1037" s="47">
        <v>55594</v>
      </c>
      <c r="E1037" s="47">
        <v>80641</v>
      </c>
      <c r="F1037" s="47">
        <v>56389</v>
      </c>
      <c r="G1037" s="48">
        <v>0.14949999999999999</v>
      </c>
      <c r="H1037" s="48">
        <v>0.14949999999999999</v>
      </c>
      <c r="I1037" s="48">
        <v>0.1718869509578419</v>
      </c>
      <c r="K1037" s="62">
        <v>1</v>
      </c>
      <c r="M1037" s="64"/>
      <c r="N1037" s="64"/>
    </row>
    <row r="1038" spans="1:14" x14ac:dyDescent="0.25">
      <c r="A1038" s="45" t="s">
        <v>1106</v>
      </c>
      <c r="B1038" s="46">
        <v>9075.64</v>
      </c>
      <c r="C1038" s="60">
        <v>0.21</v>
      </c>
      <c r="D1038" s="47">
        <v>17095</v>
      </c>
      <c r="E1038" s="47">
        <v>24797</v>
      </c>
      <c r="F1038" s="47">
        <v>17339</v>
      </c>
      <c r="G1038" s="48">
        <v>0.1235</v>
      </c>
      <c r="H1038" s="48">
        <v>0.1235</v>
      </c>
      <c r="I1038" s="48">
        <v>0.18994051815187049</v>
      </c>
      <c r="K1038" s="62">
        <v>1</v>
      </c>
      <c r="M1038" s="64"/>
      <c r="N1038" s="64"/>
    </row>
    <row r="1039" spans="1:14" x14ac:dyDescent="0.25">
      <c r="A1039" s="45" t="s">
        <v>1107</v>
      </c>
      <c r="B1039" s="46">
        <v>14334.05</v>
      </c>
      <c r="C1039" s="60">
        <v>0.21</v>
      </c>
      <c r="D1039" s="47">
        <v>27000</v>
      </c>
      <c r="E1039" s="47">
        <v>39164</v>
      </c>
      <c r="F1039" s="47">
        <v>27386</v>
      </c>
      <c r="G1039" s="48">
        <v>0.14399999999999999</v>
      </c>
      <c r="H1039" s="48">
        <v>0.14399999999999999</v>
      </c>
      <c r="I1039" s="48">
        <v>0.189937006910296</v>
      </c>
      <c r="K1039" s="62">
        <v>1</v>
      </c>
      <c r="M1039" s="64"/>
      <c r="N1039" s="64"/>
    </row>
    <row r="1040" spans="1:14" x14ac:dyDescent="0.25">
      <c r="A1040" s="45" t="s">
        <v>1108</v>
      </c>
      <c r="B1040" s="46">
        <v>90675.13</v>
      </c>
      <c r="C1040" s="60">
        <v>0.105</v>
      </c>
      <c r="D1040" s="47">
        <v>150777</v>
      </c>
      <c r="E1040" s="47">
        <v>218707</v>
      </c>
      <c r="F1040" s="47">
        <v>152931</v>
      </c>
      <c r="G1040" s="48">
        <v>0.20449999999999999</v>
      </c>
      <c r="H1040" s="48">
        <v>0.20449999999999999</v>
      </c>
      <c r="I1040" s="48">
        <v>0.21739757247716421</v>
      </c>
      <c r="K1040" s="62">
        <v>1</v>
      </c>
      <c r="M1040" s="64"/>
      <c r="N1040" s="64"/>
    </row>
    <row r="1041" spans="1:14" x14ac:dyDescent="0.25">
      <c r="A1041" s="45" t="s">
        <v>1109</v>
      </c>
      <c r="B1041" s="46">
        <v>40037.410000000003</v>
      </c>
      <c r="C1041" s="60">
        <v>0.21</v>
      </c>
      <c r="D1041" s="47">
        <v>72902</v>
      </c>
      <c r="E1041" s="47">
        <v>105746</v>
      </c>
      <c r="F1041" s="47">
        <v>73943</v>
      </c>
      <c r="G1041" s="48">
        <v>0.15529999999999999</v>
      </c>
      <c r="H1041" s="48">
        <v>0.15529999999999999</v>
      </c>
      <c r="I1041" s="48">
        <v>0.17248653544639131</v>
      </c>
      <c r="K1041" s="62">
        <v>1</v>
      </c>
      <c r="M1041" s="64"/>
      <c r="N1041" s="64"/>
    </row>
    <row r="1042" spans="1:14" x14ac:dyDescent="0.25">
      <c r="A1042" s="45" t="s">
        <v>1110</v>
      </c>
      <c r="B1042" s="46">
        <v>77320.7</v>
      </c>
      <c r="C1042" s="60">
        <v>0.21</v>
      </c>
      <c r="D1042" s="47">
        <v>140788</v>
      </c>
      <c r="E1042" s="47">
        <v>204217</v>
      </c>
      <c r="F1042" s="47">
        <v>142799</v>
      </c>
      <c r="G1042" s="48">
        <v>0.1613</v>
      </c>
      <c r="H1042" s="48">
        <v>0.1613</v>
      </c>
      <c r="I1042" s="48">
        <v>0.17916226065888741</v>
      </c>
      <c r="K1042" s="62">
        <v>1</v>
      </c>
      <c r="M1042" s="64"/>
      <c r="N1042" s="64"/>
    </row>
    <row r="1043" spans="1:14" x14ac:dyDescent="0.25">
      <c r="A1043" s="45" t="s">
        <v>1111</v>
      </c>
      <c r="B1043" s="46">
        <v>7932.93</v>
      </c>
      <c r="C1043" s="60">
        <v>0.21</v>
      </c>
      <c r="D1043" s="47">
        <v>14445</v>
      </c>
      <c r="E1043" s="47">
        <v>20953</v>
      </c>
      <c r="F1043" s="47">
        <v>14651</v>
      </c>
      <c r="G1043" s="48">
        <v>0.1048</v>
      </c>
      <c r="H1043" s="48">
        <v>0.1048</v>
      </c>
      <c r="I1043" s="48">
        <v>0.17190380448182249</v>
      </c>
      <c r="K1043" s="62">
        <v>1</v>
      </c>
      <c r="M1043" s="64"/>
      <c r="N1043" s="64"/>
    </row>
    <row r="1044" spans="1:14" x14ac:dyDescent="0.25">
      <c r="A1044" s="45" t="s">
        <v>1112</v>
      </c>
      <c r="B1044" s="46">
        <v>10336.86</v>
      </c>
      <c r="C1044" s="60">
        <v>0.21</v>
      </c>
      <c r="D1044" s="47">
        <v>18821</v>
      </c>
      <c r="E1044" s="47">
        <v>27303</v>
      </c>
      <c r="F1044" s="47">
        <v>19091</v>
      </c>
      <c r="G1044" s="48">
        <v>0.1201</v>
      </c>
      <c r="H1044" s="48">
        <v>0.1201</v>
      </c>
      <c r="I1044" s="48">
        <v>0.17187944750428191</v>
      </c>
      <c r="K1044" s="62">
        <v>1</v>
      </c>
      <c r="M1044" s="64"/>
      <c r="N1044" s="64"/>
    </row>
    <row r="1045" spans="1:14" x14ac:dyDescent="0.25">
      <c r="A1045" s="45" t="s">
        <v>1113</v>
      </c>
      <c r="B1045" s="46">
        <v>9014.69</v>
      </c>
      <c r="C1045" s="60">
        <v>0.21</v>
      </c>
      <c r="D1045" s="47">
        <v>16415</v>
      </c>
      <c r="E1045" s="47">
        <v>23809</v>
      </c>
      <c r="F1045" s="47">
        <v>16649</v>
      </c>
      <c r="G1045" s="48">
        <v>0.11269999999999999</v>
      </c>
      <c r="H1045" s="48">
        <v>0.11269999999999999</v>
      </c>
      <c r="I1045" s="48">
        <v>0.17190537880988019</v>
      </c>
      <c r="K1045" s="62">
        <v>1</v>
      </c>
      <c r="M1045" s="64"/>
      <c r="N1045" s="64"/>
    </row>
    <row r="1046" spans="1:14" x14ac:dyDescent="0.25">
      <c r="A1046" s="45" t="s">
        <v>1114</v>
      </c>
      <c r="B1046" s="46">
        <v>9255.06</v>
      </c>
      <c r="C1046" s="60">
        <v>0.21</v>
      </c>
      <c r="D1046" s="47">
        <v>16851</v>
      </c>
      <c r="E1046" s="47">
        <v>24445</v>
      </c>
      <c r="F1046" s="47">
        <v>17093</v>
      </c>
      <c r="G1046" s="48">
        <v>0.1142</v>
      </c>
      <c r="H1046" s="48">
        <v>0.1142</v>
      </c>
      <c r="I1046" s="48">
        <v>0.17187693612286289</v>
      </c>
      <c r="K1046" s="62">
        <v>1</v>
      </c>
      <c r="M1046" s="64"/>
      <c r="N1046" s="64"/>
    </row>
    <row r="1047" spans="1:14" x14ac:dyDescent="0.25">
      <c r="A1047" s="45" t="s">
        <v>1115</v>
      </c>
      <c r="B1047" s="46">
        <v>9255.06</v>
      </c>
      <c r="C1047" s="60">
        <v>0.21</v>
      </c>
      <c r="D1047" s="47">
        <v>16851</v>
      </c>
      <c r="E1047" s="47">
        <v>24445</v>
      </c>
      <c r="F1047" s="47">
        <v>17093</v>
      </c>
      <c r="G1047" s="48">
        <v>0.1142</v>
      </c>
      <c r="H1047" s="48">
        <v>0.1142</v>
      </c>
      <c r="I1047" s="48">
        <v>0.17187693612286289</v>
      </c>
      <c r="K1047" s="62">
        <v>1</v>
      </c>
      <c r="M1047" s="64"/>
      <c r="N1047" s="64"/>
    </row>
    <row r="1048" spans="1:14" x14ac:dyDescent="0.25">
      <c r="A1048" s="45" t="s">
        <v>1116</v>
      </c>
      <c r="B1048" s="46">
        <v>11538.8</v>
      </c>
      <c r="C1048" s="60">
        <v>0.21</v>
      </c>
      <c r="D1048" s="47">
        <v>21011</v>
      </c>
      <c r="E1048" s="47">
        <v>30476</v>
      </c>
      <c r="F1048" s="47">
        <v>21310</v>
      </c>
      <c r="G1048" s="48">
        <v>0.12540000000000001</v>
      </c>
      <c r="H1048" s="48">
        <v>0.12540000000000001</v>
      </c>
      <c r="I1048" s="48">
        <v>0.17189938439775981</v>
      </c>
      <c r="K1048" s="62">
        <v>1</v>
      </c>
      <c r="M1048" s="64"/>
      <c r="N1048" s="64"/>
    </row>
    <row r="1049" spans="1:14" x14ac:dyDescent="0.25">
      <c r="A1049" s="45" t="s">
        <v>1117</v>
      </c>
      <c r="B1049" s="46">
        <v>10336.86</v>
      </c>
      <c r="C1049" s="60">
        <v>0.21</v>
      </c>
      <c r="D1049" s="47">
        <v>18821</v>
      </c>
      <c r="E1049" s="47">
        <v>27303</v>
      </c>
      <c r="F1049" s="47">
        <v>19091</v>
      </c>
      <c r="G1049" s="48">
        <v>0.1201</v>
      </c>
      <c r="H1049" s="48">
        <v>0.1201</v>
      </c>
      <c r="I1049" s="48">
        <v>0.17187944750428191</v>
      </c>
      <c r="K1049" s="62">
        <v>1</v>
      </c>
      <c r="M1049" s="64"/>
      <c r="N1049" s="64"/>
    </row>
    <row r="1050" spans="1:14" x14ac:dyDescent="0.25">
      <c r="A1050" s="45" t="s">
        <v>1118</v>
      </c>
      <c r="B1050" s="46">
        <v>15216.83</v>
      </c>
      <c r="C1050" s="60">
        <v>0.21</v>
      </c>
      <c r="D1050" s="47">
        <v>27707</v>
      </c>
      <c r="E1050" s="47">
        <v>40190</v>
      </c>
      <c r="F1050" s="47">
        <v>28103</v>
      </c>
      <c r="G1050" s="48">
        <v>0.13639999999999999</v>
      </c>
      <c r="H1050" s="48">
        <v>0.13639999999999999</v>
      </c>
      <c r="I1050" s="48">
        <v>0.17189412781731889</v>
      </c>
      <c r="K1050" s="62">
        <v>1</v>
      </c>
      <c r="M1050" s="64"/>
      <c r="N1050" s="64"/>
    </row>
    <row r="1051" spans="1:14" x14ac:dyDescent="0.25">
      <c r="A1051" s="45" t="s">
        <v>1119</v>
      </c>
      <c r="B1051" s="46">
        <v>26803.7</v>
      </c>
      <c r="C1051" s="60">
        <v>0.21</v>
      </c>
      <c r="D1051" s="47">
        <v>48805</v>
      </c>
      <c r="E1051" s="47">
        <v>70793</v>
      </c>
      <c r="F1051" s="47">
        <v>49502</v>
      </c>
      <c r="G1051" s="48">
        <v>0.15129999999999999</v>
      </c>
      <c r="H1051" s="48">
        <v>0.15129999999999999</v>
      </c>
      <c r="I1051" s="48">
        <v>0.17189211694222531</v>
      </c>
      <c r="K1051" s="62">
        <v>1</v>
      </c>
      <c r="M1051" s="64"/>
      <c r="N1051" s="64"/>
    </row>
    <row r="1052" spans="1:14" x14ac:dyDescent="0.25">
      <c r="A1052" s="45" t="s">
        <v>1120</v>
      </c>
      <c r="B1052" s="46">
        <v>20553.5</v>
      </c>
      <c r="C1052" s="60">
        <v>0.21</v>
      </c>
      <c r="D1052" s="47">
        <v>37424</v>
      </c>
      <c r="E1052" s="47">
        <v>54285</v>
      </c>
      <c r="F1052" s="47">
        <v>37959</v>
      </c>
      <c r="G1052" s="48">
        <v>0.14530000000000001</v>
      </c>
      <c r="H1052" s="48">
        <v>0.14530000000000001</v>
      </c>
      <c r="I1052" s="48">
        <v>0.17188654151220531</v>
      </c>
      <c r="K1052" s="62">
        <v>1</v>
      </c>
      <c r="M1052" s="64"/>
      <c r="N1052" s="64"/>
    </row>
    <row r="1053" spans="1:14" x14ac:dyDescent="0.25">
      <c r="A1053" s="45" t="s">
        <v>1121</v>
      </c>
      <c r="B1053" s="46">
        <v>24519.99</v>
      </c>
      <c r="C1053" s="60">
        <v>0.21</v>
      </c>
      <c r="D1053" s="47">
        <v>44647</v>
      </c>
      <c r="E1053" s="47">
        <v>64762</v>
      </c>
      <c r="F1053" s="47">
        <v>45285</v>
      </c>
      <c r="G1053" s="48">
        <v>0.14949999999999999</v>
      </c>
      <c r="H1053" s="48">
        <v>0.14949999999999999</v>
      </c>
      <c r="I1053" s="48">
        <v>0.17189499564413441</v>
      </c>
      <c r="K1053" s="62">
        <v>1</v>
      </c>
      <c r="M1053" s="64"/>
      <c r="N1053" s="64"/>
    </row>
    <row r="1054" spans="1:14" x14ac:dyDescent="0.25">
      <c r="A1054" s="45" t="s">
        <v>1122</v>
      </c>
      <c r="B1054" s="46">
        <v>26443.13</v>
      </c>
      <c r="C1054" s="60">
        <v>0.21</v>
      </c>
      <c r="D1054" s="47">
        <v>48149</v>
      </c>
      <c r="E1054" s="47">
        <v>69841</v>
      </c>
      <c r="F1054" s="47">
        <v>48836</v>
      </c>
      <c r="G1054" s="48">
        <v>0.151</v>
      </c>
      <c r="H1054" s="48">
        <v>0.151</v>
      </c>
      <c r="I1054" s="48">
        <v>0.17189527848229469</v>
      </c>
      <c r="K1054" s="62">
        <v>1</v>
      </c>
      <c r="M1054" s="64"/>
      <c r="N1054" s="64"/>
    </row>
    <row r="1055" spans="1:14" x14ac:dyDescent="0.25">
      <c r="A1055" s="45" t="s">
        <v>1123</v>
      </c>
      <c r="B1055" s="46">
        <v>26443.13</v>
      </c>
      <c r="C1055" s="60">
        <v>0.21</v>
      </c>
      <c r="D1055" s="47">
        <v>48149</v>
      </c>
      <c r="E1055" s="47">
        <v>69841</v>
      </c>
      <c r="F1055" s="47">
        <v>48836</v>
      </c>
      <c r="G1055" s="48">
        <v>0.151</v>
      </c>
      <c r="H1055" s="48">
        <v>0.151</v>
      </c>
      <c r="I1055" s="48">
        <v>0.17189527848229469</v>
      </c>
      <c r="K1055" s="62">
        <v>1</v>
      </c>
      <c r="M1055" s="64"/>
      <c r="N1055" s="64"/>
    </row>
    <row r="1056" spans="1:14" x14ac:dyDescent="0.25">
      <c r="A1056" s="45" t="s">
        <v>1124</v>
      </c>
      <c r="B1056" s="46">
        <v>28847.02</v>
      </c>
      <c r="C1056" s="60">
        <v>0.21</v>
      </c>
      <c r="D1056" s="47">
        <v>52525</v>
      </c>
      <c r="E1056" s="47">
        <v>76190</v>
      </c>
      <c r="F1056" s="47">
        <v>53276</v>
      </c>
      <c r="G1056" s="48">
        <v>0.1527</v>
      </c>
      <c r="H1056" s="48">
        <v>0.1527</v>
      </c>
      <c r="I1056" s="48">
        <v>0.17188806069770349</v>
      </c>
      <c r="K1056" s="62">
        <v>1</v>
      </c>
      <c r="M1056" s="64"/>
      <c r="N1056" s="64"/>
    </row>
    <row r="1057" spans="1:14" x14ac:dyDescent="0.25">
      <c r="A1057" s="45" t="s">
        <v>1125</v>
      </c>
      <c r="B1057" s="46">
        <v>28847.02</v>
      </c>
      <c r="C1057" s="60">
        <v>0.21</v>
      </c>
      <c r="D1057" s="47">
        <v>52525</v>
      </c>
      <c r="E1057" s="47">
        <v>76190</v>
      </c>
      <c r="F1057" s="47">
        <v>53276</v>
      </c>
      <c r="G1057" s="48">
        <v>0.1527</v>
      </c>
      <c r="H1057" s="48">
        <v>0.1527</v>
      </c>
      <c r="I1057" s="48">
        <v>0.17188806069770349</v>
      </c>
      <c r="K1057" s="62">
        <v>1</v>
      </c>
      <c r="M1057" s="64"/>
      <c r="N1057" s="64"/>
    </row>
    <row r="1058" spans="1:14" x14ac:dyDescent="0.25">
      <c r="A1058" s="45" t="s">
        <v>1126</v>
      </c>
      <c r="B1058" s="46">
        <v>22116.07</v>
      </c>
      <c r="C1058" s="60">
        <v>0.21</v>
      </c>
      <c r="D1058" s="47">
        <v>40270</v>
      </c>
      <c r="E1058" s="47">
        <v>58412</v>
      </c>
      <c r="F1058" s="47">
        <v>40845</v>
      </c>
      <c r="G1058" s="48">
        <v>0.1472</v>
      </c>
      <c r="H1058" s="48">
        <v>0.1472</v>
      </c>
      <c r="I1058" s="48">
        <v>0.1718913041137467</v>
      </c>
      <c r="K1058" s="62">
        <v>1</v>
      </c>
      <c r="M1058" s="64"/>
      <c r="N1058" s="64"/>
    </row>
    <row r="1059" spans="1:14" x14ac:dyDescent="0.25">
      <c r="A1059" s="45" t="s">
        <v>1127</v>
      </c>
      <c r="B1059" s="46">
        <v>26202.720000000001</v>
      </c>
      <c r="C1059" s="60">
        <v>0.21</v>
      </c>
      <c r="D1059" s="47">
        <v>47711</v>
      </c>
      <c r="E1059" s="47">
        <v>69206</v>
      </c>
      <c r="F1059" s="47">
        <v>48392</v>
      </c>
      <c r="G1059" s="48">
        <v>0.15079999999999999</v>
      </c>
      <c r="H1059" s="48">
        <v>0.15079999999999999</v>
      </c>
      <c r="I1059" s="48">
        <v>0.17189419602163589</v>
      </c>
      <c r="K1059" s="62">
        <v>1</v>
      </c>
      <c r="M1059" s="64"/>
      <c r="N1059" s="64"/>
    </row>
    <row r="1060" spans="1:14" x14ac:dyDescent="0.25">
      <c r="A1060" s="45" t="s">
        <v>1128</v>
      </c>
      <c r="B1060" s="46">
        <v>26202.720000000001</v>
      </c>
      <c r="C1060" s="60">
        <v>0.21</v>
      </c>
      <c r="D1060" s="47">
        <v>47711</v>
      </c>
      <c r="E1060" s="47">
        <v>69206</v>
      </c>
      <c r="F1060" s="47">
        <v>48392</v>
      </c>
      <c r="G1060" s="48">
        <v>0.15079999999999999</v>
      </c>
      <c r="H1060" s="48">
        <v>0.15079999999999999</v>
      </c>
      <c r="I1060" s="48">
        <v>0.17189419602163589</v>
      </c>
      <c r="K1060" s="62">
        <v>1</v>
      </c>
      <c r="M1060" s="64"/>
      <c r="N1060" s="64"/>
    </row>
    <row r="1061" spans="1:14" x14ac:dyDescent="0.25">
      <c r="A1061" s="45" t="s">
        <v>1129</v>
      </c>
      <c r="B1061" s="46">
        <v>2225.0500000000002</v>
      </c>
      <c r="C1061" s="60">
        <v>0.21</v>
      </c>
      <c r="D1061" s="47">
        <v>4052</v>
      </c>
      <c r="E1061" s="47">
        <v>5876</v>
      </c>
      <c r="F1061" s="47">
        <v>4109</v>
      </c>
      <c r="G1061" s="48">
        <v>0.13350000000000001</v>
      </c>
      <c r="H1061" s="48">
        <v>0.13350000000000001</v>
      </c>
      <c r="I1061" s="48">
        <v>0.17195942110653681</v>
      </c>
      <c r="K1061" s="62">
        <v>1</v>
      </c>
      <c r="M1061" s="64"/>
      <c r="N1061" s="64"/>
    </row>
    <row r="1062" spans="1:14" x14ac:dyDescent="0.25">
      <c r="A1062" s="45" t="s">
        <v>1130</v>
      </c>
      <c r="B1062" s="46">
        <v>21180.560000000001</v>
      </c>
      <c r="C1062" s="60">
        <v>0.21</v>
      </c>
      <c r="D1062" s="47">
        <v>38567</v>
      </c>
      <c r="E1062" s="47">
        <v>55941</v>
      </c>
      <c r="F1062" s="47">
        <v>39117</v>
      </c>
      <c r="G1062" s="48">
        <v>0.1414</v>
      </c>
      <c r="H1062" s="48">
        <v>0.1414</v>
      </c>
      <c r="I1062" s="48">
        <v>0.17189549714998709</v>
      </c>
      <c r="K1062" s="62">
        <v>1</v>
      </c>
      <c r="M1062" s="64"/>
      <c r="N1062" s="64"/>
    </row>
    <row r="1063" spans="1:14" x14ac:dyDescent="0.25">
      <c r="A1063" s="45" t="s">
        <v>1131</v>
      </c>
      <c r="B1063" s="46">
        <v>21678.781500000001</v>
      </c>
      <c r="C1063" s="60">
        <v>0.21</v>
      </c>
      <c r="D1063" s="47">
        <v>42039</v>
      </c>
      <c r="E1063" s="47">
        <v>57257</v>
      </c>
      <c r="F1063" s="47">
        <v>40037</v>
      </c>
      <c r="G1063" s="48">
        <v>0.12740000000000001</v>
      </c>
      <c r="H1063" s="48">
        <v>0.12740000000000001</v>
      </c>
      <c r="I1063" s="48">
        <v>0.17188751450534639</v>
      </c>
      <c r="K1063" s="62">
        <v>0</v>
      </c>
      <c r="M1063" s="64"/>
      <c r="N1063" s="64"/>
    </row>
    <row r="1064" spans="1:14" x14ac:dyDescent="0.25">
      <c r="A1064" s="45" t="s">
        <v>1132</v>
      </c>
      <c r="B1064" s="46">
        <v>17853.121999999999</v>
      </c>
      <c r="C1064" s="60">
        <v>0.21</v>
      </c>
      <c r="D1064" s="47">
        <v>34621</v>
      </c>
      <c r="E1064" s="47">
        <v>47153</v>
      </c>
      <c r="F1064" s="47">
        <v>32972</v>
      </c>
      <c r="G1064" s="48">
        <v>0.12590000000000001</v>
      </c>
      <c r="H1064" s="48">
        <v>0.12590000000000001</v>
      </c>
      <c r="I1064" s="48">
        <v>0.17189309644626069</v>
      </c>
      <c r="K1064" s="62">
        <v>0</v>
      </c>
      <c r="M1064" s="64"/>
      <c r="N1064" s="64"/>
    </row>
    <row r="1065" spans="1:14" x14ac:dyDescent="0.25">
      <c r="A1065" s="45" t="s">
        <v>1133</v>
      </c>
      <c r="B1065" s="46">
        <v>21678.781500000001</v>
      </c>
      <c r="C1065" s="60">
        <v>0.21</v>
      </c>
      <c r="D1065" s="47">
        <v>42039</v>
      </c>
      <c r="E1065" s="47">
        <v>57257</v>
      </c>
      <c r="F1065" s="47">
        <v>40037</v>
      </c>
      <c r="G1065" s="48">
        <v>0.12740000000000001</v>
      </c>
      <c r="H1065" s="48">
        <v>0.12740000000000001</v>
      </c>
      <c r="I1065" s="48">
        <v>0.17188751450534639</v>
      </c>
      <c r="K1065" s="62">
        <v>0</v>
      </c>
      <c r="M1065" s="64"/>
      <c r="N1065" s="64"/>
    </row>
    <row r="1066" spans="1:14" x14ac:dyDescent="0.25">
      <c r="A1066" s="45" t="s">
        <v>1134</v>
      </c>
      <c r="B1066" s="46">
        <v>13577.99</v>
      </c>
      <c r="C1066" s="60">
        <v>0.21</v>
      </c>
      <c r="D1066" s="47">
        <v>24723</v>
      </c>
      <c r="E1066" s="47">
        <v>35861</v>
      </c>
      <c r="F1066" s="47">
        <v>25076</v>
      </c>
      <c r="G1066" s="48">
        <v>0.13220000000000001</v>
      </c>
      <c r="H1066" s="48">
        <v>0.13220000000000001</v>
      </c>
      <c r="I1066" s="48">
        <v>0.17189306249288361</v>
      </c>
      <c r="K1066" s="62">
        <v>1</v>
      </c>
      <c r="M1066" s="64"/>
      <c r="N1066" s="64"/>
    </row>
    <row r="1067" spans="1:14" x14ac:dyDescent="0.25">
      <c r="A1067" s="45" t="s">
        <v>1135</v>
      </c>
      <c r="B1067" s="46">
        <v>3533.92</v>
      </c>
      <c r="C1067" s="60">
        <v>0.21</v>
      </c>
      <c r="D1067" s="47">
        <v>6434</v>
      </c>
      <c r="E1067" s="47">
        <v>9334</v>
      </c>
      <c r="F1067" s="47">
        <v>6527</v>
      </c>
      <c r="G1067" s="48">
        <v>0.1472</v>
      </c>
      <c r="H1067" s="48">
        <v>0.1472</v>
      </c>
      <c r="I1067" s="48">
        <v>0.17186790535921109</v>
      </c>
      <c r="K1067" s="62">
        <v>1</v>
      </c>
      <c r="M1067" s="64"/>
      <c r="N1067" s="64"/>
    </row>
    <row r="1068" spans="1:14" x14ac:dyDescent="0.25">
      <c r="A1068" s="45" t="s">
        <v>1136</v>
      </c>
      <c r="B1068" s="46">
        <v>16112.32</v>
      </c>
      <c r="C1068" s="60">
        <v>0.21</v>
      </c>
      <c r="D1068" s="47">
        <v>29338</v>
      </c>
      <c r="E1068" s="47">
        <v>42556</v>
      </c>
      <c r="F1068" s="47">
        <v>29757</v>
      </c>
      <c r="G1068" s="48">
        <v>0.13830000000000001</v>
      </c>
      <c r="H1068" s="48">
        <v>0.13830000000000001</v>
      </c>
      <c r="I1068" s="48">
        <v>0.17189593626319641</v>
      </c>
      <c r="K1068" s="62">
        <v>1</v>
      </c>
      <c r="M1068" s="64"/>
      <c r="N1068" s="64"/>
    </row>
    <row r="1069" spans="1:14" x14ac:dyDescent="0.25">
      <c r="A1069" s="45" t="s">
        <v>1137</v>
      </c>
      <c r="B1069" s="46">
        <v>45218.720000000001</v>
      </c>
      <c r="C1069" s="60">
        <v>0.21</v>
      </c>
      <c r="D1069" s="47">
        <v>82336</v>
      </c>
      <c r="E1069" s="47">
        <v>119431</v>
      </c>
      <c r="F1069" s="47">
        <v>83512</v>
      </c>
      <c r="G1069" s="48">
        <v>0.1593</v>
      </c>
      <c r="H1069" s="48">
        <v>0.1593</v>
      </c>
      <c r="I1069" s="48">
        <v>0.17434470951091749</v>
      </c>
      <c r="K1069" s="62">
        <v>1</v>
      </c>
      <c r="M1069" s="64"/>
      <c r="N1069" s="64"/>
    </row>
    <row r="1070" spans="1:14" x14ac:dyDescent="0.25">
      <c r="A1070" s="45" t="s">
        <v>1138</v>
      </c>
      <c r="B1070" s="46">
        <v>4537.55</v>
      </c>
      <c r="C1070" s="60">
        <v>0.21</v>
      </c>
      <c r="D1070" s="47">
        <v>8262</v>
      </c>
      <c r="E1070" s="47">
        <v>11984</v>
      </c>
      <c r="F1070" s="47">
        <v>8380</v>
      </c>
      <c r="G1070" s="48">
        <v>0.1187</v>
      </c>
      <c r="H1070" s="48">
        <v>0.1187</v>
      </c>
      <c r="I1070" s="48">
        <v>0.17191378722303419</v>
      </c>
      <c r="K1070" s="62">
        <v>1</v>
      </c>
      <c r="M1070" s="64"/>
      <c r="N1070" s="64"/>
    </row>
    <row r="1071" spans="1:14" x14ac:dyDescent="0.25">
      <c r="A1071" s="45" t="s">
        <v>1139</v>
      </c>
      <c r="B1071" s="46">
        <v>7998.03</v>
      </c>
      <c r="C1071" s="60">
        <v>0.21</v>
      </c>
      <c r="D1071" s="47">
        <v>14564</v>
      </c>
      <c r="E1071" s="47">
        <v>21125</v>
      </c>
      <c r="F1071" s="47">
        <v>14771</v>
      </c>
      <c r="G1071" s="48">
        <v>0.1053</v>
      </c>
      <c r="H1071" s="48">
        <v>0.1053</v>
      </c>
      <c r="I1071" s="48">
        <v>0.17190770612009981</v>
      </c>
      <c r="K1071" s="62">
        <v>1</v>
      </c>
      <c r="M1071" s="64"/>
      <c r="N1071" s="64"/>
    </row>
    <row r="1072" spans="1:14" x14ac:dyDescent="0.25">
      <c r="A1072" s="45" t="s">
        <v>1140</v>
      </c>
      <c r="B1072" s="46">
        <v>4537.55</v>
      </c>
      <c r="C1072" s="60">
        <v>0.21</v>
      </c>
      <c r="D1072" s="47">
        <v>8262</v>
      </c>
      <c r="E1072" s="47">
        <v>11984</v>
      </c>
      <c r="F1072" s="47">
        <v>8380</v>
      </c>
      <c r="G1072" s="48">
        <v>0.1187</v>
      </c>
      <c r="H1072" s="48">
        <v>0.1187</v>
      </c>
      <c r="I1072" s="48">
        <v>0.17191378722303419</v>
      </c>
      <c r="K1072" s="62">
        <v>1</v>
      </c>
      <c r="M1072" s="64"/>
      <c r="N1072" s="64"/>
    </row>
    <row r="1073" spans="1:14" x14ac:dyDescent="0.25">
      <c r="A1073" s="45" t="s">
        <v>1141</v>
      </c>
      <c r="B1073" s="46">
        <v>31432.05</v>
      </c>
      <c r="C1073" s="60">
        <v>0.105</v>
      </c>
      <c r="D1073" s="47">
        <v>52266</v>
      </c>
      <c r="E1073" s="47">
        <v>75814</v>
      </c>
      <c r="F1073" s="47">
        <v>53013</v>
      </c>
      <c r="G1073" s="48">
        <v>0.1951</v>
      </c>
      <c r="H1073" s="48">
        <v>0.1951</v>
      </c>
      <c r="I1073" s="48">
        <v>0.20260757419917499</v>
      </c>
      <c r="K1073" s="62">
        <v>1</v>
      </c>
      <c r="M1073" s="64"/>
      <c r="N1073" s="64"/>
    </row>
    <row r="1074" spans="1:14" x14ac:dyDescent="0.25">
      <c r="A1074" s="45" t="s">
        <v>1142</v>
      </c>
      <c r="B1074" s="46">
        <v>17931.68</v>
      </c>
      <c r="C1074" s="60">
        <v>0.21</v>
      </c>
      <c r="D1074" s="47">
        <v>32651</v>
      </c>
      <c r="E1074" s="47">
        <v>47361</v>
      </c>
      <c r="F1074" s="47">
        <v>33117</v>
      </c>
      <c r="G1074" s="48">
        <v>0.1416</v>
      </c>
      <c r="H1074" s="48">
        <v>0.1416</v>
      </c>
      <c r="I1074" s="48">
        <v>0.17189551798776961</v>
      </c>
      <c r="K1074" s="62">
        <v>1</v>
      </c>
      <c r="M1074" s="64"/>
      <c r="N1074" s="64"/>
    </row>
    <row r="1075" spans="1:14" x14ac:dyDescent="0.25">
      <c r="A1075" s="45" t="s">
        <v>1143</v>
      </c>
      <c r="B1075" s="46">
        <v>18875.740000000002</v>
      </c>
      <c r="C1075" s="60">
        <v>0.21</v>
      </c>
      <c r="D1075" s="47">
        <v>34370</v>
      </c>
      <c r="E1075" s="47">
        <v>49855</v>
      </c>
      <c r="F1075" s="47">
        <v>34861</v>
      </c>
      <c r="G1075" s="48">
        <v>0.1431</v>
      </c>
      <c r="H1075" s="48">
        <v>0.1431</v>
      </c>
      <c r="I1075" s="48">
        <v>0.17189341199215619</v>
      </c>
      <c r="K1075" s="62">
        <v>1</v>
      </c>
      <c r="M1075" s="64"/>
      <c r="N1075" s="64"/>
    </row>
    <row r="1076" spans="1:14" x14ac:dyDescent="0.25">
      <c r="A1076" s="45" t="s">
        <v>1144</v>
      </c>
      <c r="B1076" s="46">
        <v>3845.78</v>
      </c>
      <c r="C1076" s="60">
        <v>0.21</v>
      </c>
      <c r="D1076" s="47">
        <v>7002</v>
      </c>
      <c r="E1076" s="47">
        <v>10158</v>
      </c>
      <c r="F1076" s="47">
        <v>7103</v>
      </c>
      <c r="G1076" s="48">
        <v>0.1492</v>
      </c>
      <c r="H1076" s="48">
        <v>0.1492</v>
      </c>
      <c r="I1076" s="48">
        <v>0.17188667033194069</v>
      </c>
      <c r="K1076" s="62">
        <v>1</v>
      </c>
      <c r="M1076" s="64"/>
      <c r="N1076" s="64"/>
    </row>
    <row r="1077" spans="1:14" x14ac:dyDescent="0.25">
      <c r="A1077" s="45" t="s">
        <v>1145</v>
      </c>
      <c r="B1077" s="46">
        <v>27164.29</v>
      </c>
      <c r="C1077" s="60">
        <v>0.21</v>
      </c>
      <c r="D1077" s="47">
        <v>49461</v>
      </c>
      <c r="E1077" s="47">
        <v>71745</v>
      </c>
      <c r="F1077" s="47">
        <v>50168</v>
      </c>
      <c r="G1077" s="48">
        <v>0.15160000000000001</v>
      </c>
      <c r="H1077" s="48">
        <v>0.15160000000000001</v>
      </c>
      <c r="I1077" s="48">
        <v>0.17188840243491371</v>
      </c>
      <c r="K1077" s="62">
        <v>1</v>
      </c>
      <c r="M1077" s="64"/>
      <c r="N1077" s="64"/>
    </row>
    <row r="1078" spans="1:14" x14ac:dyDescent="0.25">
      <c r="A1078" s="45" t="s">
        <v>1146</v>
      </c>
      <c r="B1078" s="46">
        <v>28847.02</v>
      </c>
      <c r="C1078" s="60">
        <v>0.21</v>
      </c>
      <c r="D1078" s="47">
        <v>52525</v>
      </c>
      <c r="E1078" s="47">
        <v>76190</v>
      </c>
      <c r="F1078" s="47">
        <v>53276</v>
      </c>
      <c r="G1078" s="48">
        <v>0.1527</v>
      </c>
      <c r="H1078" s="48">
        <v>0.1527</v>
      </c>
      <c r="I1078" s="48">
        <v>0.17188806069770349</v>
      </c>
      <c r="K1078" s="62">
        <v>1</v>
      </c>
      <c r="M1078" s="64"/>
      <c r="N1078" s="64"/>
    </row>
    <row r="1079" spans="1:14" x14ac:dyDescent="0.25">
      <c r="A1079" s="45" t="s">
        <v>1147</v>
      </c>
      <c r="B1079" s="46">
        <v>30048.97</v>
      </c>
      <c r="C1079" s="60">
        <v>0.21</v>
      </c>
      <c r="D1079" s="47">
        <v>54714</v>
      </c>
      <c r="E1079" s="47">
        <v>79365</v>
      </c>
      <c r="F1079" s="47">
        <v>55496</v>
      </c>
      <c r="G1079" s="48">
        <v>0.15340000000000001</v>
      </c>
      <c r="H1079" s="48">
        <v>0.15340000000000001</v>
      </c>
      <c r="I1079" s="48">
        <v>0.17189517998094081</v>
      </c>
      <c r="K1079" s="62">
        <v>1</v>
      </c>
      <c r="M1079" s="64"/>
      <c r="N1079" s="64"/>
    </row>
    <row r="1080" spans="1:14" x14ac:dyDescent="0.25">
      <c r="A1080" s="45" t="s">
        <v>1148</v>
      </c>
      <c r="B1080" s="46">
        <v>30048.97</v>
      </c>
      <c r="C1080" s="60">
        <v>0.21</v>
      </c>
      <c r="D1080" s="47">
        <v>54714</v>
      </c>
      <c r="E1080" s="47">
        <v>79365</v>
      </c>
      <c r="F1080" s="47">
        <v>55496</v>
      </c>
      <c r="G1080" s="48">
        <v>0.15340000000000001</v>
      </c>
      <c r="H1080" s="48">
        <v>0.15340000000000001</v>
      </c>
      <c r="I1080" s="48">
        <v>0.17189517998094081</v>
      </c>
      <c r="K1080" s="62">
        <v>1</v>
      </c>
      <c r="M1080" s="64"/>
      <c r="N1080" s="64"/>
    </row>
    <row r="1081" spans="1:14" x14ac:dyDescent="0.25">
      <c r="A1081" s="45" t="s">
        <v>1149</v>
      </c>
      <c r="B1081" s="46">
        <v>23077.64</v>
      </c>
      <c r="C1081" s="60">
        <v>0.21</v>
      </c>
      <c r="D1081" s="47">
        <v>42020</v>
      </c>
      <c r="E1081" s="47">
        <v>60952</v>
      </c>
      <c r="F1081" s="47">
        <v>42621</v>
      </c>
      <c r="G1081" s="48">
        <v>0.14810000000000001</v>
      </c>
      <c r="H1081" s="48">
        <v>0.14810000000000001</v>
      </c>
      <c r="I1081" s="48">
        <v>0.17188485487999039</v>
      </c>
      <c r="K1081" s="62">
        <v>1</v>
      </c>
      <c r="M1081" s="64"/>
      <c r="N1081" s="64"/>
    </row>
    <row r="1082" spans="1:14" x14ac:dyDescent="0.25">
      <c r="A1082" s="45" t="s">
        <v>1150</v>
      </c>
      <c r="B1082" s="46">
        <v>24519.99</v>
      </c>
      <c r="C1082" s="60">
        <v>0.21</v>
      </c>
      <c r="D1082" s="47">
        <v>44647</v>
      </c>
      <c r="E1082" s="47">
        <v>64762</v>
      </c>
      <c r="F1082" s="47">
        <v>45285</v>
      </c>
      <c r="G1082" s="48">
        <v>0.14949999999999999</v>
      </c>
      <c r="H1082" s="48">
        <v>0.14949999999999999</v>
      </c>
      <c r="I1082" s="48">
        <v>0.17189499564413441</v>
      </c>
      <c r="K1082" s="62">
        <v>1</v>
      </c>
      <c r="M1082" s="64"/>
      <c r="N1082" s="64"/>
    </row>
    <row r="1083" spans="1:14" x14ac:dyDescent="0.25">
      <c r="A1083" s="45" t="s">
        <v>1151</v>
      </c>
      <c r="B1083" s="46">
        <v>23077.64</v>
      </c>
      <c r="C1083" s="60">
        <v>0.21</v>
      </c>
      <c r="D1083" s="47">
        <v>42020</v>
      </c>
      <c r="E1083" s="47">
        <v>60952</v>
      </c>
      <c r="F1083" s="47">
        <v>42621</v>
      </c>
      <c r="G1083" s="48">
        <v>0.12740000000000001</v>
      </c>
      <c r="H1083" s="48">
        <v>0.12740000000000001</v>
      </c>
      <c r="I1083" s="48">
        <v>0.17188485487999039</v>
      </c>
      <c r="K1083" s="62">
        <v>1</v>
      </c>
      <c r="M1083" s="64"/>
      <c r="N1083" s="64"/>
    </row>
    <row r="1084" spans="1:14" x14ac:dyDescent="0.25">
      <c r="A1084" s="45" t="s">
        <v>1152</v>
      </c>
      <c r="B1084" s="46">
        <v>24519.99</v>
      </c>
      <c r="C1084" s="60">
        <v>0.21</v>
      </c>
      <c r="D1084" s="47">
        <v>44647</v>
      </c>
      <c r="E1084" s="47">
        <v>64762</v>
      </c>
      <c r="F1084" s="47">
        <v>45285</v>
      </c>
      <c r="G1084" s="48">
        <v>0.14949999999999999</v>
      </c>
      <c r="H1084" s="48">
        <v>0.14949999999999999</v>
      </c>
      <c r="I1084" s="48">
        <v>0.17189499564413441</v>
      </c>
      <c r="K1084" s="62">
        <v>1</v>
      </c>
      <c r="M1084" s="64"/>
      <c r="N1084" s="64"/>
    </row>
    <row r="1085" spans="1:14" x14ac:dyDescent="0.25">
      <c r="A1085" s="45" t="s">
        <v>1153</v>
      </c>
      <c r="B1085" s="46">
        <v>23077.64</v>
      </c>
      <c r="C1085" s="60">
        <v>0.21</v>
      </c>
      <c r="D1085" s="47">
        <v>42020</v>
      </c>
      <c r="E1085" s="47">
        <v>60952</v>
      </c>
      <c r="F1085" s="47">
        <v>42621</v>
      </c>
      <c r="G1085" s="48">
        <v>0.14810000000000001</v>
      </c>
      <c r="H1085" s="48">
        <v>0.14810000000000001</v>
      </c>
      <c r="I1085" s="48">
        <v>0.17188485487999039</v>
      </c>
      <c r="K1085" s="62">
        <v>1</v>
      </c>
      <c r="M1085" s="64"/>
      <c r="N1085" s="64"/>
    </row>
    <row r="1086" spans="1:14" x14ac:dyDescent="0.25">
      <c r="A1086" s="45" t="s">
        <v>1154</v>
      </c>
      <c r="B1086" s="46">
        <v>23798.81</v>
      </c>
      <c r="C1086" s="60">
        <v>0.21</v>
      </c>
      <c r="D1086" s="47">
        <v>43334</v>
      </c>
      <c r="E1086" s="47">
        <v>62858</v>
      </c>
      <c r="F1086" s="47">
        <v>43953</v>
      </c>
      <c r="G1086" s="48">
        <v>0.14879999999999999</v>
      </c>
      <c r="H1086" s="48">
        <v>0.14879999999999999</v>
      </c>
      <c r="I1086" s="48">
        <v>0.17189020011178299</v>
      </c>
      <c r="K1086" s="62">
        <v>1</v>
      </c>
      <c r="M1086" s="64"/>
      <c r="N1086" s="64"/>
    </row>
    <row r="1087" spans="1:14" x14ac:dyDescent="0.25">
      <c r="A1087" s="45" t="s">
        <v>1155</v>
      </c>
      <c r="B1087" s="46">
        <v>23077.64</v>
      </c>
      <c r="C1087" s="60">
        <v>0.21</v>
      </c>
      <c r="D1087" s="47">
        <v>42020</v>
      </c>
      <c r="E1087" s="47">
        <v>60952</v>
      </c>
      <c r="F1087" s="47">
        <v>42621</v>
      </c>
      <c r="G1087" s="48">
        <v>0.14810000000000001</v>
      </c>
      <c r="H1087" s="48">
        <v>0.14810000000000001</v>
      </c>
      <c r="I1087" s="48">
        <v>0.17188485487999039</v>
      </c>
      <c r="K1087" s="62">
        <v>1</v>
      </c>
      <c r="M1087" s="64"/>
      <c r="N1087" s="64"/>
    </row>
    <row r="1088" spans="1:14" x14ac:dyDescent="0.25">
      <c r="A1088" s="45" t="s">
        <v>1156</v>
      </c>
      <c r="B1088" s="46">
        <v>24519.99</v>
      </c>
      <c r="C1088" s="60">
        <v>0.21</v>
      </c>
      <c r="D1088" s="47">
        <v>44647</v>
      </c>
      <c r="E1088" s="47">
        <v>64762</v>
      </c>
      <c r="F1088" s="47">
        <v>45285</v>
      </c>
      <c r="G1088" s="48">
        <v>0.14949999999999999</v>
      </c>
      <c r="H1088" s="48">
        <v>0.14949999999999999</v>
      </c>
      <c r="I1088" s="48">
        <v>0.17189499564413441</v>
      </c>
      <c r="K1088" s="62">
        <v>1</v>
      </c>
      <c r="M1088" s="64"/>
      <c r="N1088" s="64"/>
    </row>
    <row r="1089" spans="1:14" x14ac:dyDescent="0.25">
      <c r="A1089" s="45" t="s">
        <v>1157</v>
      </c>
      <c r="B1089" s="46">
        <v>26202.720000000001</v>
      </c>
      <c r="C1089" s="60">
        <v>0.21</v>
      </c>
      <c r="D1089" s="47">
        <v>47711</v>
      </c>
      <c r="E1089" s="47">
        <v>69206</v>
      </c>
      <c r="F1089" s="47">
        <v>48392</v>
      </c>
      <c r="G1089" s="48">
        <v>0.15079999999999999</v>
      </c>
      <c r="H1089" s="48">
        <v>0.15079999999999999</v>
      </c>
      <c r="I1089" s="48">
        <v>0.17189419602163589</v>
      </c>
      <c r="K1089" s="62">
        <v>1</v>
      </c>
      <c r="M1089" s="64"/>
      <c r="N1089" s="64"/>
    </row>
    <row r="1090" spans="1:14" x14ac:dyDescent="0.25">
      <c r="A1090" s="45" t="s">
        <v>1158</v>
      </c>
      <c r="B1090" s="46">
        <v>28606.65</v>
      </c>
      <c r="C1090" s="60">
        <v>0.21</v>
      </c>
      <c r="D1090" s="47">
        <v>52087</v>
      </c>
      <c r="E1090" s="47">
        <v>75556</v>
      </c>
      <c r="F1090" s="47">
        <v>52832</v>
      </c>
      <c r="G1090" s="48">
        <v>0.1525</v>
      </c>
      <c r="H1090" s="48">
        <v>0.1525</v>
      </c>
      <c r="I1090" s="48">
        <v>0.17188620217479261</v>
      </c>
      <c r="K1090" s="62">
        <v>1</v>
      </c>
      <c r="M1090" s="64"/>
      <c r="N1090" s="64"/>
    </row>
    <row r="1091" spans="1:14" x14ac:dyDescent="0.25">
      <c r="A1091" s="45" t="s">
        <v>1159</v>
      </c>
      <c r="B1091" s="46">
        <v>87235.82</v>
      </c>
      <c r="C1091" s="60">
        <v>0.21</v>
      </c>
      <c r="D1091" s="47">
        <v>158842</v>
      </c>
      <c r="E1091" s="47">
        <v>230405</v>
      </c>
      <c r="F1091" s="47">
        <v>161111</v>
      </c>
      <c r="G1091" s="48">
        <v>0.16239999999999999</v>
      </c>
      <c r="H1091" s="48">
        <v>0.16239999999999999</v>
      </c>
      <c r="I1091" s="48">
        <v>0.17870847286984759</v>
      </c>
      <c r="K1091" s="62">
        <v>1</v>
      </c>
      <c r="M1091" s="64"/>
      <c r="N1091" s="64"/>
    </row>
    <row r="1092" spans="1:14" x14ac:dyDescent="0.25">
      <c r="A1092" s="45" t="s">
        <v>1160</v>
      </c>
      <c r="B1092" s="46">
        <v>54062.13</v>
      </c>
      <c r="C1092" s="60">
        <v>0.21</v>
      </c>
      <c r="D1092" s="47">
        <v>98438</v>
      </c>
      <c r="E1092" s="47">
        <v>142787</v>
      </c>
      <c r="F1092" s="47">
        <v>99844</v>
      </c>
      <c r="G1092" s="48">
        <v>0.1593</v>
      </c>
      <c r="H1092" s="48">
        <v>0.1593</v>
      </c>
      <c r="I1092" s="48">
        <v>0.17670044857650541</v>
      </c>
      <c r="K1092" s="62">
        <v>1</v>
      </c>
      <c r="M1092" s="64"/>
      <c r="N1092" s="64"/>
    </row>
    <row r="1093" spans="1:14" x14ac:dyDescent="0.25">
      <c r="A1093" s="45" t="s">
        <v>1161</v>
      </c>
      <c r="B1093" s="46">
        <v>39027.08</v>
      </c>
      <c r="C1093" s="60">
        <v>0.21</v>
      </c>
      <c r="D1093" s="47">
        <v>73513</v>
      </c>
      <c r="E1093" s="47">
        <v>106631</v>
      </c>
      <c r="F1093" s="47">
        <v>74562</v>
      </c>
      <c r="G1093" s="48">
        <v>0.1623</v>
      </c>
      <c r="H1093" s="48">
        <v>0.1623</v>
      </c>
      <c r="I1093" s="48">
        <v>0.18994374099738379</v>
      </c>
      <c r="K1093" s="62">
        <v>1</v>
      </c>
      <c r="M1093" s="64"/>
      <c r="N1093" s="64"/>
    </row>
    <row r="1094" spans="1:14" x14ac:dyDescent="0.25">
      <c r="A1094" s="45" t="s">
        <v>1162</v>
      </c>
      <c r="B1094" s="46">
        <v>39027.08</v>
      </c>
      <c r="C1094" s="60">
        <v>0.21</v>
      </c>
      <c r="D1094" s="47">
        <v>73513</v>
      </c>
      <c r="E1094" s="47">
        <v>106631</v>
      </c>
      <c r="F1094" s="47">
        <v>74562</v>
      </c>
      <c r="G1094" s="48">
        <v>0.17050000000000001</v>
      </c>
      <c r="H1094" s="48">
        <v>0.17050000000000001</v>
      </c>
      <c r="I1094" s="48">
        <v>0.194809394113373</v>
      </c>
      <c r="K1094" s="62">
        <v>1</v>
      </c>
      <c r="M1094" s="64"/>
      <c r="N1094" s="64"/>
    </row>
    <row r="1095" spans="1:14" x14ac:dyDescent="0.25">
      <c r="A1095" s="45" t="s">
        <v>1163</v>
      </c>
      <c r="B1095" s="46">
        <v>5659.06</v>
      </c>
      <c r="C1095" s="60">
        <v>0.21</v>
      </c>
      <c r="D1095" s="47">
        <v>10305</v>
      </c>
      <c r="E1095" s="47">
        <v>14947</v>
      </c>
      <c r="F1095" s="47">
        <v>10451</v>
      </c>
      <c r="G1095" s="48">
        <v>8.6599999999999996E-2</v>
      </c>
      <c r="H1095" s="48">
        <v>8.6599999999999996E-2</v>
      </c>
      <c r="I1095" s="48">
        <v>0.17191841401072991</v>
      </c>
      <c r="K1095" s="62">
        <v>1</v>
      </c>
      <c r="M1095" s="64"/>
      <c r="N1095" s="64"/>
    </row>
    <row r="1096" spans="1:14" x14ac:dyDescent="0.25">
      <c r="A1096" s="45" t="s">
        <v>1164</v>
      </c>
      <c r="B1096" s="46">
        <v>57449.49</v>
      </c>
      <c r="C1096" s="60">
        <v>0.21</v>
      </c>
      <c r="D1096" s="47">
        <v>104606</v>
      </c>
      <c r="E1096" s="47">
        <v>151734</v>
      </c>
      <c r="F1096" s="47">
        <v>106100</v>
      </c>
      <c r="G1096" s="48">
        <v>0.156</v>
      </c>
      <c r="H1096" s="48">
        <v>0.156</v>
      </c>
      <c r="I1096" s="48">
        <v>0.17740584251991501</v>
      </c>
      <c r="K1096" s="62">
        <v>1</v>
      </c>
      <c r="M1096" s="64"/>
      <c r="N1096" s="64"/>
    </row>
    <row r="1097" spans="1:14" x14ac:dyDescent="0.25">
      <c r="A1097" s="45" t="s">
        <v>1165</v>
      </c>
      <c r="B1097" s="46">
        <v>44682.93</v>
      </c>
      <c r="C1097" s="60">
        <v>0.21</v>
      </c>
      <c r="D1097" s="47">
        <v>81360</v>
      </c>
      <c r="E1097" s="47">
        <v>118015</v>
      </c>
      <c r="F1097" s="47">
        <v>82522</v>
      </c>
      <c r="G1097" s="48">
        <v>0.1517</v>
      </c>
      <c r="H1097" s="48">
        <v>0.1517</v>
      </c>
      <c r="I1097" s="48">
        <v>0.17189318205536691</v>
      </c>
      <c r="K1097" s="62">
        <v>1</v>
      </c>
      <c r="M1097" s="64"/>
      <c r="N1097" s="64"/>
    </row>
    <row r="1098" spans="1:14" x14ac:dyDescent="0.25">
      <c r="A1098" s="45" t="s">
        <v>1166</v>
      </c>
      <c r="B1098" s="46">
        <v>2497.15</v>
      </c>
      <c r="C1098" s="60">
        <v>0.21</v>
      </c>
      <c r="D1098" s="47">
        <v>4547</v>
      </c>
      <c r="E1098" s="47">
        <v>6596</v>
      </c>
      <c r="F1098" s="47">
        <v>4612</v>
      </c>
      <c r="G1098" s="48">
        <v>0.13750000000000001</v>
      </c>
      <c r="H1098" s="48">
        <v>0.13750000000000001</v>
      </c>
      <c r="I1098" s="48">
        <v>0.1718457634022531</v>
      </c>
      <c r="K1098" s="62">
        <v>1</v>
      </c>
      <c r="M1098" s="64"/>
      <c r="N1098" s="64"/>
    </row>
    <row r="1099" spans="1:14" x14ac:dyDescent="0.25">
      <c r="A1099" s="45" t="s">
        <v>1167</v>
      </c>
      <c r="B1099" s="46">
        <v>313.8</v>
      </c>
      <c r="C1099" s="60">
        <v>0.21</v>
      </c>
      <c r="D1099" s="47">
        <v>591.1</v>
      </c>
      <c r="E1099" s="47">
        <v>857.375</v>
      </c>
      <c r="F1099" s="47">
        <v>599.52499999999998</v>
      </c>
      <c r="G1099" s="48">
        <v>5.9299999999999999E-2</v>
      </c>
      <c r="H1099" s="48">
        <v>5.9299999999999999E-2</v>
      </c>
      <c r="I1099" s="48">
        <v>0.18995265658926869</v>
      </c>
      <c r="K1099" s="62">
        <v>1</v>
      </c>
      <c r="M1099" s="64"/>
      <c r="N1099" s="64"/>
    </row>
    <row r="1100" spans="1:14" x14ac:dyDescent="0.25">
      <c r="A1100" s="45" t="s">
        <v>1168</v>
      </c>
      <c r="B1100" s="46">
        <v>146598.72750000001</v>
      </c>
      <c r="C1100" s="60">
        <v>0.21</v>
      </c>
      <c r="D1100" s="47">
        <v>284282</v>
      </c>
      <c r="E1100" s="47">
        <v>387165</v>
      </c>
      <c r="F1100" s="47">
        <v>270745</v>
      </c>
      <c r="G1100" s="48">
        <v>0.17080000000000001</v>
      </c>
      <c r="H1100" s="48">
        <v>0.17080000000000001</v>
      </c>
      <c r="I1100" s="48">
        <v>0.1887085656318831</v>
      </c>
      <c r="K1100" s="62">
        <v>0</v>
      </c>
      <c r="M1100" s="64"/>
      <c r="N1100" s="64"/>
    </row>
    <row r="1101" spans="1:14" x14ac:dyDescent="0.25">
      <c r="A1101" s="45" t="s">
        <v>1169</v>
      </c>
      <c r="B1101" s="46">
        <v>37032.82</v>
      </c>
      <c r="C1101" s="60">
        <v>0.21</v>
      </c>
      <c r="D1101" s="47">
        <v>69756</v>
      </c>
      <c r="E1101" s="47">
        <v>101183</v>
      </c>
      <c r="F1101" s="47">
        <v>70752</v>
      </c>
      <c r="G1101" s="48">
        <v>0.16109999999999999</v>
      </c>
      <c r="H1101" s="48">
        <v>0.16109999999999999</v>
      </c>
      <c r="I1101" s="48">
        <v>0.1899404351461311</v>
      </c>
      <c r="K1101" s="62">
        <v>1</v>
      </c>
      <c r="M1101" s="64"/>
      <c r="N1101" s="64"/>
    </row>
    <row r="1102" spans="1:14" x14ac:dyDescent="0.25">
      <c r="A1102" s="45" t="s">
        <v>1170</v>
      </c>
      <c r="B1102" s="46">
        <v>54467.93</v>
      </c>
      <c r="C1102" s="60">
        <v>0.21</v>
      </c>
      <c r="D1102" s="47">
        <v>99177</v>
      </c>
      <c r="E1102" s="47">
        <v>143860</v>
      </c>
      <c r="F1102" s="47">
        <v>100594</v>
      </c>
      <c r="G1102" s="48">
        <v>0.1273</v>
      </c>
      <c r="H1102" s="48">
        <v>0.1273</v>
      </c>
      <c r="I1102" s="48">
        <v>0.1726500183202524</v>
      </c>
      <c r="K1102" s="62">
        <v>1</v>
      </c>
      <c r="M1102" s="64"/>
      <c r="N1102" s="64"/>
    </row>
    <row r="1103" spans="1:14" x14ac:dyDescent="0.25">
      <c r="A1103" s="45" t="s">
        <v>1171</v>
      </c>
      <c r="B1103" s="46">
        <v>27667.56</v>
      </c>
      <c r="C1103" s="60">
        <v>0.21</v>
      </c>
      <c r="D1103" s="47">
        <v>50378</v>
      </c>
      <c r="E1103" s="47">
        <v>73075</v>
      </c>
      <c r="F1103" s="47">
        <v>51098</v>
      </c>
      <c r="G1103" s="48">
        <v>0.14410000000000001</v>
      </c>
      <c r="H1103" s="48">
        <v>0.14410000000000001</v>
      </c>
      <c r="I1103" s="48">
        <v>0.17189155691651509</v>
      </c>
      <c r="K1103" s="62">
        <v>1</v>
      </c>
      <c r="M1103" s="64"/>
      <c r="N1103" s="64"/>
    </row>
    <row r="1104" spans="1:14" x14ac:dyDescent="0.25">
      <c r="A1104" s="45" t="s">
        <v>1172</v>
      </c>
      <c r="B1104" s="46">
        <v>37153.5</v>
      </c>
      <c r="C1104" s="60">
        <v>0.21</v>
      </c>
      <c r="D1104" s="47">
        <v>67650</v>
      </c>
      <c r="E1104" s="47">
        <v>98129</v>
      </c>
      <c r="F1104" s="47">
        <v>68617</v>
      </c>
      <c r="G1104" s="48">
        <v>0.151</v>
      </c>
      <c r="H1104" s="48">
        <v>0.151</v>
      </c>
      <c r="I1104" s="48">
        <v>0.17189315022263429</v>
      </c>
      <c r="K1104" s="62">
        <v>1</v>
      </c>
      <c r="M1104" s="64"/>
      <c r="N1104" s="64"/>
    </row>
    <row r="1105" spans="1:14" x14ac:dyDescent="0.25">
      <c r="A1105" s="45" t="s">
        <v>1173</v>
      </c>
      <c r="B1105" s="46">
        <v>326256.11</v>
      </c>
      <c r="C1105" s="60">
        <v>0.21</v>
      </c>
      <c r="D1105" s="47">
        <v>594057</v>
      </c>
      <c r="E1105" s="47">
        <v>861698</v>
      </c>
      <c r="F1105" s="47">
        <v>602544</v>
      </c>
      <c r="G1105" s="48">
        <v>0.14369999999999999</v>
      </c>
      <c r="H1105" s="48">
        <v>0.14369999999999999</v>
      </c>
      <c r="I1105" s="48">
        <v>0.18870830013858139</v>
      </c>
      <c r="K1105" s="62">
        <v>1</v>
      </c>
      <c r="M1105" s="64"/>
      <c r="N1105" s="64"/>
    </row>
    <row r="1106" spans="1:14" x14ac:dyDescent="0.25">
      <c r="A1106" s="45" t="s">
        <v>1174</v>
      </c>
      <c r="B1106" s="46">
        <v>210749.28</v>
      </c>
      <c r="C1106" s="60">
        <v>0.21</v>
      </c>
      <c r="D1106" s="47">
        <v>383738</v>
      </c>
      <c r="E1106" s="47">
        <v>556625</v>
      </c>
      <c r="F1106" s="47">
        <v>389221</v>
      </c>
      <c r="G1106" s="48">
        <v>0.1661</v>
      </c>
      <c r="H1106" s="48">
        <v>0.1661</v>
      </c>
      <c r="I1106" s="48">
        <v>0.18562661144592171</v>
      </c>
      <c r="K1106" s="62">
        <v>1</v>
      </c>
      <c r="M1106" s="64"/>
      <c r="N1106" s="64"/>
    </row>
    <row r="1107" spans="1:14" x14ac:dyDescent="0.25">
      <c r="A1107" s="45" t="s">
        <v>1175</v>
      </c>
      <c r="B1107" s="46">
        <v>240199.19</v>
      </c>
      <c r="C1107" s="60">
        <v>0.21</v>
      </c>
      <c r="D1107" s="47">
        <v>437362</v>
      </c>
      <c r="E1107" s="47">
        <v>634407</v>
      </c>
      <c r="F1107" s="47">
        <v>443610</v>
      </c>
      <c r="G1107" s="48">
        <v>0.1709</v>
      </c>
      <c r="H1107" s="48">
        <v>0.1709</v>
      </c>
      <c r="I1107" s="48">
        <v>0.18870930834886751</v>
      </c>
      <c r="K1107" s="62">
        <v>1</v>
      </c>
      <c r="M1107" s="64"/>
      <c r="N1107" s="64"/>
    </row>
    <row r="1108" spans="1:14" x14ac:dyDescent="0.25">
      <c r="A1108" s="45" t="s">
        <v>1176</v>
      </c>
      <c r="B1108" s="46">
        <v>117127.98</v>
      </c>
      <c r="C1108" s="60">
        <v>0.21</v>
      </c>
      <c r="D1108" s="47">
        <v>213270</v>
      </c>
      <c r="E1108" s="47">
        <v>309355</v>
      </c>
      <c r="F1108" s="47">
        <v>216317</v>
      </c>
      <c r="G1108" s="48">
        <v>0.1623</v>
      </c>
      <c r="H1108" s="48">
        <v>0.1623</v>
      </c>
      <c r="I1108" s="48">
        <v>0.18126257404677071</v>
      </c>
      <c r="K1108" s="62">
        <v>1</v>
      </c>
      <c r="M1108" s="64"/>
      <c r="N1108" s="64"/>
    </row>
    <row r="1109" spans="1:14" x14ac:dyDescent="0.25">
      <c r="A1109" s="45" t="s">
        <v>1177</v>
      </c>
      <c r="B1109" s="46">
        <v>39082.629999999997</v>
      </c>
      <c r="C1109" s="60">
        <v>0.21</v>
      </c>
      <c r="D1109" s="47">
        <v>71163</v>
      </c>
      <c r="E1109" s="47">
        <v>103223</v>
      </c>
      <c r="F1109" s="47">
        <v>72179</v>
      </c>
      <c r="G1109" s="48">
        <v>0.15740000000000001</v>
      </c>
      <c r="H1109" s="48">
        <v>0.15740000000000001</v>
      </c>
      <c r="I1109" s="48">
        <v>0.1720919319434803</v>
      </c>
      <c r="K1109" s="62">
        <v>1</v>
      </c>
      <c r="M1109" s="64"/>
      <c r="N1109" s="64"/>
    </row>
    <row r="1110" spans="1:14" x14ac:dyDescent="0.25">
      <c r="A1110" s="45" t="s">
        <v>1178</v>
      </c>
      <c r="B1110" s="46">
        <v>86065.26</v>
      </c>
      <c r="C1110" s="60">
        <v>0.21</v>
      </c>
      <c r="D1110" s="47">
        <v>156710</v>
      </c>
      <c r="E1110" s="47">
        <v>227312</v>
      </c>
      <c r="F1110" s="47">
        <v>158949</v>
      </c>
      <c r="G1110" s="48">
        <v>0.16089999999999999</v>
      </c>
      <c r="H1110" s="48">
        <v>0.16089999999999999</v>
      </c>
      <c r="I1110" s="48">
        <v>0.17494655393222491</v>
      </c>
      <c r="K1110" s="62">
        <v>1</v>
      </c>
      <c r="M1110" s="64"/>
      <c r="N1110" s="64"/>
    </row>
    <row r="1111" spans="1:14" x14ac:dyDescent="0.25">
      <c r="A1111" s="45" t="s">
        <v>1179</v>
      </c>
      <c r="B1111" s="46">
        <v>3726.04</v>
      </c>
      <c r="C1111" s="60">
        <v>0.21</v>
      </c>
      <c r="D1111" s="47">
        <v>6784</v>
      </c>
      <c r="E1111" s="47">
        <v>9840</v>
      </c>
      <c r="F1111" s="47">
        <v>6881</v>
      </c>
      <c r="G1111" s="48">
        <v>0.14849999999999999</v>
      </c>
      <c r="H1111" s="48">
        <v>0.14849999999999999</v>
      </c>
      <c r="I1111" s="48">
        <v>0.1718563881741566</v>
      </c>
      <c r="K1111" s="62">
        <v>1</v>
      </c>
      <c r="M1111" s="64"/>
      <c r="N1111" s="64"/>
    </row>
    <row r="1112" spans="1:14" x14ac:dyDescent="0.25">
      <c r="A1112" s="45" t="s">
        <v>1180</v>
      </c>
      <c r="B1112" s="46">
        <v>3726.04</v>
      </c>
      <c r="C1112" s="60">
        <v>0.21</v>
      </c>
      <c r="D1112" s="47">
        <v>6784</v>
      </c>
      <c r="E1112" s="47">
        <v>9840</v>
      </c>
      <c r="F1112" s="47">
        <v>6881</v>
      </c>
      <c r="G1112" s="48">
        <v>0.14849999999999999</v>
      </c>
      <c r="H1112" s="48">
        <v>0.14849999999999999</v>
      </c>
      <c r="I1112" s="48">
        <v>0.1718563881741566</v>
      </c>
      <c r="K1112" s="62">
        <v>1</v>
      </c>
      <c r="M1112" s="64"/>
      <c r="N1112" s="64"/>
    </row>
    <row r="1113" spans="1:14" x14ac:dyDescent="0.25">
      <c r="A1113" s="45" t="s">
        <v>1181</v>
      </c>
      <c r="B1113" s="46">
        <v>3245.3</v>
      </c>
      <c r="C1113" s="60">
        <v>0.21</v>
      </c>
      <c r="D1113" s="47">
        <v>5909</v>
      </c>
      <c r="E1113" s="47">
        <v>8572</v>
      </c>
      <c r="F1113" s="47">
        <v>5994</v>
      </c>
      <c r="G1113" s="48">
        <v>0.1452</v>
      </c>
      <c r="H1113" s="48">
        <v>0.1452</v>
      </c>
      <c r="I1113" s="48">
        <v>0.17191514677243599</v>
      </c>
      <c r="K1113" s="62">
        <v>1</v>
      </c>
      <c r="M1113" s="64"/>
      <c r="N1113" s="64"/>
    </row>
    <row r="1114" spans="1:14" x14ac:dyDescent="0.25">
      <c r="A1114" s="45" t="s">
        <v>1182</v>
      </c>
      <c r="B1114" s="46">
        <v>3726.04</v>
      </c>
      <c r="C1114" s="60">
        <v>0.21</v>
      </c>
      <c r="D1114" s="47">
        <v>6784</v>
      </c>
      <c r="E1114" s="47">
        <v>9840</v>
      </c>
      <c r="F1114" s="47">
        <v>6881</v>
      </c>
      <c r="G1114" s="48">
        <v>0.14849999999999999</v>
      </c>
      <c r="H1114" s="48">
        <v>0.14849999999999999</v>
      </c>
      <c r="I1114" s="48">
        <v>0.1718563881741566</v>
      </c>
      <c r="K1114" s="62">
        <v>1</v>
      </c>
      <c r="M1114" s="64"/>
      <c r="N1114" s="64"/>
    </row>
    <row r="1115" spans="1:14" x14ac:dyDescent="0.25">
      <c r="A1115" s="45" t="s">
        <v>1183</v>
      </c>
      <c r="B1115" s="46">
        <v>69790.5</v>
      </c>
      <c r="C1115" s="60">
        <v>0.21</v>
      </c>
      <c r="D1115" s="47">
        <v>127076</v>
      </c>
      <c r="E1115" s="47">
        <v>184329</v>
      </c>
      <c r="F1115" s="47">
        <v>128892</v>
      </c>
      <c r="G1115" s="48">
        <v>0.15859999999999999</v>
      </c>
      <c r="H1115" s="48">
        <v>0.15859999999999999</v>
      </c>
      <c r="I1115" s="48">
        <v>0.17621232607830861</v>
      </c>
      <c r="K1115" s="62">
        <v>1</v>
      </c>
      <c r="M1115" s="64"/>
      <c r="N1115" s="64"/>
    </row>
    <row r="1116" spans="1:14" x14ac:dyDescent="0.25">
      <c r="A1116" s="45" t="s">
        <v>1184</v>
      </c>
      <c r="B1116" s="46">
        <v>71918.2</v>
      </c>
      <c r="C1116" s="60">
        <v>0.21</v>
      </c>
      <c r="D1116" s="47">
        <v>130951</v>
      </c>
      <c r="E1116" s="47">
        <v>189949</v>
      </c>
      <c r="F1116" s="47">
        <v>132822</v>
      </c>
      <c r="G1116" s="48">
        <v>0.159</v>
      </c>
      <c r="H1116" s="48">
        <v>0.159</v>
      </c>
      <c r="I1116" s="48">
        <v>0.1746658144162572</v>
      </c>
      <c r="K1116" s="62">
        <v>1</v>
      </c>
      <c r="M1116" s="64"/>
      <c r="N1116" s="64"/>
    </row>
    <row r="1117" spans="1:14" x14ac:dyDescent="0.25">
      <c r="A1117" s="45" t="s">
        <v>1185</v>
      </c>
      <c r="B1117" s="46">
        <v>98270.45</v>
      </c>
      <c r="C1117" s="60">
        <v>0.21</v>
      </c>
      <c r="D1117" s="47">
        <v>178934</v>
      </c>
      <c r="E1117" s="47">
        <v>259550</v>
      </c>
      <c r="F1117" s="47">
        <v>181490</v>
      </c>
      <c r="G1117" s="48">
        <v>0.16209999999999999</v>
      </c>
      <c r="H1117" s="48">
        <v>0.16209999999999999</v>
      </c>
      <c r="I1117" s="48">
        <v>0.17983315352630411</v>
      </c>
      <c r="K1117" s="62">
        <v>1</v>
      </c>
      <c r="M1117" s="64"/>
      <c r="N1117" s="64"/>
    </row>
    <row r="1118" spans="1:14" x14ac:dyDescent="0.25">
      <c r="A1118" s="45" t="s">
        <v>1186</v>
      </c>
      <c r="B1118" s="46">
        <v>54523.77</v>
      </c>
      <c r="C1118" s="60">
        <v>0.21</v>
      </c>
      <c r="D1118" s="47">
        <v>99279</v>
      </c>
      <c r="E1118" s="47">
        <v>144007</v>
      </c>
      <c r="F1118" s="47">
        <v>100697</v>
      </c>
      <c r="G1118" s="48">
        <v>0.1573</v>
      </c>
      <c r="H1118" s="48">
        <v>0.1573</v>
      </c>
      <c r="I1118" s="48">
        <v>0.17679691137963291</v>
      </c>
      <c r="K1118" s="62">
        <v>1</v>
      </c>
      <c r="M1118" s="64"/>
      <c r="N1118" s="64"/>
    </row>
    <row r="1119" spans="1:14" x14ac:dyDescent="0.25">
      <c r="A1119" s="45" t="s">
        <v>1187</v>
      </c>
      <c r="B1119" s="46">
        <v>57023.85</v>
      </c>
      <c r="C1119" s="60">
        <v>0.21</v>
      </c>
      <c r="D1119" s="47">
        <v>103830</v>
      </c>
      <c r="E1119" s="47">
        <v>150610</v>
      </c>
      <c r="F1119" s="47">
        <v>105314</v>
      </c>
      <c r="G1119" s="48">
        <v>0.15579999999999999</v>
      </c>
      <c r="H1119" s="48">
        <v>0.15579999999999999</v>
      </c>
      <c r="I1119" s="48">
        <v>0.17188891090142139</v>
      </c>
      <c r="K1119" s="62">
        <v>1</v>
      </c>
      <c r="M1119" s="64"/>
      <c r="N1119" s="64"/>
    </row>
    <row r="1120" spans="1:14" x14ac:dyDescent="0.25">
      <c r="A1120" s="45" t="s">
        <v>1188</v>
      </c>
      <c r="B1120" s="46">
        <v>57023.85</v>
      </c>
      <c r="C1120" s="60">
        <v>0.21</v>
      </c>
      <c r="D1120" s="47">
        <v>103830</v>
      </c>
      <c r="E1120" s="47">
        <v>150610</v>
      </c>
      <c r="F1120" s="47">
        <v>105314</v>
      </c>
      <c r="G1120" s="48">
        <v>0.15790000000000001</v>
      </c>
      <c r="H1120" s="48">
        <v>0.15790000000000001</v>
      </c>
      <c r="I1120" s="48">
        <v>0.1734096251846238</v>
      </c>
      <c r="K1120" s="62">
        <v>1</v>
      </c>
      <c r="M1120" s="64"/>
      <c r="N1120" s="64"/>
    </row>
    <row r="1121" spans="1:14" x14ac:dyDescent="0.25">
      <c r="A1121" s="45" t="s">
        <v>1189</v>
      </c>
      <c r="B1121" s="46">
        <v>57023.85</v>
      </c>
      <c r="C1121" s="60">
        <v>0.21</v>
      </c>
      <c r="D1121" s="47">
        <v>103830</v>
      </c>
      <c r="E1121" s="47">
        <v>150610</v>
      </c>
      <c r="F1121" s="47">
        <v>105314</v>
      </c>
      <c r="G1121" s="48">
        <v>0.15579999999999999</v>
      </c>
      <c r="H1121" s="48">
        <v>0.15579999999999999</v>
      </c>
      <c r="I1121" s="48">
        <v>0.17188891090142139</v>
      </c>
      <c r="K1121" s="62">
        <v>1</v>
      </c>
      <c r="M1121" s="64"/>
      <c r="N1121" s="64"/>
    </row>
    <row r="1122" spans="1:14" x14ac:dyDescent="0.25">
      <c r="A1122" s="45" t="s">
        <v>1190</v>
      </c>
      <c r="B1122" s="46">
        <v>57023.85</v>
      </c>
      <c r="C1122" s="60">
        <v>0.21</v>
      </c>
      <c r="D1122" s="47">
        <v>103830</v>
      </c>
      <c r="E1122" s="47">
        <v>150610</v>
      </c>
      <c r="F1122" s="47">
        <v>105314</v>
      </c>
      <c r="G1122" s="48">
        <v>0.15790000000000001</v>
      </c>
      <c r="H1122" s="48">
        <v>0.15790000000000001</v>
      </c>
      <c r="I1122" s="48">
        <v>0.1734096251846238</v>
      </c>
      <c r="K1122" s="62">
        <v>1</v>
      </c>
      <c r="M1122" s="64"/>
      <c r="N1122" s="64"/>
    </row>
    <row r="1123" spans="1:14" x14ac:dyDescent="0.25">
      <c r="A1123" s="45" t="s">
        <v>1191</v>
      </c>
      <c r="B1123" s="46">
        <v>57023.85</v>
      </c>
      <c r="C1123" s="60">
        <v>0.21</v>
      </c>
      <c r="D1123" s="47">
        <v>103830</v>
      </c>
      <c r="E1123" s="47">
        <v>150610</v>
      </c>
      <c r="F1123" s="47">
        <v>105314</v>
      </c>
      <c r="G1123" s="48">
        <v>0.15790000000000001</v>
      </c>
      <c r="H1123" s="48">
        <v>0.15790000000000001</v>
      </c>
      <c r="I1123" s="48">
        <v>0.1734096251846238</v>
      </c>
      <c r="K1123" s="62">
        <v>1</v>
      </c>
      <c r="M1123" s="64"/>
      <c r="N1123" s="64"/>
    </row>
    <row r="1124" spans="1:14" x14ac:dyDescent="0.25">
      <c r="A1124" s="45" t="s">
        <v>1192</v>
      </c>
      <c r="B1124" s="46">
        <v>54915.63</v>
      </c>
      <c r="C1124" s="60">
        <v>0.21</v>
      </c>
      <c r="D1124" s="47">
        <v>99993</v>
      </c>
      <c r="E1124" s="47">
        <v>145042</v>
      </c>
      <c r="F1124" s="47">
        <v>101421</v>
      </c>
      <c r="G1124" s="48">
        <v>0.15529999999999999</v>
      </c>
      <c r="H1124" s="48">
        <v>0.15529999999999999</v>
      </c>
      <c r="I1124" s="48">
        <v>0.17282735462907359</v>
      </c>
      <c r="K1124" s="62">
        <v>1</v>
      </c>
      <c r="M1124" s="64"/>
      <c r="N1124" s="64"/>
    </row>
    <row r="1125" spans="1:14" x14ac:dyDescent="0.25">
      <c r="A1125" s="45" t="s">
        <v>1193</v>
      </c>
      <c r="B1125" s="46">
        <v>15266.62</v>
      </c>
      <c r="C1125" s="60">
        <v>0.21</v>
      </c>
      <c r="D1125" s="47">
        <v>27798</v>
      </c>
      <c r="E1125" s="47">
        <v>40322</v>
      </c>
      <c r="F1125" s="47">
        <v>28195</v>
      </c>
      <c r="G1125" s="48">
        <v>0.13650000000000001</v>
      </c>
      <c r="H1125" s="48">
        <v>0.13650000000000001</v>
      </c>
      <c r="I1125" s="48">
        <v>0.17188716757046291</v>
      </c>
      <c r="K1125" s="62">
        <v>1</v>
      </c>
      <c r="M1125" s="64"/>
      <c r="N1125" s="64"/>
    </row>
    <row r="1126" spans="1:14" x14ac:dyDescent="0.25">
      <c r="A1126" s="45" t="s">
        <v>1194</v>
      </c>
      <c r="B1126" s="46">
        <v>15266.62</v>
      </c>
      <c r="C1126" s="60">
        <v>0.21</v>
      </c>
      <c r="D1126" s="47">
        <v>27798</v>
      </c>
      <c r="E1126" s="47">
        <v>40322</v>
      </c>
      <c r="F1126" s="47">
        <v>28195</v>
      </c>
      <c r="G1126" s="48">
        <v>0.13650000000000001</v>
      </c>
      <c r="H1126" s="48">
        <v>0.13650000000000001</v>
      </c>
      <c r="I1126" s="48">
        <v>0.17188716757046291</v>
      </c>
      <c r="K1126" s="62">
        <v>1</v>
      </c>
      <c r="M1126" s="64"/>
      <c r="N1126" s="64"/>
    </row>
    <row r="1127" spans="1:14" x14ac:dyDescent="0.25">
      <c r="A1127" s="45" t="s">
        <v>1195</v>
      </c>
      <c r="B1127" s="46">
        <v>2148.21</v>
      </c>
      <c r="C1127" s="60">
        <v>0</v>
      </c>
      <c r="D1127" s="47">
        <v>3233</v>
      </c>
      <c r="E1127" s="47">
        <v>4689</v>
      </c>
      <c r="F1127" s="47">
        <v>3279</v>
      </c>
      <c r="G1127" s="48">
        <v>0.218</v>
      </c>
      <c r="H1127" s="48">
        <v>0.218</v>
      </c>
      <c r="I1127" s="48">
        <v>0.2317945778458099</v>
      </c>
      <c r="K1127" s="62">
        <v>1</v>
      </c>
      <c r="M1127" s="64"/>
      <c r="N1127" s="64"/>
    </row>
    <row r="1128" spans="1:14" x14ac:dyDescent="0.25">
      <c r="A1128" s="45" t="s">
        <v>1196</v>
      </c>
      <c r="B1128" s="46">
        <v>252455.31</v>
      </c>
      <c r="C1128" s="60">
        <v>0.21</v>
      </c>
      <c r="D1128" s="47">
        <v>459678</v>
      </c>
      <c r="E1128" s="47">
        <v>666777</v>
      </c>
      <c r="F1128" s="47">
        <v>466245</v>
      </c>
      <c r="G1128" s="48">
        <v>0.16789999999999999</v>
      </c>
      <c r="H1128" s="48">
        <v>0.16789999999999999</v>
      </c>
      <c r="I1128" s="48">
        <v>0.1814599255011288</v>
      </c>
      <c r="K1128" s="62">
        <v>1</v>
      </c>
      <c r="M1128" s="64"/>
      <c r="N1128" s="64"/>
    </row>
    <row r="1129" spans="1:14" x14ac:dyDescent="0.25">
      <c r="A1129" s="45" t="s">
        <v>1197</v>
      </c>
      <c r="B1129" s="46">
        <v>44582.49</v>
      </c>
      <c r="C1129" s="60">
        <v>0.21</v>
      </c>
      <c r="D1129" s="47">
        <v>81178</v>
      </c>
      <c r="E1129" s="47">
        <v>117750</v>
      </c>
      <c r="F1129" s="47">
        <v>82337</v>
      </c>
      <c r="G1129" s="48">
        <v>0.15909999999999999</v>
      </c>
      <c r="H1129" s="48">
        <v>0.15909999999999999</v>
      </c>
      <c r="I1129" s="48">
        <v>0.17414415148540729</v>
      </c>
      <c r="K1129" s="62">
        <v>1</v>
      </c>
      <c r="M1129" s="64"/>
      <c r="N1129" s="64"/>
    </row>
    <row r="1130" spans="1:14" x14ac:dyDescent="0.25">
      <c r="A1130" s="45" t="s">
        <v>1198</v>
      </c>
      <c r="B1130" s="46">
        <v>59274.239999999998</v>
      </c>
      <c r="C1130" s="60">
        <v>0.21</v>
      </c>
      <c r="D1130" s="47">
        <v>107928</v>
      </c>
      <c r="E1130" s="47">
        <v>156554</v>
      </c>
      <c r="F1130" s="47">
        <v>109470</v>
      </c>
      <c r="G1130" s="48">
        <v>0.15840000000000001</v>
      </c>
      <c r="H1130" s="48">
        <v>0.15840000000000001</v>
      </c>
      <c r="I1130" s="48">
        <v>0.1739972855563732</v>
      </c>
      <c r="K1130" s="62">
        <v>1</v>
      </c>
      <c r="M1130" s="64"/>
      <c r="N1130" s="64"/>
    </row>
    <row r="1131" spans="1:14" x14ac:dyDescent="0.25">
      <c r="A1131" s="45" t="s">
        <v>1199</v>
      </c>
      <c r="B1131" s="46">
        <v>257706.02499999999</v>
      </c>
      <c r="C1131" s="60">
        <v>0.21</v>
      </c>
      <c r="D1131" s="47" t="s">
        <v>1839</v>
      </c>
      <c r="E1131" s="47" t="s">
        <v>1839</v>
      </c>
      <c r="F1131" s="47" t="s">
        <v>1839</v>
      </c>
      <c r="G1131" s="48">
        <v>0.12640000000000001</v>
      </c>
      <c r="H1131" s="48">
        <v>0.12640000000000001</v>
      </c>
      <c r="I1131" s="48">
        <v>0.16736542582416919</v>
      </c>
      <c r="K1131" s="62">
        <v>0</v>
      </c>
      <c r="M1131" s="64"/>
      <c r="N1131" s="64"/>
    </row>
    <row r="1132" spans="1:14" x14ac:dyDescent="0.25">
      <c r="A1132" s="45" t="s">
        <v>1200</v>
      </c>
      <c r="B1132" s="46">
        <v>6199.66</v>
      </c>
      <c r="C1132" s="60">
        <v>0.21</v>
      </c>
      <c r="D1132" s="47">
        <v>11289</v>
      </c>
      <c r="E1132" s="47">
        <v>16375</v>
      </c>
      <c r="F1132" s="47">
        <v>11450</v>
      </c>
      <c r="G1132" s="48">
        <v>9.3899999999999997E-2</v>
      </c>
      <c r="H1132" s="48">
        <v>9.3899999999999997E-2</v>
      </c>
      <c r="I1132" s="48">
        <v>0.19604298210592641</v>
      </c>
      <c r="K1132" s="62">
        <v>1</v>
      </c>
      <c r="M1132" s="64"/>
      <c r="N1132" s="64"/>
    </row>
    <row r="1133" spans="1:14" x14ac:dyDescent="0.25">
      <c r="A1133" s="45" t="s">
        <v>1201</v>
      </c>
      <c r="B1133" s="46">
        <v>6199.66</v>
      </c>
      <c r="C1133" s="60">
        <v>0.21</v>
      </c>
      <c r="D1133" s="47">
        <v>11289</v>
      </c>
      <c r="E1133" s="47">
        <v>16375</v>
      </c>
      <c r="F1133" s="47">
        <v>11450</v>
      </c>
      <c r="G1133" s="48">
        <v>9.3899999999999997E-2</v>
      </c>
      <c r="H1133" s="48">
        <v>9.3899999999999997E-2</v>
      </c>
      <c r="I1133" s="48">
        <v>0.20004313274183441</v>
      </c>
      <c r="K1133" s="62">
        <v>1</v>
      </c>
      <c r="M1133" s="64"/>
      <c r="N1133" s="64"/>
    </row>
    <row r="1134" spans="1:14" x14ac:dyDescent="0.25">
      <c r="A1134" s="45" t="s">
        <v>1202</v>
      </c>
      <c r="B1134" s="46">
        <v>6199.66</v>
      </c>
      <c r="C1134" s="60">
        <v>0.21</v>
      </c>
      <c r="D1134" s="47">
        <v>11289</v>
      </c>
      <c r="E1134" s="47">
        <v>16375</v>
      </c>
      <c r="F1134" s="47">
        <v>11450</v>
      </c>
      <c r="G1134" s="48">
        <v>9.3899999999999997E-2</v>
      </c>
      <c r="H1134" s="48">
        <v>9.3899999999999997E-2</v>
      </c>
      <c r="I1134" s="48">
        <v>0.20004313274183441</v>
      </c>
      <c r="K1134" s="62">
        <v>1</v>
      </c>
      <c r="M1134" s="64"/>
      <c r="N1134" s="64"/>
    </row>
    <row r="1135" spans="1:14" x14ac:dyDescent="0.25">
      <c r="A1135" s="45" t="s">
        <v>1203</v>
      </c>
      <c r="B1135" s="46">
        <v>8388.24</v>
      </c>
      <c r="C1135" s="60">
        <v>0.21</v>
      </c>
      <c r="D1135" s="47">
        <v>15273</v>
      </c>
      <c r="E1135" s="47">
        <v>22156</v>
      </c>
      <c r="F1135" s="47">
        <v>15492</v>
      </c>
      <c r="G1135" s="48">
        <v>0.10829999999999999</v>
      </c>
      <c r="H1135" s="48">
        <v>0.10829999999999999</v>
      </c>
      <c r="I1135" s="48">
        <v>0.17188152381066041</v>
      </c>
      <c r="K1135" s="62">
        <v>1</v>
      </c>
      <c r="M1135" s="64"/>
      <c r="N1135" s="64"/>
    </row>
    <row r="1136" spans="1:14" x14ac:dyDescent="0.25">
      <c r="A1136" s="45" t="s">
        <v>1204</v>
      </c>
      <c r="B1136" s="46">
        <v>8388.24</v>
      </c>
      <c r="C1136" s="60">
        <v>0.21</v>
      </c>
      <c r="D1136" s="47">
        <v>15273</v>
      </c>
      <c r="E1136" s="47">
        <v>22156</v>
      </c>
      <c r="F1136" s="47">
        <v>15492</v>
      </c>
      <c r="G1136" s="48">
        <v>0.10829999999999999</v>
      </c>
      <c r="H1136" s="48">
        <v>0.10829999999999999</v>
      </c>
      <c r="I1136" s="48">
        <v>0.17188152381066041</v>
      </c>
      <c r="K1136" s="62">
        <v>1</v>
      </c>
      <c r="M1136" s="64"/>
      <c r="N1136" s="64"/>
    </row>
    <row r="1137" spans="1:14" x14ac:dyDescent="0.25">
      <c r="A1137" s="45" t="s">
        <v>1205</v>
      </c>
      <c r="B1137" s="46">
        <v>8388.24</v>
      </c>
      <c r="C1137" s="60">
        <v>0.21</v>
      </c>
      <c r="D1137" s="47">
        <v>15273</v>
      </c>
      <c r="E1137" s="47">
        <v>22156</v>
      </c>
      <c r="F1137" s="47">
        <v>15492</v>
      </c>
      <c r="G1137" s="48">
        <v>0.10829999999999999</v>
      </c>
      <c r="H1137" s="48">
        <v>0.10829999999999999</v>
      </c>
      <c r="I1137" s="48">
        <v>0.17188152381066041</v>
      </c>
      <c r="K1137" s="62">
        <v>1</v>
      </c>
      <c r="M1137" s="64"/>
      <c r="N1137" s="64"/>
    </row>
    <row r="1138" spans="1:14" x14ac:dyDescent="0.25">
      <c r="A1138" s="45" t="s">
        <v>64</v>
      </c>
      <c r="B1138" s="46">
        <v>59124.62</v>
      </c>
      <c r="C1138" s="60">
        <v>0.21</v>
      </c>
      <c r="D1138" s="47">
        <v>107655</v>
      </c>
      <c r="E1138" s="47">
        <v>156159</v>
      </c>
      <c r="F1138" s="47">
        <v>109194</v>
      </c>
      <c r="G1138" s="48">
        <v>0.15390000000000001</v>
      </c>
      <c r="H1138" s="48">
        <v>0.15390000000000001</v>
      </c>
      <c r="I1138" s="48">
        <v>0.17395710515798979</v>
      </c>
      <c r="K1138" s="62">
        <v>1</v>
      </c>
      <c r="M1138" s="64"/>
      <c r="N1138" s="64"/>
    </row>
    <row r="1139" spans="1:14" x14ac:dyDescent="0.25">
      <c r="A1139" s="45" t="s">
        <v>1206</v>
      </c>
      <c r="B1139" s="46">
        <v>55547.85</v>
      </c>
      <c r="C1139" s="60">
        <v>0.21</v>
      </c>
      <c r="D1139" s="47">
        <v>101143</v>
      </c>
      <c r="E1139" s="47">
        <v>146711</v>
      </c>
      <c r="F1139" s="47">
        <v>102588</v>
      </c>
      <c r="G1139" s="48">
        <v>0.1575</v>
      </c>
      <c r="H1139" s="48">
        <v>0.1575</v>
      </c>
      <c r="I1139" s="48">
        <v>0.17300344888044619</v>
      </c>
      <c r="K1139" s="62">
        <v>1</v>
      </c>
      <c r="M1139" s="64"/>
      <c r="N1139" s="64"/>
    </row>
    <row r="1140" spans="1:14" x14ac:dyDescent="0.25">
      <c r="A1140" s="45" t="s">
        <v>1207</v>
      </c>
      <c r="B1140" s="46">
        <v>37198.25</v>
      </c>
      <c r="C1140" s="60">
        <v>0.105</v>
      </c>
      <c r="D1140" s="47">
        <v>61854</v>
      </c>
      <c r="E1140" s="47">
        <v>89722</v>
      </c>
      <c r="F1140" s="47">
        <v>62738</v>
      </c>
      <c r="G1140" s="48">
        <v>0.1938</v>
      </c>
      <c r="H1140" s="48">
        <v>0.1938</v>
      </c>
      <c r="I1140" s="48">
        <v>0.2019913516078517</v>
      </c>
      <c r="K1140" s="62">
        <v>1</v>
      </c>
      <c r="M1140" s="64"/>
      <c r="N1140" s="64"/>
    </row>
    <row r="1141" spans="1:14" x14ac:dyDescent="0.25">
      <c r="A1141" s="45" t="s">
        <v>1208</v>
      </c>
      <c r="B1141" s="46">
        <v>24053.94</v>
      </c>
      <c r="C1141" s="60">
        <v>0.21</v>
      </c>
      <c r="D1141" s="47">
        <v>43799</v>
      </c>
      <c r="E1141" s="47">
        <v>63530</v>
      </c>
      <c r="F1141" s="47">
        <v>44424</v>
      </c>
      <c r="G1141" s="48">
        <v>0.1401</v>
      </c>
      <c r="H1141" s="48">
        <v>0.1401</v>
      </c>
      <c r="I1141" s="48">
        <v>0.17189761790632621</v>
      </c>
      <c r="K1141" s="62">
        <v>1</v>
      </c>
      <c r="M1141" s="64"/>
      <c r="N1141" s="64"/>
    </row>
    <row r="1142" spans="1:14" x14ac:dyDescent="0.25">
      <c r="A1142" s="45" t="s">
        <v>1209</v>
      </c>
      <c r="B1142" s="46">
        <v>119544.61</v>
      </c>
      <c r="C1142" s="60">
        <v>0.21</v>
      </c>
      <c r="D1142" s="47">
        <v>217670</v>
      </c>
      <c r="E1142" s="47">
        <v>315737</v>
      </c>
      <c r="F1142" s="47">
        <v>220780</v>
      </c>
      <c r="G1142" s="48">
        <v>0.1709</v>
      </c>
      <c r="H1142" s="48">
        <v>0.1709</v>
      </c>
      <c r="I1142" s="48">
        <v>0.1887081564900504</v>
      </c>
      <c r="K1142" s="62">
        <v>1</v>
      </c>
      <c r="M1142" s="64"/>
      <c r="N1142" s="64"/>
    </row>
    <row r="1143" spans="1:14" x14ac:dyDescent="0.25">
      <c r="A1143" s="45" t="s">
        <v>1210</v>
      </c>
      <c r="B1143" s="46">
        <v>9122.08</v>
      </c>
      <c r="C1143" s="60">
        <v>0.21</v>
      </c>
      <c r="D1143" s="47">
        <v>16610</v>
      </c>
      <c r="E1143" s="47">
        <v>24092</v>
      </c>
      <c r="F1143" s="47">
        <v>16847</v>
      </c>
      <c r="G1143" s="48">
        <v>0.1134</v>
      </c>
      <c r="H1143" s="48">
        <v>0.1134</v>
      </c>
      <c r="I1143" s="48">
        <v>0.17189778316916879</v>
      </c>
      <c r="K1143" s="62">
        <v>1</v>
      </c>
      <c r="M1143" s="64"/>
      <c r="N1143" s="64"/>
    </row>
    <row r="1144" spans="1:14" x14ac:dyDescent="0.25">
      <c r="A1144" s="45" t="s">
        <v>1211</v>
      </c>
      <c r="B1144" s="46">
        <v>9122.08</v>
      </c>
      <c r="C1144" s="60">
        <v>0.21</v>
      </c>
      <c r="D1144" s="47">
        <v>16610</v>
      </c>
      <c r="E1144" s="47">
        <v>24092</v>
      </c>
      <c r="F1144" s="47">
        <v>16847</v>
      </c>
      <c r="G1144" s="48">
        <v>0.1134</v>
      </c>
      <c r="H1144" s="48">
        <v>0.1134</v>
      </c>
      <c r="I1144" s="48">
        <v>0.17189778316916879</v>
      </c>
      <c r="K1144" s="62">
        <v>1</v>
      </c>
      <c r="M1144" s="64"/>
      <c r="N1144" s="64"/>
    </row>
    <row r="1145" spans="1:14" x14ac:dyDescent="0.25">
      <c r="A1145" s="45" t="s">
        <v>1212</v>
      </c>
      <c r="B1145" s="46">
        <v>9122.08</v>
      </c>
      <c r="C1145" s="60">
        <v>0.21</v>
      </c>
      <c r="D1145" s="47">
        <v>16610</v>
      </c>
      <c r="E1145" s="47">
        <v>24092</v>
      </c>
      <c r="F1145" s="47">
        <v>16847</v>
      </c>
      <c r="G1145" s="48">
        <v>0.1134</v>
      </c>
      <c r="H1145" s="48">
        <v>0.1134</v>
      </c>
      <c r="I1145" s="48">
        <v>0.17189778316916879</v>
      </c>
      <c r="K1145" s="62">
        <v>1</v>
      </c>
      <c r="M1145" s="64"/>
      <c r="N1145" s="64"/>
    </row>
    <row r="1146" spans="1:14" x14ac:dyDescent="0.25">
      <c r="A1146" s="45" t="s">
        <v>1213</v>
      </c>
      <c r="B1146" s="46">
        <v>13036.6</v>
      </c>
      <c r="C1146" s="60">
        <v>0.21</v>
      </c>
      <c r="D1146" s="47">
        <v>23737</v>
      </c>
      <c r="E1146" s="47">
        <v>34433</v>
      </c>
      <c r="F1146" s="47">
        <v>24077</v>
      </c>
      <c r="G1146" s="48">
        <v>8.9399999999999993E-2</v>
      </c>
      <c r="H1146" s="48">
        <v>8.9399999999999993E-2</v>
      </c>
      <c r="I1146" s="48">
        <v>0.17188935369408651</v>
      </c>
      <c r="K1146" s="62">
        <v>1</v>
      </c>
      <c r="M1146" s="64"/>
      <c r="N1146" s="64"/>
    </row>
    <row r="1147" spans="1:14" x14ac:dyDescent="0.25">
      <c r="A1147" s="45" t="s">
        <v>1214</v>
      </c>
      <c r="B1147" s="46">
        <v>1035048.7405</v>
      </c>
      <c r="C1147" s="60">
        <v>0.21</v>
      </c>
      <c r="D1147" s="47">
        <v>1937938</v>
      </c>
      <c r="E1147" s="47">
        <v>2639471</v>
      </c>
      <c r="F1147" s="47">
        <v>1845655</v>
      </c>
      <c r="G1147" s="48">
        <v>0.12529999999999999</v>
      </c>
      <c r="H1147" s="48">
        <v>0.12529999999999999</v>
      </c>
      <c r="I1147" s="48">
        <v>0.16629124703020681</v>
      </c>
      <c r="K1147" s="62">
        <v>0</v>
      </c>
      <c r="M1147" s="64"/>
      <c r="N1147" s="64"/>
    </row>
    <row r="1148" spans="1:14" x14ac:dyDescent="0.25">
      <c r="A1148" s="45" t="s">
        <v>1215</v>
      </c>
      <c r="B1148" s="46">
        <v>6629.64</v>
      </c>
      <c r="C1148" s="60">
        <v>0.21</v>
      </c>
      <c r="D1148" s="47">
        <v>12488</v>
      </c>
      <c r="E1148" s="47">
        <v>18113</v>
      </c>
      <c r="F1148" s="47">
        <v>12666</v>
      </c>
      <c r="G1148" s="48">
        <v>0.1071</v>
      </c>
      <c r="H1148" s="48">
        <v>0.1071</v>
      </c>
      <c r="I1148" s="48">
        <v>0.18993733821997411</v>
      </c>
      <c r="K1148" s="62">
        <v>1</v>
      </c>
      <c r="M1148" s="64"/>
      <c r="N1148" s="64"/>
    </row>
    <row r="1149" spans="1:14" x14ac:dyDescent="0.25">
      <c r="A1149" s="45" t="s">
        <v>1216</v>
      </c>
      <c r="B1149" s="46">
        <v>13114.63</v>
      </c>
      <c r="C1149" s="60">
        <v>0.21</v>
      </c>
      <c r="D1149" s="47">
        <v>24703</v>
      </c>
      <c r="E1149" s="47">
        <v>35833</v>
      </c>
      <c r="F1149" s="47">
        <v>25056</v>
      </c>
      <c r="G1149" s="48">
        <v>0.129</v>
      </c>
      <c r="H1149" s="48">
        <v>0.129</v>
      </c>
      <c r="I1149" s="48">
        <v>0.18994900677915619</v>
      </c>
      <c r="K1149" s="62">
        <v>1</v>
      </c>
      <c r="M1149" s="64"/>
      <c r="N1149" s="64"/>
    </row>
    <row r="1150" spans="1:14" x14ac:dyDescent="0.25">
      <c r="A1150" s="45" t="s">
        <v>1217</v>
      </c>
      <c r="B1150" s="46">
        <v>62231.81</v>
      </c>
      <c r="C1150" s="60">
        <v>0.21</v>
      </c>
      <c r="D1150" s="47">
        <v>113314</v>
      </c>
      <c r="E1150" s="47">
        <v>164365</v>
      </c>
      <c r="F1150" s="47">
        <v>114932</v>
      </c>
      <c r="G1150" s="48">
        <v>0.16239999999999999</v>
      </c>
      <c r="H1150" s="48">
        <v>0.16239999999999999</v>
      </c>
      <c r="I1150" s="48">
        <v>0.1768500341597479</v>
      </c>
      <c r="K1150" s="62">
        <v>1</v>
      </c>
      <c r="M1150" s="64"/>
      <c r="N1150" s="64"/>
    </row>
    <row r="1151" spans="1:14" x14ac:dyDescent="0.25">
      <c r="A1151" s="45" t="s">
        <v>1218</v>
      </c>
      <c r="B1151" s="46">
        <v>33461.43</v>
      </c>
      <c r="C1151" s="60">
        <v>0.21</v>
      </c>
      <c r="D1151" s="47">
        <v>60927</v>
      </c>
      <c r="E1151" s="47">
        <v>88377</v>
      </c>
      <c r="F1151" s="47">
        <v>61798</v>
      </c>
      <c r="G1151" s="48">
        <v>0.1552</v>
      </c>
      <c r="H1151" s="48">
        <v>0.1552</v>
      </c>
      <c r="I1151" s="48">
        <v>0.17188871038413081</v>
      </c>
      <c r="K1151" s="62">
        <v>1</v>
      </c>
      <c r="M1151" s="64"/>
      <c r="N1151" s="64"/>
    </row>
    <row r="1152" spans="1:14" x14ac:dyDescent="0.25">
      <c r="A1152" s="45" t="s">
        <v>1219</v>
      </c>
      <c r="B1152" s="46">
        <v>33461.43</v>
      </c>
      <c r="C1152" s="60">
        <v>0.21</v>
      </c>
      <c r="D1152" s="47">
        <v>60927</v>
      </c>
      <c r="E1152" s="47">
        <v>88377</v>
      </c>
      <c r="F1152" s="47">
        <v>61798</v>
      </c>
      <c r="G1152" s="48">
        <v>0.1552</v>
      </c>
      <c r="H1152" s="48">
        <v>0.1552</v>
      </c>
      <c r="I1152" s="48">
        <v>0.17188871038413081</v>
      </c>
      <c r="K1152" s="62">
        <v>1</v>
      </c>
      <c r="M1152" s="64"/>
      <c r="N1152" s="64"/>
    </row>
    <row r="1153" spans="1:14" x14ac:dyDescent="0.25">
      <c r="A1153" s="45" t="s">
        <v>1220</v>
      </c>
      <c r="B1153" s="46">
        <v>33461.43</v>
      </c>
      <c r="C1153" s="60">
        <v>0.21</v>
      </c>
      <c r="D1153" s="47">
        <v>60927</v>
      </c>
      <c r="E1153" s="47">
        <v>88377</v>
      </c>
      <c r="F1153" s="47">
        <v>61798</v>
      </c>
      <c r="G1153" s="48">
        <v>0.1552</v>
      </c>
      <c r="H1153" s="48">
        <v>0.1552</v>
      </c>
      <c r="I1153" s="48">
        <v>0.17188871038413081</v>
      </c>
      <c r="K1153" s="62">
        <v>1</v>
      </c>
      <c r="M1153" s="64"/>
      <c r="N1153" s="64"/>
    </row>
    <row r="1154" spans="1:14" x14ac:dyDescent="0.25">
      <c r="A1154" s="45" t="s">
        <v>1221</v>
      </c>
      <c r="B1154" s="46">
        <v>33461.43</v>
      </c>
      <c r="C1154" s="60">
        <v>0.21</v>
      </c>
      <c r="D1154" s="47">
        <v>60927</v>
      </c>
      <c r="E1154" s="47">
        <v>88377</v>
      </c>
      <c r="F1154" s="47">
        <v>61798</v>
      </c>
      <c r="G1154" s="48">
        <v>0.1552</v>
      </c>
      <c r="H1154" s="48">
        <v>0.1552</v>
      </c>
      <c r="I1154" s="48">
        <v>0.17188871038413081</v>
      </c>
      <c r="K1154" s="62">
        <v>1</v>
      </c>
      <c r="M1154" s="64"/>
      <c r="N1154" s="64"/>
    </row>
    <row r="1155" spans="1:14" x14ac:dyDescent="0.25">
      <c r="A1155" s="45" t="s">
        <v>1222</v>
      </c>
      <c r="B1155" s="46">
        <v>33461.43</v>
      </c>
      <c r="C1155" s="60">
        <v>0.21</v>
      </c>
      <c r="D1155" s="47">
        <v>60927</v>
      </c>
      <c r="E1155" s="47">
        <v>88377</v>
      </c>
      <c r="F1155" s="47">
        <v>61798</v>
      </c>
      <c r="G1155" s="48">
        <v>0.1552</v>
      </c>
      <c r="H1155" s="48">
        <v>0.1552</v>
      </c>
      <c r="I1155" s="48">
        <v>0.17188871038413081</v>
      </c>
      <c r="K1155" s="62">
        <v>1</v>
      </c>
      <c r="M1155" s="64"/>
      <c r="N1155" s="64"/>
    </row>
    <row r="1156" spans="1:14" x14ac:dyDescent="0.25">
      <c r="A1156" s="45" t="s">
        <v>1223</v>
      </c>
      <c r="B1156" s="46">
        <v>33461.43</v>
      </c>
      <c r="C1156" s="60">
        <v>0.21</v>
      </c>
      <c r="D1156" s="47">
        <v>60927</v>
      </c>
      <c r="E1156" s="47">
        <v>88377</v>
      </c>
      <c r="F1156" s="47">
        <v>61798</v>
      </c>
      <c r="G1156" s="48">
        <v>0.1552</v>
      </c>
      <c r="H1156" s="48">
        <v>0.1552</v>
      </c>
      <c r="I1156" s="48">
        <v>0.17188871038413081</v>
      </c>
      <c r="K1156" s="62">
        <v>1</v>
      </c>
      <c r="M1156" s="64"/>
      <c r="N1156" s="64"/>
    </row>
    <row r="1157" spans="1:14" x14ac:dyDescent="0.25">
      <c r="A1157" s="45" t="s">
        <v>1224</v>
      </c>
      <c r="B1157" s="46">
        <v>33461.43</v>
      </c>
      <c r="C1157" s="60">
        <v>0.21</v>
      </c>
      <c r="D1157" s="47">
        <v>60927</v>
      </c>
      <c r="E1157" s="47">
        <v>88377</v>
      </c>
      <c r="F1157" s="47">
        <v>61798</v>
      </c>
      <c r="G1157" s="48">
        <v>0.1552</v>
      </c>
      <c r="H1157" s="48">
        <v>0.1552</v>
      </c>
      <c r="I1157" s="48">
        <v>0.17188871038413081</v>
      </c>
      <c r="K1157" s="62">
        <v>1</v>
      </c>
      <c r="M1157" s="64"/>
      <c r="N1157" s="64"/>
    </row>
    <row r="1158" spans="1:14" x14ac:dyDescent="0.25">
      <c r="A1158" s="45" t="s">
        <v>1225</v>
      </c>
      <c r="B1158" s="46">
        <v>33461.43</v>
      </c>
      <c r="C1158" s="60">
        <v>0.21</v>
      </c>
      <c r="D1158" s="47">
        <v>60927</v>
      </c>
      <c r="E1158" s="47">
        <v>88377</v>
      </c>
      <c r="F1158" s="47">
        <v>61798</v>
      </c>
      <c r="G1158" s="48">
        <v>0.1552</v>
      </c>
      <c r="H1158" s="48">
        <v>0.1552</v>
      </c>
      <c r="I1158" s="48">
        <v>0.17188871038413081</v>
      </c>
      <c r="K1158" s="62">
        <v>1</v>
      </c>
      <c r="M1158" s="64"/>
      <c r="N1158" s="64"/>
    </row>
    <row r="1159" spans="1:14" x14ac:dyDescent="0.25">
      <c r="A1159" s="45" t="s">
        <v>1226</v>
      </c>
      <c r="B1159" s="46">
        <v>46512.9</v>
      </c>
      <c r="C1159" s="60">
        <v>0.21</v>
      </c>
      <c r="D1159" s="47">
        <v>84692</v>
      </c>
      <c r="E1159" s="47">
        <v>122848</v>
      </c>
      <c r="F1159" s="47">
        <v>85902</v>
      </c>
      <c r="G1159" s="48">
        <v>0.155</v>
      </c>
      <c r="H1159" s="48">
        <v>0.155</v>
      </c>
      <c r="I1159" s="48">
        <v>0.1718904795220384</v>
      </c>
      <c r="K1159" s="62">
        <v>1</v>
      </c>
      <c r="M1159" s="64"/>
      <c r="N1159" s="64"/>
    </row>
    <row r="1160" spans="1:14" x14ac:dyDescent="0.25">
      <c r="A1160" s="45" t="s">
        <v>1227</v>
      </c>
      <c r="B1160" s="46">
        <v>60052.6</v>
      </c>
      <c r="C1160" s="60">
        <v>0.21</v>
      </c>
      <c r="D1160" s="47">
        <v>109346</v>
      </c>
      <c r="E1160" s="47">
        <v>158609</v>
      </c>
      <c r="F1160" s="47">
        <v>110908</v>
      </c>
      <c r="G1160" s="48">
        <v>0.15659999999999999</v>
      </c>
      <c r="H1160" s="48">
        <v>0.15659999999999999</v>
      </c>
      <c r="I1160" s="48">
        <v>0.17642048345914049</v>
      </c>
      <c r="K1160" s="62">
        <v>1</v>
      </c>
      <c r="M1160" s="64"/>
      <c r="N1160" s="64"/>
    </row>
    <row r="1161" spans="1:14" x14ac:dyDescent="0.25">
      <c r="A1161" s="45" t="s">
        <v>1228</v>
      </c>
      <c r="B1161" s="46">
        <v>3638.8</v>
      </c>
      <c r="C1161" s="60">
        <v>0.21</v>
      </c>
      <c r="D1161" s="47">
        <v>6626</v>
      </c>
      <c r="E1161" s="47">
        <v>9610</v>
      </c>
      <c r="F1161" s="47">
        <v>6720</v>
      </c>
      <c r="G1161" s="48">
        <v>0.14799999999999999</v>
      </c>
      <c r="H1161" s="48">
        <v>0.14799999999999999</v>
      </c>
      <c r="I1161" s="48">
        <v>0.17188072019578801</v>
      </c>
      <c r="K1161" s="62">
        <v>1</v>
      </c>
      <c r="M1161" s="64"/>
      <c r="N1161" s="64"/>
    </row>
    <row r="1162" spans="1:14" x14ac:dyDescent="0.25">
      <c r="A1162" s="45" t="s">
        <v>1229</v>
      </c>
      <c r="B1162" s="46">
        <v>3638.8</v>
      </c>
      <c r="C1162" s="60">
        <v>0.21</v>
      </c>
      <c r="D1162" s="47">
        <v>6626</v>
      </c>
      <c r="E1162" s="47">
        <v>9610</v>
      </c>
      <c r="F1162" s="47">
        <v>6720</v>
      </c>
      <c r="G1162" s="48">
        <v>0.14799999999999999</v>
      </c>
      <c r="H1162" s="48">
        <v>0.14799999999999999</v>
      </c>
      <c r="I1162" s="48">
        <v>0.17188072019578801</v>
      </c>
      <c r="K1162" s="62">
        <v>1</v>
      </c>
      <c r="M1162" s="64"/>
      <c r="N1162" s="64"/>
    </row>
    <row r="1163" spans="1:14" x14ac:dyDescent="0.25">
      <c r="A1163" s="45" t="s">
        <v>1230</v>
      </c>
      <c r="B1163" s="46">
        <v>5659.54</v>
      </c>
      <c r="C1163" s="60">
        <v>0.21</v>
      </c>
      <c r="D1163" s="47">
        <v>10305</v>
      </c>
      <c r="E1163" s="47">
        <v>14948</v>
      </c>
      <c r="F1163" s="47">
        <v>10452</v>
      </c>
      <c r="G1163" s="48">
        <v>8.6599999999999996E-2</v>
      </c>
      <c r="H1163" s="48">
        <v>8.6599999999999996E-2</v>
      </c>
      <c r="I1163" s="48">
        <v>0.1718725611474734</v>
      </c>
      <c r="K1163" s="62">
        <v>1</v>
      </c>
      <c r="M1163" s="64"/>
      <c r="N1163" s="64"/>
    </row>
    <row r="1164" spans="1:14" x14ac:dyDescent="0.25">
      <c r="A1164" s="45" t="s">
        <v>1231</v>
      </c>
      <c r="B1164" s="46">
        <v>54062.13</v>
      </c>
      <c r="C1164" s="60">
        <v>0.21</v>
      </c>
      <c r="D1164" s="47">
        <v>98438</v>
      </c>
      <c r="E1164" s="47">
        <v>142787</v>
      </c>
      <c r="F1164" s="47">
        <v>99844</v>
      </c>
      <c r="G1164" s="48">
        <v>0.16120000000000001</v>
      </c>
      <c r="H1164" s="48">
        <v>0.16120000000000001</v>
      </c>
      <c r="I1164" s="48">
        <v>0.17670044857650541</v>
      </c>
      <c r="K1164" s="62">
        <v>1</v>
      </c>
      <c r="M1164" s="64"/>
      <c r="N1164" s="64"/>
    </row>
    <row r="1165" spans="1:14" x14ac:dyDescent="0.25">
      <c r="A1165" s="45" t="s">
        <v>1232</v>
      </c>
      <c r="B1165" s="46">
        <v>3108.22</v>
      </c>
      <c r="C1165" s="60">
        <v>0.21</v>
      </c>
      <c r="D1165" s="47">
        <v>5855</v>
      </c>
      <c r="E1165" s="47">
        <v>8492</v>
      </c>
      <c r="F1165" s="47">
        <v>5938</v>
      </c>
      <c r="G1165" s="48">
        <v>0.1535</v>
      </c>
      <c r="H1165" s="48">
        <v>0.1535</v>
      </c>
      <c r="I1165" s="48">
        <v>0.18995048886704599</v>
      </c>
      <c r="K1165" s="62">
        <v>1</v>
      </c>
      <c r="M1165" s="64"/>
      <c r="N1165" s="64"/>
    </row>
    <row r="1166" spans="1:14" x14ac:dyDescent="0.25">
      <c r="A1166" s="45" t="s">
        <v>1233</v>
      </c>
      <c r="B1166" s="46">
        <v>3988.36</v>
      </c>
      <c r="C1166" s="60">
        <v>0.21</v>
      </c>
      <c r="D1166" s="47">
        <v>7513</v>
      </c>
      <c r="E1166" s="47">
        <v>10897</v>
      </c>
      <c r="F1166" s="47">
        <v>7620</v>
      </c>
      <c r="G1166" s="48">
        <v>0.1293</v>
      </c>
      <c r="H1166" s="48">
        <v>0.1293</v>
      </c>
      <c r="I1166" s="48">
        <v>0.18995433910070181</v>
      </c>
      <c r="K1166" s="62">
        <v>1</v>
      </c>
      <c r="M1166" s="64"/>
      <c r="N1166" s="64"/>
    </row>
    <row r="1167" spans="1:14" x14ac:dyDescent="0.25">
      <c r="A1167" s="45" t="s">
        <v>1234</v>
      </c>
      <c r="B1167" s="46">
        <v>5135.18</v>
      </c>
      <c r="C1167" s="60">
        <v>0.21</v>
      </c>
      <c r="D1167" s="47">
        <v>9673</v>
      </c>
      <c r="E1167" s="47">
        <v>14031</v>
      </c>
      <c r="F1167" s="47">
        <v>9811</v>
      </c>
      <c r="G1167" s="48">
        <v>0.13539999999999999</v>
      </c>
      <c r="H1167" s="48">
        <v>0.13539999999999999</v>
      </c>
      <c r="I1167" s="48">
        <v>0.2148799852272944</v>
      </c>
      <c r="K1167" s="62">
        <v>1</v>
      </c>
      <c r="M1167" s="64"/>
      <c r="N1167" s="64"/>
    </row>
    <row r="1168" spans="1:14" x14ac:dyDescent="0.25">
      <c r="A1168" s="45" t="s">
        <v>1235</v>
      </c>
      <c r="B1168" s="46">
        <v>6993.65</v>
      </c>
      <c r="C1168" s="60">
        <v>0.21</v>
      </c>
      <c r="D1168" s="47">
        <v>13173</v>
      </c>
      <c r="E1168" s="47">
        <v>19109</v>
      </c>
      <c r="F1168" s="47">
        <v>13362</v>
      </c>
      <c r="G1168" s="48">
        <v>0.1069</v>
      </c>
      <c r="H1168" s="48">
        <v>0.1069</v>
      </c>
      <c r="I1168" s="48">
        <v>0.18993753653164019</v>
      </c>
      <c r="K1168" s="62">
        <v>1</v>
      </c>
      <c r="M1168" s="64"/>
      <c r="N1168" s="64"/>
    </row>
    <row r="1169" spans="1:14" x14ac:dyDescent="0.25">
      <c r="A1169" s="45" t="s">
        <v>1236</v>
      </c>
      <c r="B1169" s="46">
        <v>4709.25</v>
      </c>
      <c r="C1169" s="60">
        <v>0.21</v>
      </c>
      <c r="D1169" s="47">
        <v>8870</v>
      </c>
      <c r="E1169" s="47">
        <v>12867</v>
      </c>
      <c r="F1169" s="47">
        <v>8997</v>
      </c>
      <c r="G1169" s="48">
        <v>0.13339999999999999</v>
      </c>
      <c r="H1169" s="48">
        <v>0.13339999999999999</v>
      </c>
      <c r="I1169" s="48">
        <v>0.21484206356550409</v>
      </c>
      <c r="K1169" s="62">
        <v>1</v>
      </c>
      <c r="M1169" s="64"/>
      <c r="N1169" s="64"/>
    </row>
    <row r="1170" spans="1:14" x14ac:dyDescent="0.25">
      <c r="A1170" s="45" t="s">
        <v>1237</v>
      </c>
      <c r="B1170" s="46">
        <v>4877.72</v>
      </c>
      <c r="C1170" s="60">
        <v>0.21</v>
      </c>
      <c r="D1170" s="47">
        <v>9188</v>
      </c>
      <c r="E1170" s="47">
        <v>13327</v>
      </c>
      <c r="F1170" s="47">
        <v>9319</v>
      </c>
      <c r="G1170" s="48">
        <v>0.1343</v>
      </c>
      <c r="H1170" s="48">
        <v>0.1343</v>
      </c>
      <c r="I1170" s="48">
        <v>0.21487770585957999</v>
      </c>
      <c r="K1170" s="62">
        <v>1</v>
      </c>
      <c r="M1170" s="64"/>
      <c r="N1170" s="64"/>
    </row>
    <row r="1171" spans="1:14" x14ac:dyDescent="0.25">
      <c r="A1171" s="45" t="s">
        <v>1238</v>
      </c>
      <c r="B1171" s="46">
        <v>6974.91</v>
      </c>
      <c r="C1171" s="60">
        <v>0.21</v>
      </c>
      <c r="D1171" s="47">
        <v>13138</v>
      </c>
      <c r="E1171" s="47">
        <v>19057</v>
      </c>
      <c r="F1171" s="47">
        <v>13326</v>
      </c>
      <c r="G1171" s="48">
        <v>0.1067</v>
      </c>
      <c r="H1171" s="48">
        <v>0.1067</v>
      </c>
      <c r="I1171" s="48">
        <v>0.18992185294289909</v>
      </c>
      <c r="K1171" s="62">
        <v>1</v>
      </c>
      <c r="M1171" s="64"/>
      <c r="N1171" s="64"/>
    </row>
    <row r="1172" spans="1:14" x14ac:dyDescent="0.25">
      <c r="A1172" s="45" t="s">
        <v>1239</v>
      </c>
      <c r="B1172" s="46">
        <v>1731.59</v>
      </c>
      <c r="C1172" s="60">
        <v>0.21</v>
      </c>
      <c r="D1172" s="47">
        <v>3153</v>
      </c>
      <c r="E1172" s="47">
        <v>4574</v>
      </c>
      <c r="F1172" s="47">
        <v>3198</v>
      </c>
      <c r="G1172" s="48">
        <v>0.1227</v>
      </c>
      <c r="H1172" s="48">
        <v>0.1227</v>
      </c>
      <c r="I1172" s="48">
        <v>0.17192758458338131</v>
      </c>
      <c r="K1172" s="62">
        <v>1</v>
      </c>
      <c r="M1172" s="64"/>
      <c r="N1172" s="64"/>
    </row>
    <row r="1173" spans="1:14" x14ac:dyDescent="0.25">
      <c r="A1173" s="45" t="s">
        <v>1240</v>
      </c>
      <c r="B1173" s="46">
        <v>96009.23</v>
      </c>
      <c r="C1173" s="60">
        <v>0.21</v>
      </c>
      <c r="D1173" s="47">
        <v>174817</v>
      </c>
      <c r="E1173" s="47">
        <v>253577</v>
      </c>
      <c r="F1173" s="47">
        <v>177314</v>
      </c>
      <c r="G1173" s="48">
        <v>0.13100000000000001</v>
      </c>
      <c r="H1173" s="48">
        <v>0.13100000000000001</v>
      </c>
      <c r="I1173" s="48">
        <v>0.17637165851678371</v>
      </c>
      <c r="K1173" s="62">
        <v>1</v>
      </c>
      <c r="M1173" s="64"/>
      <c r="N1173" s="64"/>
    </row>
    <row r="1174" spans="1:14" x14ac:dyDescent="0.25">
      <c r="A1174" s="45" t="s">
        <v>1241</v>
      </c>
      <c r="B1174" s="46">
        <v>89391.84</v>
      </c>
      <c r="C1174" s="60">
        <v>0.21</v>
      </c>
      <c r="D1174" s="47">
        <v>162768</v>
      </c>
      <c r="E1174" s="47">
        <v>236100</v>
      </c>
      <c r="F1174" s="47">
        <v>165093</v>
      </c>
      <c r="G1174" s="48">
        <v>0.16089999999999999</v>
      </c>
      <c r="H1174" s="48">
        <v>0.16089999999999999</v>
      </c>
      <c r="I1174" s="48">
        <v>0.17730955113299349</v>
      </c>
      <c r="K1174" s="62">
        <v>1</v>
      </c>
      <c r="M1174" s="64"/>
      <c r="N1174" s="64"/>
    </row>
    <row r="1175" spans="1:14" x14ac:dyDescent="0.25">
      <c r="A1175" s="45" t="s">
        <v>1242</v>
      </c>
      <c r="B1175" s="46">
        <v>163795.85999999999</v>
      </c>
      <c r="C1175" s="60">
        <v>0.21</v>
      </c>
      <c r="D1175" s="47">
        <v>298244</v>
      </c>
      <c r="E1175" s="47">
        <v>432612</v>
      </c>
      <c r="F1175" s="47">
        <v>302505</v>
      </c>
      <c r="G1175" s="48">
        <v>0.1709</v>
      </c>
      <c r="H1175" s="48">
        <v>0.1709</v>
      </c>
      <c r="I1175" s="48">
        <v>0.18870715651121939</v>
      </c>
      <c r="K1175" s="62">
        <v>1</v>
      </c>
      <c r="M1175" s="64"/>
      <c r="N1175" s="64"/>
    </row>
    <row r="1176" spans="1:14" x14ac:dyDescent="0.25">
      <c r="A1176" s="45" t="s">
        <v>1243</v>
      </c>
      <c r="B1176" s="46">
        <v>10409.5</v>
      </c>
      <c r="C1176" s="60">
        <v>0.21</v>
      </c>
      <c r="D1176" s="47">
        <v>18954</v>
      </c>
      <c r="E1176" s="47">
        <v>27493</v>
      </c>
      <c r="F1176" s="47">
        <v>19225</v>
      </c>
      <c r="G1176" s="48">
        <v>0.1108</v>
      </c>
      <c r="H1176" s="48">
        <v>0.1108</v>
      </c>
      <c r="I1176" s="48">
        <v>0.17188033749774301</v>
      </c>
      <c r="K1176" s="62">
        <v>1</v>
      </c>
      <c r="M1176" s="64"/>
      <c r="N1176" s="64"/>
    </row>
    <row r="1177" spans="1:14" x14ac:dyDescent="0.25">
      <c r="A1177" s="45" t="s">
        <v>1244</v>
      </c>
      <c r="B1177" s="46">
        <v>11932.8</v>
      </c>
      <c r="C1177" s="60">
        <v>0.21</v>
      </c>
      <c r="D1177" s="47">
        <v>21728</v>
      </c>
      <c r="E1177" s="47">
        <v>31517</v>
      </c>
      <c r="F1177" s="47">
        <v>22038</v>
      </c>
      <c r="G1177" s="48">
        <v>0.12690000000000001</v>
      </c>
      <c r="H1177" s="48">
        <v>0.12690000000000001</v>
      </c>
      <c r="I1177" s="48">
        <v>0.1718923759897229</v>
      </c>
      <c r="K1177" s="62">
        <v>1</v>
      </c>
      <c r="M1177" s="64"/>
      <c r="N1177" s="64"/>
    </row>
    <row r="1178" spans="1:14" x14ac:dyDescent="0.25">
      <c r="A1178" s="45" t="s">
        <v>1245</v>
      </c>
      <c r="B1178" s="46">
        <v>4214.53</v>
      </c>
      <c r="C1178" s="60">
        <v>0.21</v>
      </c>
      <c r="D1178" s="47">
        <v>7674</v>
      </c>
      <c r="E1178" s="47">
        <v>11132</v>
      </c>
      <c r="F1178" s="47">
        <v>7784</v>
      </c>
      <c r="G1178" s="48">
        <v>0.1202</v>
      </c>
      <c r="H1178" s="48">
        <v>0.1202</v>
      </c>
      <c r="I1178" s="48">
        <v>0.1719264118609061</v>
      </c>
      <c r="K1178" s="62">
        <v>1</v>
      </c>
      <c r="M1178" s="64"/>
      <c r="N1178" s="64"/>
    </row>
    <row r="1179" spans="1:14" x14ac:dyDescent="0.25">
      <c r="A1179" s="45" t="s">
        <v>1246</v>
      </c>
      <c r="B1179" s="46">
        <v>5585.62</v>
      </c>
      <c r="C1179" s="60">
        <v>0.21</v>
      </c>
      <c r="D1179" s="47">
        <v>10170</v>
      </c>
      <c r="E1179" s="47">
        <v>14753</v>
      </c>
      <c r="F1179" s="47">
        <v>10316</v>
      </c>
      <c r="G1179" s="48">
        <v>8.5500000000000007E-2</v>
      </c>
      <c r="H1179" s="48">
        <v>8.5500000000000007E-2</v>
      </c>
      <c r="I1179" s="48">
        <v>0.19795843001542029</v>
      </c>
      <c r="K1179" s="62">
        <v>1</v>
      </c>
      <c r="M1179" s="64"/>
      <c r="N1179" s="64"/>
    </row>
    <row r="1180" spans="1:14" x14ac:dyDescent="0.25">
      <c r="A1180" s="45" t="s">
        <v>1247</v>
      </c>
      <c r="B1180" s="46">
        <v>6855.01</v>
      </c>
      <c r="C1180" s="60">
        <v>0.21</v>
      </c>
      <c r="D1180" s="47">
        <v>12481</v>
      </c>
      <c r="E1180" s="47">
        <v>18105</v>
      </c>
      <c r="F1180" s="47">
        <v>12660</v>
      </c>
      <c r="G1180" s="48">
        <v>9.4299999999999995E-2</v>
      </c>
      <c r="H1180" s="48">
        <v>9.4299999999999995E-2</v>
      </c>
      <c r="I1180" s="48">
        <v>0.17187134066745879</v>
      </c>
      <c r="K1180" s="62">
        <v>1</v>
      </c>
      <c r="M1180" s="64"/>
      <c r="N1180" s="64"/>
    </row>
    <row r="1181" spans="1:14" x14ac:dyDescent="0.25">
      <c r="A1181" s="45" t="s">
        <v>1248</v>
      </c>
      <c r="B1181" s="46">
        <v>114220.15</v>
      </c>
      <c r="C1181" s="60">
        <v>0.21</v>
      </c>
      <c r="D1181" s="47">
        <v>207976</v>
      </c>
      <c r="E1181" s="47">
        <v>301675</v>
      </c>
      <c r="F1181" s="47">
        <v>210947</v>
      </c>
      <c r="G1181" s="48">
        <v>0.16439999999999999</v>
      </c>
      <c r="H1181" s="48">
        <v>0.16439999999999999</v>
      </c>
      <c r="I1181" s="48">
        <v>0.18107378762397081</v>
      </c>
      <c r="K1181" s="62">
        <v>1</v>
      </c>
      <c r="M1181" s="64"/>
      <c r="N1181" s="64"/>
    </row>
    <row r="1182" spans="1:14" x14ac:dyDescent="0.25">
      <c r="A1182" s="45" t="s">
        <v>1249</v>
      </c>
      <c r="B1182" s="46">
        <v>84868.72</v>
      </c>
      <c r="C1182" s="60">
        <v>0.21</v>
      </c>
      <c r="D1182" s="47">
        <v>154532</v>
      </c>
      <c r="E1182" s="47">
        <v>224153</v>
      </c>
      <c r="F1182" s="47">
        <v>156739</v>
      </c>
      <c r="G1182" s="48">
        <v>0.159</v>
      </c>
      <c r="H1182" s="48">
        <v>0.159</v>
      </c>
      <c r="I1182" s="48">
        <v>0.17189175697136769</v>
      </c>
      <c r="K1182" s="62">
        <v>1</v>
      </c>
      <c r="M1182" s="64"/>
      <c r="N1182" s="64"/>
    </row>
    <row r="1183" spans="1:14" x14ac:dyDescent="0.25">
      <c r="A1183" s="45" t="s">
        <v>1250</v>
      </c>
      <c r="B1183" s="46">
        <v>72367.259999999995</v>
      </c>
      <c r="C1183" s="60">
        <v>0.21</v>
      </c>
      <c r="D1183" s="47">
        <v>131769</v>
      </c>
      <c r="E1183" s="47">
        <v>191135</v>
      </c>
      <c r="F1183" s="47">
        <v>133651</v>
      </c>
      <c r="G1183" s="48">
        <v>0.1434</v>
      </c>
      <c r="H1183" s="48">
        <v>0.1434</v>
      </c>
      <c r="I1183" s="48">
        <v>0.18870695047742389</v>
      </c>
      <c r="K1183" s="62">
        <v>1</v>
      </c>
      <c r="M1183" s="64"/>
      <c r="N1183" s="64"/>
    </row>
    <row r="1184" spans="1:14" x14ac:dyDescent="0.25">
      <c r="A1184" s="45" t="s">
        <v>1251</v>
      </c>
      <c r="B1184" s="46">
        <v>158935.38</v>
      </c>
      <c r="C1184" s="60">
        <v>0.21</v>
      </c>
      <c r="D1184" s="47">
        <v>279416</v>
      </c>
      <c r="E1184" s="47">
        <v>405300</v>
      </c>
      <c r="F1184" s="47">
        <v>283407</v>
      </c>
      <c r="G1184" s="48">
        <v>0.1525</v>
      </c>
      <c r="H1184" s="48">
        <v>0.1525</v>
      </c>
      <c r="I1184" s="48">
        <v>0.16148184235548471</v>
      </c>
      <c r="K1184" s="62">
        <v>1</v>
      </c>
      <c r="M1184" s="64"/>
      <c r="N1184" s="64"/>
    </row>
    <row r="1185" spans="1:14" x14ac:dyDescent="0.25">
      <c r="A1185" s="45" t="s">
        <v>1252</v>
      </c>
      <c r="B1185" s="46">
        <v>5168.43</v>
      </c>
      <c r="C1185" s="60">
        <v>0.21</v>
      </c>
      <c r="D1185" s="47">
        <v>9411</v>
      </c>
      <c r="E1185" s="47">
        <v>13650</v>
      </c>
      <c r="F1185" s="47">
        <v>9545</v>
      </c>
      <c r="G1185" s="48">
        <v>0.12180000000000001</v>
      </c>
      <c r="H1185" s="48">
        <v>0.12180000000000001</v>
      </c>
      <c r="I1185" s="48">
        <v>0.19447671811076681</v>
      </c>
      <c r="K1185" s="62">
        <v>1</v>
      </c>
      <c r="M1185" s="64"/>
      <c r="N1185" s="64"/>
    </row>
    <row r="1186" spans="1:14" x14ac:dyDescent="0.25">
      <c r="A1186" s="45" t="s">
        <v>1253</v>
      </c>
      <c r="B1186" s="46">
        <v>5168.43</v>
      </c>
      <c r="C1186" s="60">
        <v>0.21</v>
      </c>
      <c r="D1186" s="47">
        <v>9411</v>
      </c>
      <c r="E1186" s="47">
        <v>13650</v>
      </c>
      <c r="F1186" s="47">
        <v>9545</v>
      </c>
      <c r="G1186" s="48">
        <v>0.12180000000000001</v>
      </c>
      <c r="H1186" s="48">
        <v>0.12180000000000001</v>
      </c>
      <c r="I1186" s="48">
        <v>0.19447671811076681</v>
      </c>
      <c r="K1186" s="62">
        <v>1</v>
      </c>
      <c r="M1186" s="64"/>
      <c r="N1186" s="64"/>
    </row>
    <row r="1187" spans="1:14" x14ac:dyDescent="0.25">
      <c r="A1187" s="45" t="s">
        <v>1254</v>
      </c>
      <c r="B1187" s="46">
        <v>21727.21</v>
      </c>
      <c r="C1187" s="60">
        <v>0.21</v>
      </c>
      <c r="D1187" s="47">
        <v>39562</v>
      </c>
      <c r="E1187" s="47">
        <v>57385</v>
      </c>
      <c r="F1187" s="47">
        <v>40127</v>
      </c>
      <c r="G1187" s="48">
        <v>0.1467</v>
      </c>
      <c r="H1187" s="48">
        <v>0.1467</v>
      </c>
      <c r="I1187" s="48">
        <v>0.17189588742020151</v>
      </c>
      <c r="K1187" s="62">
        <v>1</v>
      </c>
      <c r="M1187" s="64"/>
      <c r="N1187" s="64"/>
    </row>
    <row r="1188" spans="1:14" x14ac:dyDescent="0.25">
      <c r="A1188" s="45" t="s">
        <v>1255</v>
      </c>
      <c r="B1188" s="46">
        <v>196825.65</v>
      </c>
      <c r="C1188" s="60">
        <v>0.21</v>
      </c>
      <c r="D1188" s="47">
        <v>358386</v>
      </c>
      <c r="E1188" s="47">
        <v>519850</v>
      </c>
      <c r="F1188" s="47">
        <v>363506</v>
      </c>
      <c r="G1188" s="48">
        <v>0.1709</v>
      </c>
      <c r="H1188" s="48">
        <v>0.1709</v>
      </c>
      <c r="I1188" s="48">
        <v>0.18870779382922079</v>
      </c>
      <c r="K1188" s="62">
        <v>1</v>
      </c>
      <c r="M1188" s="64"/>
      <c r="N1188" s="64"/>
    </row>
    <row r="1189" spans="1:14" x14ac:dyDescent="0.25">
      <c r="A1189" s="45" t="s">
        <v>1256</v>
      </c>
      <c r="B1189" s="46">
        <v>11777.14</v>
      </c>
      <c r="C1189" s="60">
        <v>0.21</v>
      </c>
      <c r="D1189" s="47">
        <v>21444</v>
      </c>
      <c r="E1189" s="47">
        <v>31107</v>
      </c>
      <c r="F1189" s="47">
        <v>21751</v>
      </c>
      <c r="G1189" s="48">
        <v>0.1263</v>
      </c>
      <c r="H1189" s="48">
        <v>0.1263</v>
      </c>
      <c r="I1189" s="48">
        <v>0.17189065143378099</v>
      </c>
      <c r="K1189" s="62">
        <v>1</v>
      </c>
      <c r="M1189" s="64"/>
      <c r="N1189" s="64"/>
    </row>
    <row r="1190" spans="1:14" x14ac:dyDescent="0.25">
      <c r="A1190" s="45" t="s">
        <v>1257</v>
      </c>
      <c r="B1190" s="46">
        <v>6106.7</v>
      </c>
      <c r="C1190" s="60">
        <v>0.21</v>
      </c>
      <c r="D1190" s="47">
        <v>11120</v>
      </c>
      <c r="E1190" s="47">
        <v>16129</v>
      </c>
      <c r="F1190" s="47">
        <v>11278</v>
      </c>
      <c r="G1190" s="48">
        <v>9.2799999999999994E-2</v>
      </c>
      <c r="H1190" s="48">
        <v>9.2799999999999994E-2</v>
      </c>
      <c r="I1190" s="48">
        <v>0.19305592132275159</v>
      </c>
      <c r="K1190" s="62">
        <v>1</v>
      </c>
      <c r="M1190" s="64"/>
      <c r="N1190" s="64"/>
    </row>
    <row r="1191" spans="1:14" x14ac:dyDescent="0.25">
      <c r="A1191" s="45" t="s">
        <v>1258</v>
      </c>
      <c r="B1191" s="46">
        <v>6106.7</v>
      </c>
      <c r="C1191" s="60">
        <v>0.21</v>
      </c>
      <c r="D1191" s="47">
        <v>11120</v>
      </c>
      <c r="E1191" s="47">
        <v>16129</v>
      </c>
      <c r="F1191" s="47">
        <v>11278</v>
      </c>
      <c r="G1191" s="48">
        <v>0.1709</v>
      </c>
      <c r="H1191" s="48">
        <v>0.1709</v>
      </c>
      <c r="I1191" s="48">
        <v>0.1719028982215843</v>
      </c>
      <c r="K1191" s="62">
        <v>1</v>
      </c>
      <c r="M1191" s="64"/>
      <c r="N1191" s="64"/>
    </row>
    <row r="1192" spans="1:14" x14ac:dyDescent="0.25">
      <c r="A1192" s="45" t="s">
        <v>1259</v>
      </c>
      <c r="B1192" s="46">
        <v>18319.95</v>
      </c>
      <c r="C1192" s="60">
        <v>0.21</v>
      </c>
      <c r="D1192" s="47">
        <v>33357</v>
      </c>
      <c r="E1192" s="47">
        <v>48386</v>
      </c>
      <c r="F1192" s="47">
        <v>33834</v>
      </c>
      <c r="G1192" s="48">
        <v>0.17080000000000001</v>
      </c>
      <c r="H1192" s="48">
        <v>0.17080000000000001</v>
      </c>
      <c r="I1192" s="48">
        <v>0.18872074562310781</v>
      </c>
      <c r="K1192" s="62">
        <v>1</v>
      </c>
      <c r="M1192" s="64"/>
      <c r="N1192" s="64"/>
    </row>
    <row r="1193" spans="1:14" x14ac:dyDescent="0.25">
      <c r="A1193" s="45" t="s">
        <v>1260</v>
      </c>
      <c r="B1193" s="46">
        <v>2049.77</v>
      </c>
      <c r="C1193" s="60">
        <v>0.21</v>
      </c>
      <c r="D1193" s="47">
        <v>3861</v>
      </c>
      <c r="E1193" s="47">
        <v>5601</v>
      </c>
      <c r="F1193" s="47">
        <v>3916</v>
      </c>
      <c r="G1193" s="48">
        <v>0.1401</v>
      </c>
      <c r="H1193" s="48">
        <v>0.1401</v>
      </c>
      <c r="I1193" s="48">
        <v>0.1899240102409438</v>
      </c>
      <c r="K1193" s="62">
        <v>1</v>
      </c>
      <c r="M1193" s="64"/>
      <c r="N1193" s="64"/>
    </row>
    <row r="1194" spans="1:14" x14ac:dyDescent="0.25">
      <c r="A1194" s="45" t="s">
        <v>1261</v>
      </c>
      <c r="B1194" s="46">
        <v>16784.849999999999</v>
      </c>
      <c r="C1194" s="60">
        <v>0.21</v>
      </c>
      <c r="D1194" s="47">
        <v>30562</v>
      </c>
      <c r="E1194" s="47">
        <v>44332</v>
      </c>
      <c r="F1194" s="47">
        <v>30999</v>
      </c>
      <c r="G1194" s="48">
        <v>0.10050000000000001</v>
      </c>
      <c r="H1194" s="48">
        <v>0.10050000000000001</v>
      </c>
      <c r="I1194" s="48">
        <v>0.17189121630672699</v>
      </c>
      <c r="K1194" s="62">
        <v>1</v>
      </c>
      <c r="M1194" s="64"/>
      <c r="N1194" s="64"/>
    </row>
    <row r="1195" spans="1:14" x14ac:dyDescent="0.25">
      <c r="A1195" s="45" t="s">
        <v>1262</v>
      </c>
      <c r="B1195" s="46">
        <v>43047.73</v>
      </c>
      <c r="C1195" s="60">
        <v>0.21</v>
      </c>
      <c r="D1195" s="47">
        <v>78383</v>
      </c>
      <c r="E1195" s="47">
        <v>113696</v>
      </c>
      <c r="F1195" s="47">
        <v>79502</v>
      </c>
      <c r="G1195" s="48">
        <v>0.1537</v>
      </c>
      <c r="H1195" s="48">
        <v>0.1537</v>
      </c>
      <c r="I1195" s="48">
        <v>0.17189065031871761</v>
      </c>
      <c r="K1195" s="62">
        <v>1</v>
      </c>
      <c r="M1195" s="64"/>
      <c r="N1195" s="64"/>
    </row>
    <row r="1196" spans="1:14" x14ac:dyDescent="0.25">
      <c r="A1196" s="45" t="s">
        <v>1263</v>
      </c>
      <c r="B1196" s="46">
        <v>29960.25</v>
      </c>
      <c r="C1196" s="60">
        <v>0.21</v>
      </c>
      <c r="D1196" s="47">
        <v>54553</v>
      </c>
      <c r="E1196" s="47">
        <v>79131</v>
      </c>
      <c r="F1196" s="47">
        <v>55332</v>
      </c>
      <c r="G1196" s="48">
        <v>0.15340000000000001</v>
      </c>
      <c r="H1196" s="48">
        <v>0.15340000000000001</v>
      </c>
      <c r="I1196" s="48">
        <v>0.1718935441362911</v>
      </c>
      <c r="K1196" s="62">
        <v>1</v>
      </c>
      <c r="M1196" s="64"/>
      <c r="N1196" s="64"/>
    </row>
    <row r="1197" spans="1:14" x14ac:dyDescent="0.25">
      <c r="A1197" s="45" t="s">
        <v>1264</v>
      </c>
      <c r="B1197" s="46">
        <v>37020.65</v>
      </c>
      <c r="C1197" s="60">
        <v>0.21</v>
      </c>
      <c r="D1197" s="47">
        <v>67408</v>
      </c>
      <c r="E1197" s="47">
        <v>97778</v>
      </c>
      <c r="F1197" s="47">
        <v>68371</v>
      </c>
      <c r="G1197" s="48">
        <v>0.154</v>
      </c>
      <c r="H1197" s="48">
        <v>0.154</v>
      </c>
      <c r="I1197" s="48">
        <v>0.17188804174048011</v>
      </c>
      <c r="K1197" s="62">
        <v>1</v>
      </c>
      <c r="M1197" s="64"/>
      <c r="N1197" s="64"/>
    </row>
    <row r="1198" spans="1:14" x14ac:dyDescent="0.25">
      <c r="A1198" s="45" t="s">
        <v>1265</v>
      </c>
      <c r="B1198" s="46">
        <v>43047.73</v>
      </c>
      <c r="C1198" s="60">
        <v>0.21</v>
      </c>
      <c r="D1198" s="47">
        <v>78383</v>
      </c>
      <c r="E1198" s="47">
        <v>113696</v>
      </c>
      <c r="F1198" s="47">
        <v>79502</v>
      </c>
      <c r="G1198" s="48">
        <v>0.15870000000000001</v>
      </c>
      <c r="H1198" s="48">
        <v>0.15870000000000001</v>
      </c>
      <c r="I1198" s="48">
        <v>0.17189065031871761</v>
      </c>
      <c r="K1198" s="62">
        <v>1</v>
      </c>
      <c r="M1198" s="64"/>
      <c r="N1198" s="64"/>
    </row>
    <row r="1199" spans="1:14" x14ac:dyDescent="0.25">
      <c r="A1199" s="45" t="s">
        <v>1266</v>
      </c>
      <c r="B1199" s="46">
        <v>68875.8</v>
      </c>
      <c r="C1199" s="60">
        <v>0.21</v>
      </c>
      <c r="D1199" s="47">
        <v>125411</v>
      </c>
      <c r="E1199" s="47">
        <v>181913</v>
      </c>
      <c r="F1199" s="47">
        <v>127203</v>
      </c>
      <c r="G1199" s="48">
        <v>0.16320000000000001</v>
      </c>
      <c r="H1199" s="48">
        <v>0.16320000000000001</v>
      </c>
      <c r="I1199" s="48">
        <v>0.179277088121581</v>
      </c>
      <c r="K1199" s="62">
        <v>1</v>
      </c>
      <c r="M1199" s="64"/>
      <c r="N1199" s="64"/>
    </row>
    <row r="1200" spans="1:14" x14ac:dyDescent="0.25">
      <c r="A1200" s="45" t="s">
        <v>1267</v>
      </c>
      <c r="B1200" s="46">
        <v>79207.78</v>
      </c>
      <c r="C1200" s="60">
        <v>0.21</v>
      </c>
      <c r="D1200" s="47">
        <v>144224</v>
      </c>
      <c r="E1200" s="47">
        <v>209200</v>
      </c>
      <c r="F1200" s="47">
        <v>146284</v>
      </c>
      <c r="G1200" s="48">
        <v>0.1615</v>
      </c>
      <c r="H1200" s="48">
        <v>0.1615</v>
      </c>
      <c r="I1200" s="48">
        <v>0.17939224388261249</v>
      </c>
      <c r="K1200" s="62">
        <v>1</v>
      </c>
      <c r="M1200" s="64"/>
      <c r="N1200" s="64"/>
    </row>
    <row r="1201" spans="1:14" x14ac:dyDescent="0.25">
      <c r="A1201" s="45" t="s">
        <v>1268</v>
      </c>
      <c r="B1201" s="46">
        <v>117089.57</v>
      </c>
      <c r="C1201" s="60">
        <v>0.21</v>
      </c>
      <c r="D1201" s="47">
        <v>213200</v>
      </c>
      <c r="E1201" s="47">
        <v>309253</v>
      </c>
      <c r="F1201" s="47">
        <v>216246</v>
      </c>
      <c r="G1201" s="48">
        <v>0.16550000000000001</v>
      </c>
      <c r="H1201" s="48">
        <v>0.16550000000000001</v>
      </c>
      <c r="I1201" s="48">
        <v>0.1812602946316651</v>
      </c>
      <c r="K1201" s="62">
        <v>1</v>
      </c>
      <c r="M1201" s="64"/>
      <c r="N1201" s="64"/>
    </row>
    <row r="1202" spans="1:14" x14ac:dyDescent="0.25">
      <c r="A1202" s="45" t="s">
        <v>1269</v>
      </c>
      <c r="B1202" s="46">
        <v>2497.15</v>
      </c>
      <c r="C1202" s="60">
        <v>0.21</v>
      </c>
      <c r="D1202" s="47">
        <v>4547</v>
      </c>
      <c r="E1202" s="47">
        <v>6596</v>
      </c>
      <c r="F1202" s="47">
        <v>4612</v>
      </c>
      <c r="G1202" s="48">
        <v>0.13750000000000001</v>
      </c>
      <c r="H1202" s="48">
        <v>0.13750000000000001</v>
      </c>
      <c r="I1202" s="48">
        <v>0.1718457634022531</v>
      </c>
      <c r="K1202" s="62">
        <v>1</v>
      </c>
      <c r="M1202" s="64"/>
      <c r="N1202" s="64"/>
    </row>
    <row r="1203" spans="1:14" x14ac:dyDescent="0.25">
      <c r="A1203" s="45" t="s">
        <v>1270</v>
      </c>
      <c r="B1203" s="46">
        <v>45218.720000000001</v>
      </c>
      <c r="C1203" s="60">
        <v>0.21</v>
      </c>
      <c r="D1203" s="47">
        <v>82336</v>
      </c>
      <c r="E1203" s="47">
        <v>119431</v>
      </c>
      <c r="F1203" s="47">
        <v>83512</v>
      </c>
      <c r="G1203" s="48">
        <v>0.157</v>
      </c>
      <c r="H1203" s="48">
        <v>0.157</v>
      </c>
      <c r="I1203" s="48">
        <v>0.17434470951091749</v>
      </c>
      <c r="K1203" s="62">
        <v>1</v>
      </c>
      <c r="M1203" s="64"/>
      <c r="N1203" s="64"/>
    </row>
    <row r="1204" spans="1:14" x14ac:dyDescent="0.25">
      <c r="A1204" s="45" t="s">
        <v>1271</v>
      </c>
      <c r="B1204" s="46">
        <v>4953.7299999999996</v>
      </c>
      <c r="C1204" s="60">
        <v>0.21</v>
      </c>
      <c r="D1204" s="47">
        <v>9331</v>
      </c>
      <c r="E1204" s="47">
        <v>13534</v>
      </c>
      <c r="F1204" s="47">
        <v>9464</v>
      </c>
      <c r="G1204" s="48">
        <v>0.13880000000000001</v>
      </c>
      <c r="H1204" s="48">
        <v>0.13880000000000001</v>
      </c>
      <c r="I1204" s="48">
        <v>0.21486831976717721</v>
      </c>
      <c r="K1204" s="62">
        <v>1</v>
      </c>
      <c r="M1204" s="64"/>
      <c r="N1204" s="64"/>
    </row>
    <row r="1205" spans="1:14" x14ac:dyDescent="0.25">
      <c r="A1205" s="45" t="s">
        <v>1272</v>
      </c>
      <c r="B1205" s="46">
        <v>1828.38</v>
      </c>
      <c r="C1205" s="60">
        <v>0.21</v>
      </c>
      <c r="D1205" s="47">
        <v>3444</v>
      </c>
      <c r="E1205" s="47">
        <v>4996</v>
      </c>
      <c r="F1205" s="47">
        <v>3493</v>
      </c>
      <c r="G1205" s="48">
        <v>0.1353</v>
      </c>
      <c r="H1205" s="48">
        <v>0.1353</v>
      </c>
      <c r="I1205" s="48">
        <v>0.18994457064609899</v>
      </c>
      <c r="K1205" s="62">
        <v>1</v>
      </c>
      <c r="M1205" s="64"/>
      <c r="N1205" s="64"/>
    </row>
    <row r="1206" spans="1:14" x14ac:dyDescent="0.25">
      <c r="A1206" s="45" t="s">
        <v>1273</v>
      </c>
      <c r="B1206" s="46">
        <v>2905.96</v>
      </c>
      <c r="C1206" s="60">
        <v>0.21</v>
      </c>
      <c r="D1206" s="47">
        <v>5474</v>
      </c>
      <c r="E1206" s="47">
        <v>7940</v>
      </c>
      <c r="F1206" s="47">
        <v>5552</v>
      </c>
      <c r="G1206" s="48">
        <v>0.1517</v>
      </c>
      <c r="H1206" s="48">
        <v>0.1517</v>
      </c>
      <c r="I1206" s="48">
        <v>0.18993202403420481</v>
      </c>
      <c r="K1206" s="62">
        <v>1</v>
      </c>
      <c r="M1206" s="64"/>
      <c r="N1206" s="64"/>
    </row>
    <row r="1207" spans="1:14" x14ac:dyDescent="0.25">
      <c r="A1207" s="45" t="s">
        <v>1274</v>
      </c>
      <c r="B1207" s="46">
        <v>2325.31</v>
      </c>
      <c r="C1207" s="60">
        <v>0.21</v>
      </c>
      <c r="D1207" s="47">
        <v>4380</v>
      </c>
      <c r="E1207" s="47">
        <v>6354</v>
      </c>
      <c r="F1207" s="47">
        <v>4443</v>
      </c>
      <c r="G1207" s="48">
        <v>0.1489</v>
      </c>
      <c r="H1207" s="48">
        <v>0.1489</v>
      </c>
      <c r="I1207" s="48">
        <v>0.18988696397167459</v>
      </c>
      <c r="K1207" s="62">
        <v>1</v>
      </c>
      <c r="M1207" s="64"/>
      <c r="N1207" s="64"/>
    </row>
    <row r="1208" spans="1:14" x14ac:dyDescent="0.25">
      <c r="A1208" s="45" t="s">
        <v>1275</v>
      </c>
      <c r="B1208" s="46">
        <v>55143.42</v>
      </c>
      <c r="C1208" s="60">
        <v>0.21</v>
      </c>
      <c r="D1208" s="47">
        <v>100407</v>
      </c>
      <c r="E1208" s="47">
        <v>145643</v>
      </c>
      <c r="F1208" s="47">
        <v>101841</v>
      </c>
      <c r="G1208" s="48">
        <v>0.1613</v>
      </c>
      <c r="H1208" s="48">
        <v>0.1613</v>
      </c>
      <c r="I1208" s="48">
        <v>0.17693314691499501</v>
      </c>
      <c r="K1208" s="62">
        <v>1</v>
      </c>
      <c r="M1208" s="64"/>
      <c r="N1208" s="64"/>
    </row>
    <row r="1209" spans="1:14" x14ac:dyDescent="0.25">
      <c r="A1209" s="45" t="s">
        <v>1276</v>
      </c>
      <c r="B1209" s="46">
        <v>196337.49</v>
      </c>
      <c r="C1209" s="60">
        <v>0.21</v>
      </c>
      <c r="D1209" s="47">
        <v>357498</v>
      </c>
      <c r="E1209" s="47">
        <v>518560</v>
      </c>
      <c r="F1209" s="47">
        <v>362604</v>
      </c>
      <c r="G1209" s="48">
        <v>0.1671</v>
      </c>
      <c r="H1209" s="48">
        <v>0.1671</v>
      </c>
      <c r="I1209" s="48">
        <v>0.1842669557442807</v>
      </c>
      <c r="K1209" s="62">
        <v>1</v>
      </c>
      <c r="M1209" s="64"/>
      <c r="N1209" s="64"/>
    </row>
    <row r="1210" spans="1:14" x14ac:dyDescent="0.25">
      <c r="A1210" s="45" t="s">
        <v>1277</v>
      </c>
      <c r="B1210" s="46">
        <v>16730.490000000002</v>
      </c>
      <c r="C1210" s="60">
        <v>0.21</v>
      </c>
      <c r="D1210" s="47">
        <v>30464</v>
      </c>
      <c r="E1210" s="47">
        <v>44189</v>
      </c>
      <c r="F1210" s="47">
        <v>30899</v>
      </c>
      <c r="G1210" s="48">
        <v>0.12670000000000001</v>
      </c>
      <c r="H1210" s="48">
        <v>0.12670000000000001</v>
      </c>
      <c r="I1210" s="48">
        <v>0.17189612085529879</v>
      </c>
      <c r="K1210" s="62">
        <v>1</v>
      </c>
      <c r="M1210" s="64"/>
      <c r="N1210" s="64"/>
    </row>
    <row r="1211" spans="1:14" x14ac:dyDescent="0.25">
      <c r="A1211" s="45" t="s">
        <v>1278</v>
      </c>
      <c r="B1211" s="46">
        <v>19436.900000000001</v>
      </c>
      <c r="C1211" s="60">
        <v>0.21</v>
      </c>
      <c r="D1211" s="47">
        <v>35391</v>
      </c>
      <c r="E1211" s="47">
        <v>51337</v>
      </c>
      <c r="F1211" s="47">
        <v>35897</v>
      </c>
      <c r="G1211" s="48">
        <v>0.1439</v>
      </c>
      <c r="H1211" s="48">
        <v>0.1439</v>
      </c>
      <c r="I1211" s="48">
        <v>0.17189172831362001</v>
      </c>
      <c r="K1211" s="62">
        <v>1</v>
      </c>
      <c r="M1211" s="64"/>
      <c r="N1211" s="64"/>
    </row>
    <row r="1212" spans="1:14" x14ac:dyDescent="0.25">
      <c r="A1212" s="45" t="s">
        <v>1279</v>
      </c>
      <c r="B1212" s="46">
        <v>10437.68</v>
      </c>
      <c r="C1212" s="60">
        <v>0.21</v>
      </c>
      <c r="D1212" s="47">
        <v>19005</v>
      </c>
      <c r="E1212" s="47">
        <v>27568</v>
      </c>
      <c r="F1212" s="47">
        <v>19277</v>
      </c>
      <c r="G1212" s="48">
        <v>0.1206</v>
      </c>
      <c r="H1212" s="48">
        <v>0.1206</v>
      </c>
      <c r="I1212" s="48">
        <v>0.1718843328075329</v>
      </c>
      <c r="K1212" s="62">
        <v>1</v>
      </c>
      <c r="M1212" s="64"/>
      <c r="N1212" s="64"/>
    </row>
    <row r="1213" spans="1:14" x14ac:dyDescent="0.25">
      <c r="A1213" s="45" t="s">
        <v>1280</v>
      </c>
      <c r="B1213" s="46">
        <v>14270.19</v>
      </c>
      <c r="C1213" s="60">
        <v>0.21</v>
      </c>
      <c r="D1213" s="47">
        <v>25983</v>
      </c>
      <c r="E1213" s="47">
        <v>37691</v>
      </c>
      <c r="F1213" s="47">
        <v>26355</v>
      </c>
      <c r="G1213" s="48">
        <v>0.1341</v>
      </c>
      <c r="H1213" s="48">
        <v>0.1341</v>
      </c>
      <c r="I1213" s="48">
        <v>0.17188521121279321</v>
      </c>
      <c r="K1213" s="62">
        <v>1</v>
      </c>
      <c r="M1213" s="64"/>
      <c r="N1213" s="64"/>
    </row>
    <row r="1214" spans="1:14" x14ac:dyDescent="0.25">
      <c r="A1214" s="45" t="s">
        <v>1281</v>
      </c>
      <c r="B1214" s="46">
        <v>1731.59</v>
      </c>
      <c r="C1214" s="60">
        <v>0.21</v>
      </c>
      <c r="D1214" s="47">
        <v>3153</v>
      </c>
      <c r="E1214" s="47">
        <v>4574</v>
      </c>
      <c r="F1214" s="47">
        <v>3198</v>
      </c>
      <c r="G1214" s="48">
        <v>0.1227</v>
      </c>
      <c r="H1214" s="48">
        <v>0.1227</v>
      </c>
      <c r="I1214" s="48">
        <v>0.17192758458338131</v>
      </c>
      <c r="K1214" s="62">
        <v>1</v>
      </c>
      <c r="M1214" s="64"/>
      <c r="N1214" s="64"/>
    </row>
    <row r="1215" spans="1:14" x14ac:dyDescent="0.25">
      <c r="A1215" s="45" t="s">
        <v>1282</v>
      </c>
      <c r="B1215" s="46">
        <v>1929.32</v>
      </c>
      <c r="C1215" s="60">
        <v>0.21</v>
      </c>
      <c r="D1215" s="47">
        <v>3634</v>
      </c>
      <c r="E1215" s="47">
        <v>5271</v>
      </c>
      <c r="F1215" s="47">
        <v>3686</v>
      </c>
      <c r="G1215" s="48">
        <v>0.1376</v>
      </c>
      <c r="H1215" s="48">
        <v>0.1376</v>
      </c>
      <c r="I1215" s="48">
        <v>0.18993517941559329</v>
      </c>
      <c r="K1215" s="62">
        <v>1</v>
      </c>
      <c r="M1215" s="64"/>
      <c r="N1215" s="64"/>
    </row>
    <row r="1216" spans="1:14" x14ac:dyDescent="0.25">
      <c r="A1216" s="45" t="s">
        <v>1283</v>
      </c>
      <c r="B1216" s="46">
        <v>2594.56</v>
      </c>
      <c r="C1216" s="60">
        <v>0.21</v>
      </c>
      <c r="D1216" s="47">
        <v>4887</v>
      </c>
      <c r="E1216" s="47">
        <v>7089</v>
      </c>
      <c r="F1216" s="47">
        <v>4957</v>
      </c>
      <c r="G1216" s="48">
        <v>0.14829999999999999</v>
      </c>
      <c r="H1216" s="48">
        <v>0.14829999999999999</v>
      </c>
      <c r="I1216" s="48">
        <v>0.18989032017181509</v>
      </c>
      <c r="K1216" s="62">
        <v>1</v>
      </c>
      <c r="M1216" s="64"/>
      <c r="N1216" s="64"/>
    </row>
    <row r="1217" spans="1:14" x14ac:dyDescent="0.25">
      <c r="A1217" s="45" t="s">
        <v>1284</v>
      </c>
      <c r="B1217" s="46">
        <v>3831.89</v>
      </c>
      <c r="C1217" s="60">
        <v>0.21</v>
      </c>
      <c r="D1217" s="47">
        <v>7218</v>
      </c>
      <c r="E1217" s="47">
        <v>10470</v>
      </c>
      <c r="F1217" s="47">
        <v>7321</v>
      </c>
      <c r="G1217" s="48">
        <v>0.1583</v>
      </c>
      <c r="H1217" s="48">
        <v>0.1583</v>
      </c>
      <c r="I1217" s="48">
        <v>0.18993165790313671</v>
      </c>
      <c r="K1217" s="62">
        <v>1</v>
      </c>
      <c r="M1217" s="64"/>
      <c r="N1217" s="64"/>
    </row>
    <row r="1218" spans="1:14" x14ac:dyDescent="0.25">
      <c r="A1218" s="45" t="s">
        <v>1285</v>
      </c>
      <c r="B1218" s="46">
        <v>3079.62</v>
      </c>
      <c r="C1218" s="60">
        <v>0.21</v>
      </c>
      <c r="D1218" s="47">
        <v>5801</v>
      </c>
      <c r="E1218" s="47">
        <v>8414</v>
      </c>
      <c r="F1218" s="47">
        <v>5884</v>
      </c>
      <c r="G1218" s="48">
        <v>0.1573</v>
      </c>
      <c r="H1218" s="48">
        <v>0.1573</v>
      </c>
      <c r="I1218" s="48">
        <v>0.18997878044634189</v>
      </c>
      <c r="K1218" s="62">
        <v>1</v>
      </c>
      <c r="M1218" s="64"/>
      <c r="N1218" s="64"/>
    </row>
    <row r="1219" spans="1:14" x14ac:dyDescent="0.25">
      <c r="A1219" s="45" t="s">
        <v>1286</v>
      </c>
      <c r="B1219" s="46">
        <v>3079.62</v>
      </c>
      <c r="C1219" s="60">
        <v>0.21</v>
      </c>
      <c r="D1219" s="47">
        <v>5801</v>
      </c>
      <c r="E1219" s="47">
        <v>8414</v>
      </c>
      <c r="F1219" s="47">
        <v>5884</v>
      </c>
      <c r="G1219" s="48">
        <v>0.1573</v>
      </c>
      <c r="H1219" s="48">
        <v>0.1573</v>
      </c>
      <c r="I1219" s="48">
        <v>0.18997878044634189</v>
      </c>
      <c r="K1219" s="62">
        <v>1</v>
      </c>
      <c r="M1219" s="64"/>
      <c r="N1219" s="64"/>
    </row>
    <row r="1220" spans="1:14" x14ac:dyDescent="0.25">
      <c r="A1220" s="45" t="s">
        <v>1287</v>
      </c>
      <c r="B1220" s="46">
        <v>3298.94</v>
      </c>
      <c r="C1220" s="60">
        <v>0.21</v>
      </c>
      <c r="D1220" s="47">
        <v>6214</v>
      </c>
      <c r="E1220" s="47">
        <v>9014</v>
      </c>
      <c r="F1220" s="47">
        <v>6303</v>
      </c>
      <c r="G1220" s="48">
        <v>0.159</v>
      </c>
      <c r="H1220" s="48">
        <v>0.159</v>
      </c>
      <c r="I1220" s="48">
        <v>0.18993608166251039</v>
      </c>
      <c r="K1220" s="62">
        <v>1</v>
      </c>
      <c r="M1220" s="64"/>
      <c r="N1220" s="64"/>
    </row>
    <row r="1221" spans="1:14" x14ac:dyDescent="0.25">
      <c r="A1221" s="45" t="s">
        <v>1288</v>
      </c>
      <c r="B1221" s="46">
        <v>9081.2900000000009</v>
      </c>
      <c r="C1221" s="60">
        <v>0.21</v>
      </c>
      <c r="D1221" s="47">
        <v>17106</v>
      </c>
      <c r="E1221" s="47">
        <v>24813</v>
      </c>
      <c r="F1221" s="47">
        <v>17350</v>
      </c>
      <c r="G1221" s="48">
        <v>0.1235</v>
      </c>
      <c r="H1221" s="48">
        <v>0.1235</v>
      </c>
      <c r="I1221" s="48">
        <v>0.18993647643427169</v>
      </c>
      <c r="K1221" s="62">
        <v>1</v>
      </c>
      <c r="M1221" s="64"/>
      <c r="N1221" s="64"/>
    </row>
    <row r="1222" spans="1:14" x14ac:dyDescent="0.25">
      <c r="A1222" s="45" t="s">
        <v>1289</v>
      </c>
      <c r="B1222" s="46">
        <v>9081.2900000000009</v>
      </c>
      <c r="C1222" s="60">
        <v>0.21</v>
      </c>
      <c r="D1222" s="47">
        <v>17106</v>
      </c>
      <c r="E1222" s="47">
        <v>24813</v>
      </c>
      <c r="F1222" s="47">
        <v>17350</v>
      </c>
      <c r="G1222" s="48">
        <v>0.1235</v>
      </c>
      <c r="H1222" s="48">
        <v>0.1235</v>
      </c>
      <c r="I1222" s="48">
        <v>0.18993647643427169</v>
      </c>
      <c r="K1222" s="62">
        <v>1</v>
      </c>
      <c r="M1222" s="64"/>
      <c r="N1222" s="64"/>
    </row>
    <row r="1223" spans="1:14" x14ac:dyDescent="0.25">
      <c r="A1223" s="45" t="s">
        <v>1290</v>
      </c>
      <c r="B1223" s="46">
        <v>22268.22</v>
      </c>
      <c r="C1223" s="60">
        <v>0.21</v>
      </c>
      <c r="D1223" s="47">
        <v>40547</v>
      </c>
      <c r="E1223" s="47">
        <v>58814</v>
      </c>
      <c r="F1223" s="47">
        <v>41126</v>
      </c>
      <c r="G1223" s="48">
        <v>0.14280000000000001</v>
      </c>
      <c r="H1223" s="48">
        <v>0.14280000000000001</v>
      </c>
      <c r="I1223" s="48">
        <v>0.1718932908783293</v>
      </c>
      <c r="K1223" s="62">
        <v>1</v>
      </c>
      <c r="M1223" s="64"/>
      <c r="N1223" s="64"/>
    </row>
    <row r="1224" spans="1:14" x14ac:dyDescent="0.25">
      <c r="A1224" s="45" t="s">
        <v>1291</v>
      </c>
      <c r="B1224" s="46">
        <v>3025.38</v>
      </c>
      <c r="C1224" s="60">
        <v>0.21</v>
      </c>
      <c r="D1224" s="47">
        <v>5698</v>
      </c>
      <c r="E1224" s="47">
        <v>8266</v>
      </c>
      <c r="F1224" s="47">
        <v>5780</v>
      </c>
      <c r="G1224" s="48">
        <v>0.1527</v>
      </c>
      <c r="H1224" s="48">
        <v>0.1527</v>
      </c>
      <c r="I1224" s="48">
        <v>0.18991226435910591</v>
      </c>
      <c r="K1224" s="62">
        <v>1</v>
      </c>
      <c r="M1224" s="64"/>
      <c r="N1224" s="64"/>
    </row>
    <row r="1225" spans="1:14" x14ac:dyDescent="0.25">
      <c r="A1225" s="45" t="s">
        <v>1292</v>
      </c>
      <c r="B1225" s="46">
        <v>5270.19</v>
      </c>
      <c r="C1225" s="60">
        <v>0.21</v>
      </c>
      <c r="D1225" s="47">
        <v>9596</v>
      </c>
      <c r="E1225" s="47">
        <v>13920</v>
      </c>
      <c r="F1225" s="47">
        <v>9733</v>
      </c>
      <c r="G1225" s="48">
        <v>0.1222</v>
      </c>
      <c r="H1225" s="48">
        <v>0.1222</v>
      </c>
      <c r="I1225" s="48">
        <v>0.19287534616112489</v>
      </c>
      <c r="K1225" s="62">
        <v>1</v>
      </c>
      <c r="M1225" s="64"/>
      <c r="N1225" s="64"/>
    </row>
    <row r="1226" spans="1:14" x14ac:dyDescent="0.25">
      <c r="A1226" s="45" t="s">
        <v>1293</v>
      </c>
      <c r="B1226" s="46">
        <v>4384.3100000000004</v>
      </c>
      <c r="C1226" s="60">
        <v>0.21</v>
      </c>
      <c r="D1226" s="47">
        <v>7983</v>
      </c>
      <c r="E1226" s="47">
        <v>11580</v>
      </c>
      <c r="F1226" s="47">
        <v>8097</v>
      </c>
      <c r="G1226" s="48">
        <v>0.1178</v>
      </c>
      <c r="H1226" s="48">
        <v>0.1178</v>
      </c>
      <c r="I1226" s="48">
        <v>0.17189620599222361</v>
      </c>
      <c r="K1226" s="62">
        <v>1</v>
      </c>
      <c r="M1226" s="64"/>
      <c r="N1226" s="64"/>
    </row>
    <row r="1227" spans="1:14" x14ac:dyDescent="0.25">
      <c r="A1227" s="45" t="s">
        <v>1294</v>
      </c>
      <c r="B1227" s="46">
        <v>46036.05</v>
      </c>
      <c r="C1227" s="60">
        <v>0.21</v>
      </c>
      <c r="D1227" s="47">
        <v>86714</v>
      </c>
      <c r="E1227" s="47">
        <v>125782</v>
      </c>
      <c r="F1227" s="47">
        <v>87953</v>
      </c>
      <c r="G1227" s="48">
        <v>0.16830000000000001</v>
      </c>
      <c r="H1227" s="48">
        <v>0.16830000000000001</v>
      </c>
      <c r="I1227" s="48">
        <v>0.19126638580541769</v>
      </c>
      <c r="K1227" s="62">
        <v>1</v>
      </c>
      <c r="M1227" s="64"/>
      <c r="N1227" s="64"/>
    </row>
    <row r="1228" spans="1:14" x14ac:dyDescent="0.25">
      <c r="A1228" s="45" t="s">
        <v>1295</v>
      </c>
      <c r="B1228" s="46">
        <v>9406.51</v>
      </c>
      <c r="C1228" s="60">
        <v>0.21</v>
      </c>
      <c r="D1228" s="47">
        <v>17719</v>
      </c>
      <c r="E1228" s="47">
        <v>25701</v>
      </c>
      <c r="F1228" s="47">
        <v>17971</v>
      </c>
      <c r="G1228" s="48">
        <v>0.12959999999999999</v>
      </c>
      <c r="H1228" s="48">
        <v>0.12959999999999999</v>
      </c>
      <c r="I1228" s="48">
        <v>0.1899540819378786</v>
      </c>
      <c r="K1228" s="62">
        <v>1</v>
      </c>
      <c r="M1228" s="64"/>
      <c r="N1228" s="64"/>
    </row>
    <row r="1229" spans="1:14" x14ac:dyDescent="0.25">
      <c r="A1229" s="45" t="s">
        <v>1296</v>
      </c>
      <c r="B1229" s="46">
        <v>3025.38</v>
      </c>
      <c r="C1229" s="60">
        <v>0.21</v>
      </c>
      <c r="D1229" s="47">
        <v>5698</v>
      </c>
      <c r="E1229" s="47">
        <v>8266</v>
      </c>
      <c r="F1229" s="47">
        <v>5780</v>
      </c>
      <c r="G1229" s="48">
        <v>0.1527</v>
      </c>
      <c r="H1229" s="48">
        <v>0.1527</v>
      </c>
      <c r="I1229" s="48">
        <v>0.18991226435910591</v>
      </c>
      <c r="K1229" s="62">
        <v>1</v>
      </c>
      <c r="M1229" s="64"/>
      <c r="N1229" s="64"/>
    </row>
    <row r="1230" spans="1:14" x14ac:dyDescent="0.25">
      <c r="A1230" s="45" t="s">
        <v>1297</v>
      </c>
      <c r="B1230" s="46">
        <v>54235.205499999996</v>
      </c>
      <c r="C1230" s="60">
        <v>0.21</v>
      </c>
      <c r="D1230" s="47" t="s">
        <v>1839</v>
      </c>
      <c r="E1230" s="47" t="s">
        <v>1839</v>
      </c>
      <c r="F1230" s="47" t="s">
        <v>1839</v>
      </c>
      <c r="G1230" s="48">
        <v>0.12640000000000001</v>
      </c>
      <c r="H1230" s="48">
        <v>0.12640000000000001</v>
      </c>
      <c r="I1230" s="48">
        <v>0.16736566609158071</v>
      </c>
      <c r="K1230" s="62">
        <v>0</v>
      </c>
      <c r="M1230" s="64"/>
      <c r="N1230" s="64"/>
    </row>
    <row r="1231" spans="1:14" x14ac:dyDescent="0.25">
      <c r="A1231" s="45" t="s">
        <v>1298</v>
      </c>
      <c r="B1231" s="46">
        <v>2944.8</v>
      </c>
      <c r="C1231" s="60">
        <v>0.21</v>
      </c>
      <c r="D1231" s="47">
        <v>5362</v>
      </c>
      <c r="E1231" s="47">
        <v>7777.75</v>
      </c>
      <c r="F1231" s="47">
        <v>5438.5</v>
      </c>
      <c r="G1231" s="48">
        <v>0.1426</v>
      </c>
      <c r="H1231" s="48">
        <v>0.1426</v>
      </c>
      <c r="I1231" s="48">
        <v>0.1719021980151838</v>
      </c>
      <c r="K1231" s="62">
        <v>1</v>
      </c>
      <c r="M1231" s="64"/>
      <c r="N1231" s="64"/>
    </row>
    <row r="1232" spans="1:14" x14ac:dyDescent="0.25">
      <c r="A1232" s="45" t="s">
        <v>1299</v>
      </c>
      <c r="B1232" s="46">
        <v>159881.06</v>
      </c>
      <c r="C1232" s="60">
        <v>0.21</v>
      </c>
      <c r="D1232" s="47">
        <v>291117</v>
      </c>
      <c r="E1232" s="47">
        <v>422273</v>
      </c>
      <c r="F1232" s="47">
        <v>295275</v>
      </c>
      <c r="G1232" s="48">
        <v>0.13519999999999999</v>
      </c>
      <c r="H1232" s="48">
        <v>0.13519999999999999</v>
      </c>
      <c r="I1232" s="48">
        <v>0.180514605385105</v>
      </c>
      <c r="K1232" s="62">
        <v>1</v>
      </c>
      <c r="M1232" s="64"/>
      <c r="N1232" s="64"/>
    </row>
    <row r="1233" spans="1:14" x14ac:dyDescent="0.25">
      <c r="A1233" s="45" t="s">
        <v>1300</v>
      </c>
      <c r="B1233" s="46">
        <v>6250.19</v>
      </c>
      <c r="C1233" s="60">
        <v>0.21</v>
      </c>
      <c r="D1233" s="47">
        <v>11381</v>
      </c>
      <c r="E1233" s="47">
        <v>16507</v>
      </c>
      <c r="F1233" s="47">
        <v>11543</v>
      </c>
      <c r="G1233" s="48">
        <v>9.4500000000000001E-2</v>
      </c>
      <c r="H1233" s="48">
        <v>9.4500000000000001E-2</v>
      </c>
      <c r="I1233" s="48">
        <v>0.17191045068858349</v>
      </c>
      <c r="K1233" s="62">
        <v>1</v>
      </c>
      <c r="M1233" s="64"/>
      <c r="N1233" s="64"/>
    </row>
    <row r="1234" spans="1:14" x14ac:dyDescent="0.25">
      <c r="A1234" s="45" t="s">
        <v>1301</v>
      </c>
      <c r="B1234" s="46">
        <v>5168.43</v>
      </c>
      <c r="C1234" s="60">
        <v>0.21</v>
      </c>
      <c r="D1234" s="47">
        <v>9411</v>
      </c>
      <c r="E1234" s="47">
        <v>13650</v>
      </c>
      <c r="F1234" s="47">
        <v>9545</v>
      </c>
      <c r="G1234" s="48">
        <v>0.12180000000000001</v>
      </c>
      <c r="H1234" s="48">
        <v>0.12180000000000001</v>
      </c>
      <c r="I1234" s="48">
        <v>0.197685132741312</v>
      </c>
      <c r="K1234" s="62">
        <v>1</v>
      </c>
      <c r="M1234" s="64"/>
      <c r="N1234" s="64"/>
    </row>
    <row r="1235" spans="1:14" x14ac:dyDescent="0.25">
      <c r="A1235" s="45" t="s">
        <v>1302</v>
      </c>
      <c r="B1235" s="46">
        <v>6250.19</v>
      </c>
      <c r="C1235" s="60">
        <v>0.21</v>
      </c>
      <c r="D1235" s="47">
        <v>11381</v>
      </c>
      <c r="E1235" s="47">
        <v>16507</v>
      </c>
      <c r="F1235" s="47">
        <v>11543</v>
      </c>
      <c r="G1235" s="48">
        <v>9.4500000000000001E-2</v>
      </c>
      <c r="H1235" s="48">
        <v>9.4500000000000001E-2</v>
      </c>
      <c r="I1235" s="48">
        <v>0.20014598540145981</v>
      </c>
      <c r="K1235" s="62">
        <v>1</v>
      </c>
      <c r="M1235" s="64"/>
      <c r="N1235" s="64"/>
    </row>
    <row r="1236" spans="1:14" x14ac:dyDescent="0.25">
      <c r="A1236" s="45" t="s">
        <v>1303</v>
      </c>
      <c r="B1236" s="46">
        <v>5168.43</v>
      </c>
      <c r="C1236" s="60">
        <v>0.21</v>
      </c>
      <c r="D1236" s="47">
        <v>9411</v>
      </c>
      <c r="E1236" s="47">
        <v>13650</v>
      </c>
      <c r="F1236" s="47">
        <v>9545</v>
      </c>
      <c r="G1236" s="48">
        <v>0.12180000000000001</v>
      </c>
      <c r="H1236" s="48">
        <v>0.12180000000000001</v>
      </c>
      <c r="I1236" s="48">
        <v>0.197685132741312</v>
      </c>
      <c r="K1236" s="62">
        <v>1</v>
      </c>
      <c r="M1236" s="64"/>
      <c r="N1236" s="64"/>
    </row>
    <row r="1237" spans="1:14" x14ac:dyDescent="0.25">
      <c r="A1237" s="45" t="s">
        <v>1304</v>
      </c>
      <c r="B1237" s="46">
        <v>6250.19</v>
      </c>
      <c r="C1237" s="60">
        <v>0.21</v>
      </c>
      <c r="D1237" s="47">
        <v>11381</v>
      </c>
      <c r="E1237" s="47">
        <v>16507</v>
      </c>
      <c r="F1237" s="47">
        <v>11543</v>
      </c>
      <c r="G1237" s="48">
        <v>9.4500000000000001E-2</v>
      </c>
      <c r="H1237" s="48">
        <v>9.4500000000000001E-2</v>
      </c>
      <c r="I1237" s="48">
        <v>0.19345409033290081</v>
      </c>
      <c r="K1237" s="62">
        <v>1</v>
      </c>
      <c r="M1237" s="64"/>
      <c r="N1237" s="64"/>
    </row>
    <row r="1238" spans="1:14" x14ac:dyDescent="0.25">
      <c r="A1238" s="45" t="s">
        <v>1305</v>
      </c>
      <c r="B1238" s="46">
        <v>5168.43</v>
      </c>
      <c r="C1238" s="60">
        <v>0.21</v>
      </c>
      <c r="D1238" s="47">
        <v>9411</v>
      </c>
      <c r="E1238" s="47">
        <v>13650</v>
      </c>
      <c r="F1238" s="47">
        <v>9545</v>
      </c>
      <c r="G1238" s="48">
        <v>0.12180000000000001</v>
      </c>
      <c r="H1238" s="48">
        <v>0.12180000000000001</v>
      </c>
      <c r="I1238" s="48">
        <v>0.19447671811076681</v>
      </c>
      <c r="K1238" s="62">
        <v>1</v>
      </c>
      <c r="M1238" s="64"/>
      <c r="N1238" s="64"/>
    </row>
    <row r="1239" spans="1:14" x14ac:dyDescent="0.25">
      <c r="A1239" s="45" t="s">
        <v>1306</v>
      </c>
      <c r="B1239" s="46">
        <v>42996.15</v>
      </c>
      <c r="C1239" s="60">
        <v>0.105</v>
      </c>
      <c r="D1239" s="47">
        <v>71496</v>
      </c>
      <c r="E1239" s="47">
        <v>103705</v>
      </c>
      <c r="F1239" s="47">
        <v>72516</v>
      </c>
      <c r="G1239" s="48">
        <v>0.19589999999999999</v>
      </c>
      <c r="H1239" s="48">
        <v>0.19589999999999999</v>
      </c>
      <c r="I1239" s="48">
        <v>0.2045661804290981</v>
      </c>
      <c r="K1239" s="62">
        <v>1</v>
      </c>
      <c r="M1239" s="64"/>
      <c r="N1239" s="64"/>
    </row>
    <row r="1240" spans="1:14" x14ac:dyDescent="0.25">
      <c r="A1240" s="45" t="s">
        <v>1307</v>
      </c>
      <c r="B1240" s="46">
        <v>134326.66</v>
      </c>
      <c r="C1240" s="60">
        <v>0.105</v>
      </c>
      <c r="D1240" s="47">
        <v>223361</v>
      </c>
      <c r="E1240" s="47">
        <v>323994</v>
      </c>
      <c r="F1240" s="47">
        <v>226553</v>
      </c>
      <c r="G1240" s="48">
        <v>0.20499999999999999</v>
      </c>
      <c r="H1240" s="48">
        <v>0.20499999999999999</v>
      </c>
      <c r="I1240" s="48">
        <v>0.21581112152338919</v>
      </c>
      <c r="K1240" s="62">
        <v>1</v>
      </c>
      <c r="M1240" s="64"/>
      <c r="N1240" s="64"/>
    </row>
    <row r="1241" spans="1:14" x14ac:dyDescent="0.25">
      <c r="A1241" s="45" t="s">
        <v>1308</v>
      </c>
      <c r="B1241" s="46">
        <v>2804.14</v>
      </c>
      <c r="C1241" s="60">
        <v>0.21</v>
      </c>
      <c r="D1241" s="47">
        <v>5106</v>
      </c>
      <c r="E1241" s="47">
        <v>7407</v>
      </c>
      <c r="F1241" s="47">
        <v>5179</v>
      </c>
      <c r="G1241" s="48">
        <v>0.1411</v>
      </c>
      <c r="H1241" s="48">
        <v>0.1411</v>
      </c>
      <c r="I1241" s="48">
        <v>0.17192082802511341</v>
      </c>
      <c r="K1241" s="62">
        <v>1</v>
      </c>
      <c r="M1241" s="64"/>
      <c r="N1241" s="64"/>
    </row>
    <row r="1242" spans="1:14" x14ac:dyDescent="0.25">
      <c r="A1242" s="45" t="s">
        <v>1309</v>
      </c>
      <c r="B1242" s="46">
        <v>3302.6</v>
      </c>
      <c r="C1242" s="60">
        <v>0.21</v>
      </c>
      <c r="D1242" s="47">
        <v>6013</v>
      </c>
      <c r="E1242" s="47">
        <v>8722</v>
      </c>
      <c r="F1242" s="47">
        <v>6099</v>
      </c>
      <c r="G1242" s="48">
        <v>0.14560000000000001</v>
      </c>
      <c r="H1242" s="48">
        <v>0.14560000000000001</v>
      </c>
      <c r="I1242" s="48">
        <v>0.17188068892621841</v>
      </c>
      <c r="K1242" s="62">
        <v>1</v>
      </c>
      <c r="M1242" s="64"/>
      <c r="N1242" s="64"/>
    </row>
    <row r="1243" spans="1:14" x14ac:dyDescent="0.25">
      <c r="A1243" s="45" t="s">
        <v>1310</v>
      </c>
      <c r="B1243" s="46">
        <v>3655.75</v>
      </c>
      <c r="C1243" s="60">
        <v>0.21</v>
      </c>
      <c r="D1243" s="47">
        <v>6657</v>
      </c>
      <c r="E1243" s="47">
        <v>9657</v>
      </c>
      <c r="F1243" s="47">
        <v>6752</v>
      </c>
      <c r="G1243" s="48">
        <v>0.14810000000000001</v>
      </c>
      <c r="H1243" s="48">
        <v>0.14810000000000001</v>
      </c>
      <c r="I1243" s="48">
        <v>0.1719302885040663</v>
      </c>
      <c r="K1243" s="62">
        <v>1</v>
      </c>
      <c r="M1243" s="64"/>
      <c r="N1243" s="64"/>
    </row>
    <row r="1244" spans="1:14" x14ac:dyDescent="0.25">
      <c r="A1244" s="45" t="s">
        <v>1311</v>
      </c>
      <c r="B1244" s="46">
        <v>3863.43</v>
      </c>
      <c r="C1244" s="60">
        <v>0.21</v>
      </c>
      <c r="D1244" s="47">
        <v>7035</v>
      </c>
      <c r="E1244" s="47">
        <v>10204</v>
      </c>
      <c r="F1244" s="47">
        <v>7135</v>
      </c>
      <c r="G1244" s="48">
        <v>0.14929999999999999</v>
      </c>
      <c r="H1244" s="48">
        <v>0.14929999999999999</v>
      </c>
      <c r="I1244" s="48">
        <v>0.1719188425791168</v>
      </c>
      <c r="K1244" s="62">
        <v>1</v>
      </c>
      <c r="M1244" s="64"/>
      <c r="N1244" s="64"/>
    </row>
    <row r="1245" spans="1:14" x14ac:dyDescent="0.25">
      <c r="A1245" s="45" t="s">
        <v>1312</v>
      </c>
      <c r="B1245" s="46">
        <v>4569.62</v>
      </c>
      <c r="C1245" s="60">
        <v>0.21</v>
      </c>
      <c r="D1245" s="47">
        <v>8320</v>
      </c>
      <c r="E1245" s="47">
        <v>12069</v>
      </c>
      <c r="F1245" s="47">
        <v>8439</v>
      </c>
      <c r="G1245" s="48">
        <v>0.1188</v>
      </c>
      <c r="H1245" s="48">
        <v>0.1188</v>
      </c>
      <c r="I1245" s="48">
        <v>0.17187205707202319</v>
      </c>
      <c r="K1245" s="62">
        <v>1</v>
      </c>
      <c r="M1245" s="64"/>
      <c r="N1245" s="64"/>
    </row>
    <row r="1246" spans="1:14" x14ac:dyDescent="0.25">
      <c r="A1246" s="45" t="s">
        <v>1313</v>
      </c>
      <c r="B1246" s="46">
        <v>50284.07</v>
      </c>
      <c r="C1246" s="60">
        <v>0.21</v>
      </c>
      <c r="D1246" s="47">
        <v>91559</v>
      </c>
      <c r="E1246" s="47">
        <v>132809</v>
      </c>
      <c r="F1246" s="47">
        <v>92867</v>
      </c>
      <c r="G1246" s="48">
        <v>0.16039999999999999</v>
      </c>
      <c r="H1246" s="48">
        <v>0.16039999999999999</v>
      </c>
      <c r="I1246" s="48">
        <v>0.1757937192543812</v>
      </c>
      <c r="K1246" s="62">
        <v>1</v>
      </c>
      <c r="M1246" s="64"/>
      <c r="N1246" s="64"/>
    </row>
    <row r="1247" spans="1:14" x14ac:dyDescent="0.25">
      <c r="A1247" s="45" t="s">
        <v>1314</v>
      </c>
      <c r="B1247" s="46">
        <v>34089.82</v>
      </c>
      <c r="C1247" s="60">
        <v>0.21</v>
      </c>
      <c r="D1247" s="47">
        <v>62072</v>
      </c>
      <c r="E1247" s="47">
        <v>90038</v>
      </c>
      <c r="F1247" s="47">
        <v>62959</v>
      </c>
      <c r="G1247" s="48">
        <v>0.1555</v>
      </c>
      <c r="H1247" s="48">
        <v>0.1555</v>
      </c>
      <c r="I1247" s="48">
        <v>0.17189157789435339</v>
      </c>
      <c r="K1247" s="62">
        <v>1</v>
      </c>
      <c r="M1247" s="64"/>
      <c r="N1247" s="64"/>
    </row>
    <row r="1248" spans="1:14" x14ac:dyDescent="0.25">
      <c r="A1248" s="45" t="s">
        <v>1315</v>
      </c>
      <c r="B1248" s="46">
        <v>50173.75</v>
      </c>
      <c r="C1248" s="60">
        <v>0.105</v>
      </c>
      <c r="D1248" s="47">
        <v>83430</v>
      </c>
      <c r="E1248" s="47">
        <v>121018</v>
      </c>
      <c r="F1248" s="47">
        <v>84622</v>
      </c>
      <c r="G1248" s="48">
        <v>0.20200000000000001</v>
      </c>
      <c r="H1248" s="48">
        <v>0.20200000000000001</v>
      </c>
      <c r="I1248" s="48">
        <v>0.2110690988613754</v>
      </c>
      <c r="K1248" s="62">
        <v>1</v>
      </c>
      <c r="M1248" s="64"/>
      <c r="N1248" s="64"/>
    </row>
    <row r="1249" spans="1:14" x14ac:dyDescent="0.25">
      <c r="A1249" s="45" t="s">
        <v>1316</v>
      </c>
      <c r="B1249" s="46">
        <v>20294.099999999999</v>
      </c>
      <c r="C1249" s="60">
        <v>0.21</v>
      </c>
      <c r="D1249" s="47">
        <v>36952</v>
      </c>
      <c r="E1249" s="47">
        <v>53600</v>
      </c>
      <c r="F1249" s="47">
        <v>37480</v>
      </c>
      <c r="G1249" s="48">
        <v>0.14499999999999999</v>
      </c>
      <c r="H1249" s="48">
        <v>0.14499999999999999</v>
      </c>
      <c r="I1249" s="48">
        <v>0.1718839464188634</v>
      </c>
      <c r="K1249" s="62">
        <v>1</v>
      </c>
      <c r="M1249" s="64"/>
      <c r="N1249" s="64"/>
    </row>
    <row r="1250" spans="1:14" x14ac:dyDescent="0.25">
      <c r="A1250" s="45" t="s">
        <v>1317</v>
      </c>
      <c r="B1250" s="46">
        <v>26458.639999999999</v>
      </c>
      <c r="C1250" s="60">
        <v>0.21</v>
      </c>
      <c r="D1250" s="47">
        <v>48177</v>
      </c>
      <c r="E1250" s="47">
        <v>69881</v>
      </c>
      <c r="F1250" s="47">
        <v>48865</v>
      </c>
      <c r="G1250" s="48">
        <v>0.1188</v>
      </c>
      <c r="H1250" s="48">
        <v>0.1188</v>
      </c>
      <c r="I1250" s="48">
        <v>0.17189657403169861</v>
      </c>
      <c r="K1250" s="62">
        <v>1</v>
      </c>
      <c r="M1250" s="64"/>
      <c r="N1250" s="64"/>
    </row>
    <row r="1251" spans="1:14" x14ac:dyDescent="0.25">
      <c r="A1251" s="45" t="s">
        <v>1318</v>
      </c>
      <c r="B1251" s="46">
        <v>22554.400000000001</v>
      </c>
      <c r="C1251" s="60">
        <v>0.21</v>
      </c>
      <c r="D1251" s="47">
        <v>41068</v>
      </c>
      <c r="E1251" s="47">
        <v>59570</v>
      </c>
      <c r="F1251" s="47">
        <v>41654</v>
      </c>
      <c r="G1251" s="48">
        <v>0.11459999999999999</v>
      </c>
      <c r="H1251" s="48">
        <v>0.11459999999999999</v>
      </c>
      <c r="I1251" s="48">
        <v>0.17188959843371579</v>
      </c>
      <c r="K1251" s="62">
        <v>1</v>
      </c>
      <c r="M1251" s="64"/>
      <c r="N1251" s="64"/>
    </row>
    <row r="1252" spans="1:14" x14ac:dyDescent="0.25">
      <c r="A1252" s="45" t="s">
        <v>1319</v>
      </c>
      <c r="B1252" s="46">
        <v>10340.9</v>
      </c>
      <c r="C1252" s="60">
        <v>0.21</v>
      </c>
      <c r="D1252" s="47">
        <v>18829</v>
      </c>
      <c r="E1252" s="47">
        <v>27312</v>
      </c>
      <c r="F1252" s="47">
        <v>19098</v>
      </c>
      <c r="G1252" s="48">
        <v>0.1202</v>
      </c>
      <c r="H1252" s="48">
        <v>0.1202</v>
      </c>
      <c r="I1252" s="48">
        <v>0.1718789086329654</v>
      </c>
      <c r="K1252" s="62">
        <v>1</v>
      </c>
      <c r="M1252" s="64"/>
      <c r="N1252" s="64"/>
    </row>
    <row r="1253" spans="1:14" x14ac:dyDescent="0.25">
      <c r="A1253" s="45" t="s">
        <v>1320</v>
      </c>
      <c r="B1253" s="46">
        <v>10340.9</v>
      </c>
      <c r="C1253" s="60">
        <v>0.21</v>
      </c>
      <c r="D1253" s="47">
        <v>18829</v>
      </c>
      <c r="E1253" s="47">
        <v>27312</v>
      </c>
      <c r="F1253" s="47">
        <v>19098</v>
      </c>
      <c r="G1253" s="48">
        <v>0.1202</v>
      </c>
      <c r="H1253" s="48">
        <v>0.1202</v>
      </c>
      <c r="I1253" s="48">
        <v>0.1718789086329654</v>
      </c>
      <c r="K1253" s="62">
        <v>1</v>
      </c>
      <c r="M1253" s="64"/>
      <c r="N1253" s="64"/>
    </row>
    <row r="1254" spans="1:14" x14ac:dyDescent="0.25">
      <c r="A1254" s="45" t="s">
        <v>1321</v>
      </c>
      <c r="B1254" s="46">
        <v>10340.9</v>
      </c>
      <c r="C1254" s="60">
        <v>0.21</v>
      </c>
      <c r="D1254" s="47">
        <v>18829</v>
      </c>
      <c r="E1254" s="47">
        <v>27312</v>
      </c>
      <c r="F1254" s="47">
        <v>19098</v>
      </c>
      <c r="G1254" s="48">
        <v>0.1202</v>
      </c>
      <c r="H1254" s="48">
        <v>0.1202</v>
      </c>
      <c r="I1254" s="48">
        <v>0.1718789086329654</v>
      </c>
      <c r="K1254" s="62">
        <v>1</v>
      </c>
      <c r="M1254" s="64"/>
      <c r="N1254" s="64"/>
    </row>
    <row r="1255" spans="1:14" x14ac:dyDescent="0.25">
      <c r="A1255" s="45" t="s">
        <v>1322</v>
      </c>
      <c r="B1255" s="46">
        <v>19981.64</v>
      </c>
      <c r="C1255" s="60">
        <v>0.21</v>
      </c>
      <c r="D1255" s="47">
        <v>36384</v>
      </c>
      <c r="E1255" s="47">
        <v>52775</v>
      </c>
      <c r="F1255" s="47">
        <v>36903</v>
      </c>
      <c r="G1255" s="48">
        <v>9.9699999999999997E-2</v>
      </c>
      <c r="H1255" s="48">
        <v>9.9699999999999997E-2</v>
      </c>
      <c r="I1255" s="48">
        <v>0.17189674647110251</v>
      </c>
      <c r="K1255" s="62">
        <v>1</v>
      </c>
      <c r="M1255" s="64"/>
      <c r="N1255" s="64"/>
    </row>
    <row r="1256" spans="1:14" x14ac:dyDescent="0.25">
      <c r="A1256" s="45" t="s">
        <v>1323</v>
      </c>
      <c r="B1256" s="46">
        <v>20729.41</v>
      </c>
      <c r="C1256" s="60">
        <v>0.21</v>
      </c>
      <c r="D1256" s="47">
        <v>37744</v>
      </c>
      <c r="E1256" s="47">
        <v>54750</v>
      </c>
      <c r="F1256" s="47">
        <v>38284</v>
      </c>
      <c r="G1256" s="48">
        <v>0.14560000000000001</v>
      </c>
      <c r="H1256" s="48">
        <v>0.14560000000000001</v>
      </c>
      <c r="I1256" s="48">
        <v>0.1718856577784422</v>
      </c>
      <c r="K1256" s="62">
        <v>1</v>
      </c>
      <c r="M1256" s="64"/>
      <c r="N1256" s="64"/>
    </row>
    <row r="1257" spans="1:14" x14ac:dyDescent="0.25">
      <c r="A1257" s="45" t="s">
        <v>1324</v>
      </c>
      <c r="B1257" s="46">
        <v>22224.97</v>
      </c>
      <c r="C1257" s="60">
        <v>0.21</v>
      </c>
      <c r="D1257" s="47">
        <v>40468</v>
      </c>
      <c r="E1257" s="47">
        <v>58699</v>
      </c>
      <c r="F1257" s="47">
        <v>41046</v>
      </c>
      <c r="G1257" s="48">
        <v>0.14729999999999999</v>
      </c>
      <c r="H1257" s="48">
        <v>0.14729999999999999</v>
      </c>
      <c r="I1257" s="48">
        <v>0.17189355773998269</v>
      </c>
      <c r="K1257" s="62">
        <v>1</v>
      </c>
      <c r="M1257" s="64"/>
      <c r="N1257" s="64"/>
    </row>
    <row r="1258" spans="1:14" x14ac:dyDescent="0.25">
      <c r="A1258" s="45" t="s">
        <v>1325</v>
      </c>
      <c r="B1258" s="46">
        <v>19603.52</v>
      </c>
      <c r="C1258" s="60">
        <v>0.21</v>
      </c>
      <c r="D1258" s="47">
        <v>35695</v>
      </c>
      <c r="E1258" s="47">
        <v>51776</v>
      </c>
      <c r="F1258" s="47">
        <v>36205</v>
      </c>
      <c r="G1258" s="48">
        <v>0.14410000000000001</v>
      </c>
      <c r="H1258" s="48">
        <v>0.14410000000000001</v>
      </c>
      <c r="I1258" s="48">
        <v>0.17189241134361899</v>
      </c>
      <c r="K1258" s="62">
        <v>1</v>
      </c>
      <c r="M1258" s="64"/>
      <c r="N1258" s="64"/>
    </row>
    <row r="1259" spans="1:14" x14ac:dyDescent="0.25">
      <c r="A1259" s="45" t="s">
        <v>1326</v>
      </c>
      <c r="B1259" s="46">
        <v>26901.439999999999</v>
      </c>
      <c r="C1259" s="60">
        <v>0.21</v>
      </c>
      <c r="D1259" s="47">
        <v>48983</v>
      </c>
      <c r="E1259" s="47">
        <v>71051</v>
      </c>
      <c r="F1259" s="47">
        <v>49683</v>
      </c>
      <c r="G1259" s="48">
        <v>0.15140000000000001</v>
      </c>
      <c r="H1259" s="48">
        <v>0.15140000000000001</v>
      </c>
      <c r="I1259" s="48">
        <v>0.17188648827347469</v>
      </c>
      <c r="K1259" s="62">
        <v>1</v>
      </c>
      <c r="M1259" s="64"/>
      <c r="N1259" s="64"/>
    </row>
    <row r="1260" spans="1:14" x14ac:dyDescent="0.25">
      <c r="A1260" s="45" t="s">
        <v>1327</v>
      </c>
      <c r="B1260" s="46">
        <v>28472.42</v>
      </c>
      <c r="C1260" s="60">
        <v>0.21</v>
      </c>
      <c r="D1260" s="47">
        <v>51844</v>
      </c>
      <c r="E1260" s="47">
        <v>75200</v>
      </c>
      <c r="F1260" s="47">
        <v>52584</v>
      </c>
      <c r="G1260" s="48">
        <v>0.1206</v>
      </c>
      <c r="H1260" s="48">
        <v>0.1206</v>
      </c>
      <c r="I1260" s="48">
        <v>0.17189448512587671</v>
      </c>
      <c r="K1260" s="62">
        <v>1</v>
      </c>
      <c r="M1260" s="64"/>
      <c r="N1260" s="64"/>
    </row>
    <row r="1261" spans="1:14" x14ac:dyDescent="0.25">
      <c r="A1261" s="45" t="s">
        <v>1328</v>
      </c>
      <c r="B1261" s="46">
        <v>47726.29</v>
      </c>
      <c r="C1261" s="60">
        <v>0.21</v>
      </c>
      <c r="D1261" s="47">
        <v>86901</v>
      </c>
      <c r="E1261" s="47">
        <v>126053</v>
      </c>
      <c r="F1261" s="47">
        <v>88143</v>
      </c>
      <c r="G1261" s="48">
        <v>0.15989999999999999</v>
      </c>
      <c r="H1261" s="48">
        <v>0.15989999999999999</v>
      </c>
      <c r="I1261" s="48">
        <v>0.17509734072233349</v>
      </c>
      <c r="K1261" s="62">
        <v>1</v>
      </c>
      <c r="M1261" s="64"/>
      <c r="N1261" s="64"/>
    </row>
    <row r="1262" spans="1:14" x14ac:dyDescent="0.25">
      <c r="A1262" s="45" t="s">
        <v>1329</v>
      </c>
      <c r="B1262" s="46">
        <v>2866.36</v>
      </c>
      <c r="C1262" s="60">
        <v>0.21</v>
      </c>
      <c r="D1262" s="47">
        <v>5220</v>
      </c>
      <c r="E1262" s="47">
        <v>7571</v>
      </c>
      <c r="F1262" s="47">
        <v>5294</v>
      </c>
      <c r="G1262" s="48">
        <v>0.1419</v>
      </c>
      <c r="H1262" s="48">
        <v>0.1419</v>
      </c>
      <c r="I1262" s="48">
        <v>0.17193189529982239</v>
      </c>
      <c r="K1262" s="62">
        <v>1</v>
      </c>
      <c r="M1262" s="64"/>
      <c r="N1262" s="64"/>
    </row>
    <row r="1263" spans="1:14" x14ac:dyDescent="0.25">
      <c r="A1263" s="45" t="s">
        <v>1330</v>
      </c>
      <c r="B1263" s="46">
        <v>3198.75</v>
      </c>
      <c r="C1263" s="60">
        <v>0.21</v>
      </c>
      <c r="D1263" s="47">
        <v>5824</v>
      </c>
      <c r="E1263" s="47">
        <v>8448</v>
      </c>
      <c r="F1263" s="47">
        <v>5908</v>
      </c>
      <c r="G1263" s="48">
        <v>0.14480000000000001</v>
      </c>
      <c r="H1263" s="48">
        <v>0.14480000000000001</v>
      </c>
      <c r="I1263" s="48">
        <v>0.17188689334744939</v>
      </c>
      <c r="K1263" s="62">
        <v>1</v>
      </c>
      <c r="M1263" s="64"/>
      <c r="N1263" s="64"/>
    </row>
    <row r="1264" spans="1:14" x14ac:dyDescent="0.25">
      <c r="A1264" s="45" t="s">
        <v>1331</v>
      </c>
      <c r="B1264" s="46">
        <v>3385.72</v>
      </c>
      <c r="C1264" s="60">
        <v>0.21</v>
      </c>
      <c r="D1264" s="47">
        <v>6165</v>
      </c>
      <c r="E1264" s="47">
        <v>8943</v>
      </c>
      <c r="F1264" s="47">
        <v>6253</v>
      </c>
      <c r="G1264" s="48">
        <v>0.14630000000000001</v>
      </c>
      <c r="H1264" s="48">
        <v>0.14630000000000001</v>
      </c>
      <c r="I1264" s="48">
        <v>0.17186748287279421</v>
      </c>
      <c r="K1264" s="62">
        <v>1</v>
      </c>
      <c r="M1264" s="64"/>
      <c r="N1264" s="64"/>
    </row>
    <row r="1265" spans="1:14" x14ac:dyDescent="0.25">
      <c r="A1265" s="45" t="s">
        <v>1332</v>
      </c>
      <c r="B1265" s="46">
        <v>4258.1099999999997</v>
      </c>
      <c r="C1265" s="60">
        <v>0.21</v>
      </c>
      <c r="D1265" s="47">
        <v>7753</v>
      </c>
      <c r="E1265" s="47">
        <v>11246</v>
      </c>
      <c r="F1265" s="47">
        <v>7864</v>
      </c>
      <c r="G1265" s="48">
        <v>0.11700000000000001</v>
      </c>
      <c r="H1265" s="48">
        <v>0.11700000000000001</v>
      </c>
      <c r="I1265" s="48">
        <v>0.1718840541701325</v>
      </c>
      <c r="K1265" s="62">
        <v>1</v>
      </c>
      <c r="M1265" s="64"/>
      <c r="N1265" s="64"/>
    </row>
    <row r="1266" spans="1:14" x14ac:dyDescent="0.25">
      <c r="A1266" s="45" t="s">
        <v>1333</v>
      </c>
      <c r="B1266" s="46">
        <v>12544.45</v>
      </c>
      <c r="C1266" s="60">
        <v>0.21</v>
      </c>
      <c r="D1266" s="47">
        <v>22842</v>
      </c>
      <c r="E1266" s="47">
        <v>33132</v>
      </c>
      <c r="F1266" s="47">
        <v>23168</v>
      </c>
      <c r="G1266" s="48">
        <v>0.12909999999999999</v>
      </c>
      <c r="H1266" s="48">
        <v>0.12909999999999999</v>
      </c>
      <c r="I1266" s="48">
        <v>0.1719007914812917</v>
      </c>
      <c r="K1266" s="62">
        <v>1</v>
      </c>
      <c r="M1266" s="64"/>
      <c r="N1266" s="64"/>
    </row>
    <row r="1267" spans="1:14" x14ac:dyDescent="0.25">
      <c r="A1267" s="45" t="s">
        <v>1334</v>
      </c>
      <c r="B1267" s="46">
        <v>5957.74</v>
      </c>
      <c r="C1267" s="60">
        <v>0.21</v>
      </c>
      <c r="D1267" s="47">
        <v>10848</v>
      </c>
      <c r="E1267" s="47">
        <v>15735</v>
      </c>
      <c r="F1267" s="47">
        <v>11003</v>
      </c>
      <c r="G1267" s="48">
        <v>9.0800000000000006E-2</v>
      </c>
      <c r="H1267" s="48">
        <v>9.0800000000000006E-2</v>
      </c>
      <c r="I1267" s="48">
        <v>0.17186743275186181</v>
      </c>
      <c r="K1267" s="62">
        <v>1</v>
      </c>
      <c r="M1267" s="64"/>
      <c r="N1267" s="64"/>
    </row>
    <row r="1268" spans="1:14" x14ac:dyDescent="0.25">
      <c r="A1268" s="45" t="s">
        <v>1335</v>
      </c>
      <c r="B1268" s="46">
        <v>5957.74</v>
      </c>
      <c r="C1268" s="60">
        <v>0.21</v>
      </c>
      <c r="D1268" s="47">
        <v>10848</v>
      </c>
      <c r="E1268" s="47">
        <v>15735</v>
      </c>
      <c r="F1268" s="47">
        <v>11003</v>
      </c>
      <c r="G1268" s="48">
        <v>9.0800000000000006E-2</v>
      </c>
      <c r="H1268" s="48">
        <v>9.0800000000000006E-2</v>
      </c>
      <c r="I1268" s="48">
        <v>0.17186743275186181</v>
      </c>
      <c r="K1268" s="62">
        <v>1</v>
      </c>
      <c r="M1268" s="64"/>
      <c r="N1268" s="64"/>
    </row>
    <row r="1269" spans="1:14" x14ac:dyDescent="0.25">
      <c r="A1269" s="45" t="s">
        <v>1336</v>
      </c>
      <c r="B1269" s="46">
        <v>1449.6144999999999</v>
      </c>
      <c r="C1269" s="60">
        <v>0.21</v>
      </c>
      <c r="D1269" s="47">
        <v>2811</v>
      </c>
      <c r="E1269" s="47">
        <v>3828</v>
      </c>
      <c r="F1269" s="47">
        <v>2677</v>
      </c>
      <c r="G1269" s="48">
        <v>0.1168</v>
      </c>
      <c r="H1269" s="48">
        <v>0.1168</v>
      </c>
      <c r="I1269" s="48">
        <v>0.1718507395009328</v>
      </c>
      <c r="K1269" s="62">
        <v>0</v>
      </c>
      <c r="M1269" s="64"/>
      <c r="N1269" s="64"/>
    </row>
    <row r="1270" spans="1:14" x14ac:dyDescent="0.25">
      <c r="A1270" s="45" t="s">
        <v>1337</v>
      </c>
      <c r="B1270" s="46">
        <v>252455.31</v>
      </c>
      <c r="C1270" s="60">
        <v>0.21</v>
      </c>
      <c r="D1270" s="47">
        <v>459678</v>
      </c>
      <c r="E1270" s="47">
        <v>666777</v>
      </c>
      <c r="F1270" s="47">
        <v>466245</v>
      </c>
      <c r="G1270" s="48">
        <v>0.1399</v>
      </c>
      <c r="H1270" s="48">
        <v>0.1399</v>
      </c>
      <c r="I1270" s="48">
        <v>0.1852528915331707</v>
      </c>
      <c r="K1270" s="62">
        <v>1</v>
      </c>
      <c r="M1270" s="64"/>
      <c r="N1270" s="64"/>
    </row>
    <row r="1271" spans="1:14" x14ac:dyDescent="0.25">
      <c r="A1271" s="45" t="s">
        <v>1338</v>
      </c>
      <c r="B1271" s="46">
        <v>74470.850000000006</v>
      </c>
      <c r="C1271" s="60">
        <v>0.21</v>
      </c>
      <c r="D1271" s="47">
        <v>135599</v>
      </c>
      <c r="E1271" s="47">
        <v>196691</v>
      </c>
      <c r="F1271" s="47">
        <v>137536</v>
      </c>
      <c r="G1271" s="48">
        <v>0.1638</v>
      </c>
      <c r="H1271" s="48">
        <v>0.1638</v>
      </c>
      <c r="I1271" s="48">
        <v>0.17999036147083661</v>
      </c>
      <c r="K1271" s="62">
        <v>1</v>
      </c>
      <c r="M1271" s="64"/>
      <c r="N1271" s="64"/>
    </row>
    <row r="1272" spans="1:14" x14ac:dyDescent="0.25">
      <c r="A1272" s="45" t="s">
        <v>1339</v>
      </c>
      <c r="B1272" s="46">
        <v>82895.05</v>
      </c>
      <c r="C1272" s="60">
        <v>0.21</v>
      </c>
      <c r="D1272" s="47">
        <v>150938</v>
      </c>
      <c r="E1272" s="47">
        <v>218940</v>
      </c>
      <c r="F1272" s="47">
        <v>153094</v>
      </c>
      <c r="G1272" s="48">
        <v>0.13550000000000001</v>
      </c>
      <c r="H1272" s="48">
        <v>0.13550000000000001</v>
      </c>
      <c r="I1272" s="48">
        <v>0.18087306813523471</v>
      </c>
      <c r="K1272" s="62">
        <v>1</v>
      </c>
      <c r="M1272" s="64"/>
      <c r="N1272" s="64"/>
    </row>
    <row r="1273" spans="1:14" x14ac:dyDescent="0.25">
      <c r="A1273" s="45" t="s">
        <v>1340</v>
      </c>
      <c r="B1273" s="46">
        <v>81579.259999999995</v>
      </c>
      <c r="C1273" s="60">
        <v>0.21</v>
      </c>
      <c r="D1273" s="47">
        <v>148542</v>
      </c>
      <c r="E1273" s="47">
        <v>215464</v>
      </c>
      <c r="F1273" s="47">
        <v>150664</v>
      </c>
      <c r="G1273" s="48">
        <v>0.1618</v>
      </c>
      <c r="H1273" s="48">
        <v>0.1618</v>
      </c>
      <c r="I1273" s="48">
        <v>0.17801912847508819</v>
      </c>
      <c r="K1273" s="62">
        <v>1</v>
      </c>
      <c r="M1273" s="64"/>
      <c r="N1273" s="64"/>
    </row>
    <row r="1274" spans="1:14" x14ac:dyDescent="0.25">
      <c r="A1274" s="45" t="s">
        <v>1341</v>
      </c>
      <c r="B1274" s="46">
        <v>43793.95</v>
      </c>
      <c r="C1274" s="60">
        <v>0.21</v>
      </c>
      <c r="D1274" s="47">
        <v>79741</v>
      </c>
      <c r="E1274" s="47">
        <v>115668</v>
      </c>
      <c r="F1274" s="47">
        <v>80881</v>
      </c>
      <c r="G1274" s="48">
        <v>0.15890000000000001</v>
      </c>
      <c r="H1274" s="48">
        <v>0.15890000000000001</v>
      </c>
      <c r="I1274" s="48">
        <v>0.17387931705401821</v>
      </c>
      <c r="K1274" s="62">
        <v>1</v>
      </c>
      <c r="M1274" s="64"/>
      <c r="N1274" s="64"/>
    </row>
    <row r="1275" spans="1:14" x14ac:dyDescent="0.25">
      <c r="A1275" s="45" t="s">
        <v>1342</v>
      </c>
      <c r="B1275" s="46">
        <v>320962.15999999997</v>
      </c>
      <c r="C1275" s="60">
        <v>0.21</v>
      </c>
      <c r="D1275" s="47">
        <v>564265</v>
      </c>
      <c r="E1275" s="47">
        <v>818483</v>
      </c>
      <c r="F1275" s="47">
        <v>572326</v>
      </c>
      <c r="G1275" s="48">
        <v>0.15490000000000001</v>
      </c>
      <c r="H1275" s="48">
        <v>0.15490000000000001</v>
      </c>
      <c r="I1275" s="48">
        <v>0.16303217065835851</v>
      </c>
      <c r="K1275" s="62">
        <v>1</v>
      </c>
      <c r="M1275" s="64"/>
      <c r="N1275" s="64"/>
    </row>
    <row r="1276" spans="1:14" x14ac:dyDescent="0.25">
      <c r="A1276" s="45" t="s">
        <v>1346</v>
      </c>
      <c r="B1276" s="46">
        <v>1441.2485666152361</v>
      </c>
      <c r="C1276" s="60">
        <v>0.21</v>
      </c>
      <c r="D1276" s="47" t="s">
        <v>1839</v>
      </c>
      <c r="E1276" s="47" t="s">
        <v>1839</v>
      </c>
      <c r="F1276" s="47" t="s">
        <v>1839</v>
      </c>
      <c r="G1276" s="48">
        <v>0.1663</v>
      </c>
      <c r="H1276" s="48">
        <v>0.1663</v>
      </c>
      <c r="I1276" s="48">
        <v>0.2332824830077726</v>
      </c>
      <c r="K1276" s="62">
        <v>0</v>
      </c>
      <c r="M1276" s="64"/>
      <c r="N1276" s="64"/>
    </row>
    <row r="1277" spans="1:14" x14ac:dyDescent="0.25">
      <c r="A1277" s="45" t="s">
        <v>1347</v>
      </c>
      <c r="B1277" s="46">
        <v>1935.4942291626905</v>
      </c>
      <c r="C1277" s="60">
        <v>0.21</v>
      </c>
      <c r="D1277" s="47" t="s">
        <v>1839</v>
      </c>
      <c r="E1277" s="47" t="s">
        <v>1839</v>
      </c>
      <c r="F1277" s="47" t="s">
        <v>1839</v>
      </c>
      <c r="G1277" s="48">
        <v>0.16850000000000001</v>
      </c>
      <c r="H1277" s="48">
        <v>0.16850000000000001</v>
      </c>
      <c r="I1277" s="48">
        <v>0.23151809668812501</v>
      </c>
      <c r="K1277" s="62">
        <v>0</v>
      </c>
      <c r="M1277" s="64"/>
      <c r="N1277" s="64"/>
    </row>
    <row r="1278" spans="1:14" x14ac:dyDescent="0.25">
      <c r="A1278" s="45" t="s">
        <v>1348</v>
      </c>
      <c r="B1278" s="46">
        <v>3691.0273034250008</v>
      </c>
      <c r="C1278" s="60">
        <v>0.105</v>
      </c>
      <c r="D1278" s="47" t="s">
        <v>1839</v>
      </c>
      <c r="E1278" s="47" t="s">
        <v>1839</v>
      </c>
      <c r="F1278" s="47" t="s">
        <v>1839</v>
      </c>
      <c r="G1278" s="48">
        <v>0.154</v>
      </c>
      <c r="H1278" s="48">
        <v>0.154</v>
      </c>
      <c r="I1278" s="48">
        <v>0.20800657136359721</v>
      </c>
      <c r="K1278" s="62">
        <v>0</v>
      </c>
      <c r="M1278" s="64"/>
      <c r="N1278" s="64"/>
    </row>
    <row r="1279" spans="1:14" x14ac:dyDescent="0.25">
      <c r="A1279" s="45" t="s">
        <v>1349</v>
      </c>
      <c r="B1279" s="46">
        <v>3488.8298287500002</v>
      </c>
      <c r="C1279" s="60">
        <v>0.105</v>
      </c>
      <c r="D1279" s="47" t="s">
        <v>1839</v>
      </c>
      <c r="E1279" s="47" t="s">
        <v>1839</v>
      </c>
      <c r="F1279" s="47" t="s">
        <v>1839</v>
      </c>
      <c r="G1279" s="48">
        <v>0.15379999999999999</v>
      </c>
      <c r="H1279" s="48">
        <v>0.15379999999999999</v>
      </c>
      <c r="I1279" s="48">
        <v>0.2078446749220354</v>
      </c>
      <c r="K1279" s="62">
        <v>0</v>
      </c>
      <c r="M1279" s="64"/>
      <c r="N1279" s="64"/>
    </row>
    <row r="1280" spans="1:14" x14ac:dyDescent="0.25">
      <c r="A1280" s="45" t="s">
        <v>1350</v>
      </c>
      <c r="B1280" s="46">
        <v>1096.0385302500003</v>
      </c>
      <c r="C1280" s="60">
        <v>0.21</v>
      </c>
      <c r="D1280" s="47" t="s">
        <v>1839</v>
      </c>
      <c r="E1280" s="47" t="s">
        <v>1839</v>
      </c>
      <c r="F1280" s="47" t="s">
        <v>1839</v>
      </c>
      <c r="G1280" s="48">
        <v>0.17879999999999999</v>
      </c>
      <c r="H1280" s="48">
        <v>0.17879999999999999</v>
      </c>
      <c r="I1280" s="48">
        <v>0.25081873664173132</v>
      </c>
      <c r="K1280" s="62">
        <v>0</v>
      </c>
      <c r="M1280" s="64"/>
      <c r="N1280" s="64"/>
    </row>
    <row r="1281" spans="1:14" x14ac:dyDescent="0.25">
      <c r="A1281" s="45" t="s">
        <v>1351</v>
      </c>
      <c r="B1281" s="46">
        <v>1478.3721607500006</v>
      </c>
      <c r="C1281" s="60">
        <v>0.21</v>
      </c>
      <c r="D1281" s="47" t="s">
        <v>1839</v>
      </c>
      <c r="E1281" s="47" t="s">
        <v>1839</v>
      </c>
      <c r="F1281" s="47" t="s">
        <v>1839</v>
      </c>
      <c r="G1281" s="48">
        <v>0.1774</v>
      </c>
      <c r="H1281" s="48">
        <v>0.1774</v>
      </c>
      <c r="I1281" s="48">
        <v>0.2434158353565723</v>
      </c>
      <c r="K1281" s="62">
        <v>0</v>
      </c>
      <c r="M1281" s="64"/>
      <c r="N1281" s="64"/>
    </row>
    <row r="1282" spans="1:14" x14ac:dyDescent="0.25">
      <c r="A1282" s="45" t="s">
        <v>1352</v>
      </c>
      <c r="B1282" s="46">
        <v>1675.4895937500007</v>
      </c>
      <c r="C1282" s="60">
        <v>0.21</v>
      </c>
      <c r="D1282" s="47" t="s">
        <v>1839</v>
      </c>
      <c r="E1282" s="47" t="s">
        <v>1839</v>
      </c>
      <c r="F1282" s="47" t="s">
        <v>1839</v>
      </c>
      <c r="G1282" s="48">
        <v>0.1769</v>
      </c>
      <c r="H1282" s="48">
        <v>0.1769</v>
      </c>
      <c r="I1282" s="48">
        <v>0.24092062057286651</v>
      </c>
      <c r="K1282" s="62">
        <v>0</v>
      </c>
      <c r="M1282" s="64"/>
      <c r="N1282" s="64"/>
    </row>
    <row r="1283" spans="1:14" x14ac:dyDescent="0.25">
      <c r="A1283" s="45" t="s">
        <v>1353</v>
      </c>
      <c r="B1283" s="46">
        <v>1150.7462674996057</v>
      </c>
      <c r="C1283" s="60">
        <v>0.21</v>
      </c>
      <c r="D1283" s="47" t="s">
        <v>1839</v>
      </c>
      <c r="E1283" s="47" t="s">
        <v>1839</v>
      </c>
      <c r="F1283" s="47" t="s">
        <v>1839</v>
      </c>
      <c r="G1283" s="48">
        <v>0.16189999999999999</v>
      </c>
      <c r="H1283" s="48">
        <v>0.16189999999999999</v>
      </c>
      <c r="I1283" s="48">
        <v>0.2381901827957868</v>
      </c>
      <c r="K1283" s="62">
        <v>0</v>
      </c>
      <c r="M1283" s="64"/>
      <c r="N1283" s="64"/>
    </row>
    <row r="1284" spans="1:14" x14ac:dyDescent="0.25">
      <c r="A1284" s="45" t="s">
        <v>1354</v>
      </c>
      <c r="B1284" s="46">
        <v>2745.3833079750002</v>
      </c>
      <c r="C1284" s="60">
        <v>0.105</v>
      </c>
      <c r="D1284" s="47" t="s">
        <v>1839</v>
      </c>
      <c r="E1284" s="47" t="s">
        <v>1839</v>
      </c>
      <c r="F1284" s="47" t="s">
        <v>1839</v>
      </c>
      <c r="G1284" s="48">
        <v>0.15340000000000001</v>
      </c>
      <c r="H1284" s="48">
        <v>0.15340000000000001</v>
      </c>
      <c r="I1284" s="48">
        <v>0.2094477349497941</v>
      </c>
      <c r="K1284" s="62">
        <v>0</v>
      </c>
      <c r="M1284" s="64"/>
      <c r="N1284" s="64"/>
    </row>
    <row r="1285" spans="1:14" x14ac:dyDescent="0.25">
      <c r="A1285" s="45" t="s">
        <v>1355</v>
      </c>
      <c r="B1285" s="46">
        <v>2785.337720550001</v>
      </c>
      <c r="C1285" s="60">
        <v>0.21</v>
      </c>
      <c r="D1285" s="47" t="s">
        <v>1839</v>
      </c>
      <c r="E1285" s="47" t="s">
        <v>1839</v>
      </c>
      <c r="F1285" s="47" t="s">
        <v>1839</v>
      </c>
      <c r="G1285" s="48">
        <v>0.1573</v>
      </c>
      <c r="H1285" s="48">
        <v>0.1573</v>
      </c>
      <c r="I1285" s="48">
        <v>0.2153363542229027</v>
      </c>
      <c r="K1285" s="62">
        <v>0</v>
      </c>
      <c r="M1285" s="64"/>
      <c r="N1285" s="64"/>
    </row>
    <row r="1286" spans="1:14" x14ac:dyDescent="0.25">
      <c r="A1286" s="45" t="s">
        <v>1356</v>
      </c>
      <c r="B1286" s="46">
        <v>465.00300000000004</v>
      </c>
      <c r="C1286" s="60">
        <v>0.21</v>
      </c>
      <c r="D1286" s="47" t="s">
        <v>1839</v>
      </c>
      <c r="E1286" s="47" t="s">
        <v>1839</v>
      </c>
      <c r="F1286" s="47" t="s">
        <v>1839</v>
      </c>
      <c r="G1286" s="48">
        <v>0.17430000000000001</v>
      </c>
      <c r="H1286" s="48">
        <v>0.17430000000000001</v>
      </c>
      <c r="I1286" s="48">
        <v>0.29128812951253419</v>
      </c>
      <c r="K1286" s="62">
        <v>0</v>
      </c>
      <c r="M1286" s="64"/>
      <c r="N1286" s="64"/>
    </row>
    <row r="1287" spans="1:14" x14ac:dyDescent="0.25">
      <c r="A1287" s="45" t="s">
        <v>1357</v>
      </c>
      <c r="B1287" s="46">
        <v>465.00300000000004</v>
      </c>
      <c r="C1287" s="60">
        <v>0.21</v>
      </c>
      <c r="D1287" s="47" t="s">
        <v>1839</v>
      </c>
      <c r="E1287" s="47" t="s">
        <v>1839</v>
      </c>
      <c r="F1287" s="47" t="s">
        <v>1839</v>
      </c>
      <c r="G1287" s="48">
        <v>0.17430000000000001</v>
      </c>
      <c r="H1287" s="48">
        <v>0.17430000000000001</v>
      </c>
      <c r="I1287" s="48">
        <v>0.29128812951253419</v>
      </c>
      <c r="K1287" s="62">
        <v>0</v>
      </c>
      <c r="M1287" s="64"/>
      <c r="N1287" s="64"/>
    </row>
    <row r="1288" spans="1:14" x14ac:dyDescent="0.25">
      <c r="A1288" s="45" t="s">
        <v>1358</v>
      </c>
      <c r="B1288" s="46">
        <v>926.44596450000029</v>
      </c>
      <c r="C1288" s="60">
        <v>0.21</v>
      </c>
      <c r="D1288" s="47" t="s">
        <v>1839</v>
      </c>
      <c r="E1288" s="47" t="s">
        <v>1839</v>
      </c>
      <c r="F1288" s="47" t="s">
        <v>1839</v>
      </c>
      <c r="G1288" s="48">
        <v>0.18529999999999999</v>
      </c>
      <c r="H1288" s="48">
        <v>0.18529999999999999</v>
      </c>
      <c r="I1288" s="48">
        <v>0.26328772717009591</v>
      </c>
      <c r="K1288" s="62">
        <v>0</v>
      </c>
      <c r="M1288" s="64"/>
      <c r="N1288" s="64"/>
    </row>
    <row r="1289" spans="1:14" x14ac:dyDescent="0.25">
      <c r="A1289" s="45" t="s">
        <v>1359</v>
      </c>
      <c r="B1289" s="46">
        <v>255.74850000000001</v>
      </c>
      <c r="C1289" s="60">
        <v>0.21</v>
      </c>
      <c r="D1289" s="47" t="s">
        <v>1839</v>
      </c>
      <c r="E1289" s="47" t="s">
        <v>1839</v>
      </c>
      <c r="F1289" s="47" t="s">
        <v>1839</v>
      </c>
      <c r="G1289" s="48">
        <v>0.1812</v>
      </c>
      <c r="H1289" s="48">
        <v>0.1812</v>
      </c>
      <c r="I1289" s="48">
        <v>0.37020560080389248</v>
      </c>
      <c r="K1289" s="62">
        <v>0</v>
      </c>
      <c r="M1289" s="64"/>
      <c r="N1289" s="64"/>
    </row>
    <row r="1290" spans="1:14" x14ac:dyDescent="0.25">
      <c r="A1290" s="45" t="s">
        <v>1360</v>
      </c>
      <c r="B1290" s="46">
        <v>294.50400000000002</v>
      </c>
      <c r="C1290" s="60">
        <v>0.21</v>
      </c>
      <c r="D1290" s="47" t="s">
        <v>1839</v>
      </c>
      <c r="E1290" s="47" t="s">
        <v>1839</v>
      </c>
      <c r="F1290" s="47" t="s">
        <v>1839</v>
      </c>
      <c r="G1290" s="48">
        <v>4.9299999999999997E-2</v>
      </c>
      <c r="H1290" s="48">
        <v>4.9299999999999997E-2</v>
      </c>
      <c r="I1290" s="48">
        <v>0.25230295146954068</v>
      </c>
      <c r="K1290" s="62">
        <v>0</v>
      </c>
      <c r="M1290" s="64"/>
      <c r="N1290" s="64"/>
    </row>
    <row r="1291" spans="1:14" x14ac:dyDescent="0.25">
      <c r="A1291" s="45" t="s">
        <v>1361</v>
      </c>
      <c r="B1291" s="46">
        <v>294.50400000000002</v>
      </c>
      <c r="C1291" s="60">
        <v>0.21</v>
      </c>
      <c r="D1291" s="47" t="s">
        <v>1839</v>
      </c>
      <c r="E1291" s="47" t="s">
        <v>1839</v>
      </c>
      <c r="F1291" s="47" t="s">
        <v>1839</v>
      </c>
      <c r="G1291" s="48">
        <v>0.17369999999999999</v>
      </c>
      <c r="H1291" s="48">
        <v>0.17369999999999999</v>
      </c>
      <c r="I1291" s="48">
        <v>0.34573052107959018</v>
      </c>
      <c r="K1291" s="62">
        <v>0</v>
      </c>
      <c r="M1291" s="64"/>
      <c r="N1291" s="64"/>
    </row>
    <row r="1292" spans="1:14" x14ac:dyDescent="0.25">
      <c r="A1292" s="45" t="s">
        <v>1362</v>
      </c>
      <c r="B1292" s="46">
        <v>244.125</v>
      </c>
      <c r="C1292" s="60">
        <v>0.21</v>
      </c>
      <c r="D1292" s="47" t="s">
        <v>1839</v>
      </c>
      <c r="E1292" s="47" t="s">
        <v>1839</v>
      </c>
      <c r="F1292" s="47" t="s">
        <v>1839</v>
      </c>
      <c r="G1292" s="48">
        <v>3.5999999999999997E-2</v>
      </c>
      <c r="H1292" s="48">
        <v>3.5999999999999997E-2</v>
      </c>
      <c r="I1292" s="48">
        <v>0.27399982207988621</v>
      </c>
      <c r="K1292" s="62">
        <v>0</v>
      </c>
      <c r="M1292" s="64"/>
      <c r="N1292" s="64"/>
    </row>
    <row r="1293" spans="1:14" x14ac:dyDescent="0.25">
      <c r="A1293" s="45" t="s">
        <v>1363</v>
      </c>
      <c r="B1293" s="46">
        <v>2642.4413284500006</v>
      </c>
      <c r="C1293" s="60">
        <v>0.21</v>
      </c>
      <c r="D1293" s="47" t="s">
        <v>1839</v>
      </c>
      <c r="E1293" s="47" t="s">
        <v>1839</v>
      </c>
      <c r="F1293" s="47" t="s">
        <v>1839</v>
      </c>
      <c r="G1293" s="48">
        <v>0.15379999999999999</v>
      </c>
      <c r="H1293" s="48">
        <v>0.15379999999999999</v>
      </c>
      <c r="I1293" s="48">
        <v>0.21181930413998379</v>
      </c>
      <c r="K1293" s="62">
        <v>0</v>
      </c>
      <c r="M1293" s="64"/>
      <c r="N1293" s="64"/>
    </row>
    <row r="1294" spans="1:14" x14ac:dyDescent="0.25">
      <c r="A1294" s="45" t="s">
        <v>1364</v>
      </c>
      <c r="B1294" s="46">
        <v>2585</v>
      </c>
      <c r="C1294" s="60">
        <v>0.21</v>
      </c>
      <c r="D1294" s="47" t="s">
        <v>1839</v>
      </c>
      <c r="E1294" s="47" t="s">
        <v>1839</v>
      </c>
      <c r="F1294" s="47" t="s">
        <v>1839</v>
      </c>
      <c r="G1294" s="48">
        <v>0.1016</v>
      </c>
      <c r="H1294" s="48">
        <v>0.1016</v>
      </c>
      <c r="I1294" s="48">
        <v>0.1446274464731381</v>
      </c>
      <c r="K1294" s="62">
        <v>0</v>
      </c>
      <c r="M1294" s="64"/>
      <c r="N1294" s="64"/>
    </row>
    <row r="1295" spans="1:14" x14ac:dyDescent="0.25">
      <c r="A1295" s="45" t="s">
        <v>1365</v>
      </c>
      <c r="B1295" s="46">
        <v>4000</v>
      </c>
      <c r="C1295" s="60">
        <v>0.21</v>
      </c>
      <c r="D1295" s="47" t="s">
        <v>1839</v>
      </c>
      <c r="E1295" s="47" t="s">
        <v>1839</v>
      </c>
      <c r="F1295" s="47" t="s">
        <v>1839</v>
      </c>
      <c r="G1295" s="48">
        <v>0.1489</v>
      </c>
      <c r="H1295" s="48">
        <v>0.1489</v>
      </c>
      <c r="I1295" s="48">
        <v>0.20518571492909801</v>
      </c>
      <c r="K1295" s="62">
        <v>0</v>
      </c>
      <c r="M1295" s="64"/>
      <c r="N1295" s="64"/>
    </row>
    <row r="1296" spans="1:14" x14ac:dyDescent="0.25">
      <c r="A1296" s="45" t="s">
        <v>1366</v>
      </c>
      <c r="B1296" s="46">
        <v>4000</v>
      </c>
      <c r="C1296" s="60">
        <v>0.21</v>
      </c>
      <c r="D1296" s="47" t="s">
        <v>1839</v>
      </c>
      <c r="E1296" s="47" t="s">
        <v>1839</v>
      </c>
      <c r="F1296" s="47" t="s">
        <v>1839</v>
      </c>
      <c r="G1296" s="48">
        <v>0.25430000000000003</v>
      </c>
      <c r="H1296" s="48">
        <v>0.25430000000000003</v>
      </c>
      <c r="I1296" s="48">
        <v>0.32928920670977008</v>
      </c>
      <c r="K1296" s="62">
        <v>0</v>
      </c>
      <c r="M1296" s="64"/>
      <c r="N1296" s="64"/>
    </row>
    <row r="1297" spans="1:14" x14ac:dyDescent="0.25">
      <c r="A1297" s="45" t="s">
        <v>1367</v>
      </c>
      <c r="B1297" s="46">
        <v>9030.619999999999</v>
      </c>
      <c r="C1297" s="60">
        <v>0.21</v>
      </c>
      <c r="D1297" s="47" t="s">
        <v>1839</v>
      </c>
      <c r="E1297" s="47" t="s">
        <v>1839</v>
      </c>
      <c r="F1297" s="47" t="s">
        <v>1839</v>
      </c>
      <c r="G1297" s="48">
        <v>0.17449999999999999</v>
      </c>
      <c r="H1297" s="48">
        <v>0.17449999999999999</v>
      </c>
      <c r="I1297" s="48">
        <v>0.26516402501852437</v>
      </c>
      <c r="K1297" s="62">
        <v>0</v>
      </c>
      <c r="M1297" s="64"/>
      <c r="N1297" s="64"/>
    </row>
    <row r="1298" spans="1:14" x14ac:dyDescent="0.25">
      <c r="A1298" s="45" t="s">
        <v>1368</v>
      </c>
      <c r="B1298" s="46">
        <v>796.72</v>
      </c>
      <c r="C1298" s="60">
        <v>0.21</v>
      </c>
      <c r="D1298" s="47">
        <v>1299</v>
      </c>
      <c r="E1298" s="47" t="s">
        <v>1839</v>
      </c>
      <c r="F1298" s="47" t="s">
        <v>1839</v>
      </c>
      <c r="G1298" s="48">
        <v>0.16600000000000001</v>
      </c>
      <c r="H1298" s="48">
        <v>0.16600000000000001</v>
      </c>
      <c r="I1298" s="48">
        <v>0.24701901585426581</v>
      </c>
      <c r="K1298" s="62">
        <v>0</v>
      </c>
      <c r="M1298" s="64"/>
      <c r="N1298" s="64"/>
    </row>
    <row r="1299" spans="1:14" x14ac:dyDescent="0.25">
      <c r="A1299" s="45" t="s">
        <v>1369</v>
      </c>
      <c r="B1299" s="46">
        <v>1348.72</v>
      </c>
      <c r="C1299" s="60">
        <v>0.21</v>
      </c>
      <c r="D1299" s="47">
        <v>2199</v>
      </c>
      <c r="E1299" s="47" t="s">
        <v>1839</v>
      </c>
      <c r="F1299" s="47" t="s">
        <v>1839</v>
      </c>
      <c r="G1299" s="48">
        <v>0.16739999999999999</v>
      </c>
      <c r="H1299" s="48">
        <v>0.16739999999999999</v>
      </c>
      <c r="I1299" s="48">
        <v>0.2363813116555443</v>
      </c>
      <c r="K1299" s="62">
        <v>0</v>
      </c>
      <c r="M1299" s="64"/>
      <c r="N1299" s="64"/>
    </row>
    <row r="1300" spans="1:14" x14ac:dyDescent="0.25">
      <c r="A1300" s="45" t="s">
        <v>1370</v>
      </c>
      <c r="B1300" s="46">
        <v>671.95384615384614</v>
      </c>
      <c r="C1300" s="60">
        <v>0.21</v>
      </c>
      <c r="D1300" s="47">
        <v>949.5</v>
      </c>
      <c r="E1300" s="47" t="s">
        <v>1839</v>
      </c>
      <c r="F1300" s="47" t="s">
        <v>1839</v>
      </c>
      <c r="G1300" s="48">
        <v>0.16739999999999999</v>
      </c>
      <c r="H1300" s="48">
        <v>0.16739999999999999</v>
      </c>
      <c r="I1300" s="48">
        <v>0.25238309797987329</v>
      </c>
      <c r="K1300" s="62">
        <v>0</v>
      </c>
      <c r="M1300" s="64"/>
      <c r="N1300" s="64"/>
    </row>
    <row r="1301" spans="1:14" x14ac:dyDescent="0.25">
      <c r="A1301" s="45" t="s">
        <v>1371</v>
      </c>
      <c r="B1301" s="46">
        <v>33968.523076923077</v>
      </c>
      <c r="C1301" s="60">
        <v>0.105</v>
      </c>
      <c r="D1301" s="47">
        <v>47999</v>
      </c>
      <c r="E1301" s="47" t="s">
        <v>1839</v>
      </c>
      <c r="F1301" s="47" t="s">
        <v>1839</v>
      </c>
      <c r="G1301" s="48">
        <v>0.1623</v>
      </c>
      <c r="H1301" s="48">
        <v>0.1623</v>
      </c>
      <c r="I1301" s="48">
        <v>0.22556109690245871</v>
      </c>
      <c r="K1301" s="62">
        <v>0</v>
      </c>
      <c r="M1301" s="64"/>
      <c r="N1301" s="64"/>
    </row>
    <row r="1302" spans="1:14" x14ac:dyDescent="0.25">
      <c r="A1302" s="45" t="s">
        <v>1372</v>
      </c>
      <c r="B1302" s="46">
        <v>9906.9846153846138</v>
      </c>
      <c r="C1302" s="60">
        <v>0.105</v>
      </c>
      <c r="D1302" s="47">
        <v>13999</v>
      </c>
      <c r="E1302" s="47" t="s">
        <v>1839</v>
      </c>
      <c r="F1302" s="47" t="s">
        <v>1839</v>
      </c>
      <c r="G1302" s="48">
        <v>0.16470000000000001</v>
      </c>
      <c r="H1302" s="48">
        <v>0.16470000000000001</v>
      </c>
      <c r="I1302" s="48">
        <v>0.23312155083702199</v>
      </c>
      <c r="K1302" s="62">
        <v>0</v>
      </c>
      <c r="M1302" s="64"/>
      <c r="N1302" s="64"/>
    </row>
    <row r="1303" spans="1:14" x14ac:dyDescent="0.25">
      <c r="A1303" s="45" t="s">
        <v>1373</v>
      </c>
      <c r="B1303" s="46">
        <v>17691.600000000002</v>
      </c>
      <c r="C1303" s="60">
        <v>0.105</v>
      </c>
      <c r="D1303" s="47">
        <v>24999</v>
      </c>
      <c r="E1303" s="47" t="s">
        <v>1839</v>
      </c>
      <c r="F1303" s="47" t="s">
        <v>1839</v>
      </c>
      <c r="G1303" s="48">
        <v>0.16020000000000001</v>
      </c>
      <c r="H1303" s="48">
        <v>0.16020000000000001</v>
      </c>
      <c r="I1303" s="48">
        <v>0.22620569542627911</v>
      </c>
      <c r="K1303" s="62">
        <v>0</v>
      </c>
      <c r="M1303" s="64"/>
      <c r="N1303" s="64"/>
    </row>
    <row r="1304" spans="1:14" x14ac:dyDescent="0.25">
      <c r="A1304" s="45" t="s">
        <v>1374</v>
      </c>
      <c r="B1304" s="46">
        <v>21230.061538461538</v>
      </c>
      <c r="C1304" s="60">
        <v>0.105</v>
      </c>
      <c r="D1304" s="47">
        <v>29999</v>
      </c>
      <c r="E1304" s="47" t="s">
        <v>1839</v>
      </c>
      <c r="F1304" s="47" t="s">
        <v>1839</v>
      </c>
      <c r="G1304" s="48">
        <v>0.16039999999999999</v>
      </c>
      <c r="H1304" s="48">
        <v>0.16039999999999999</v>
      </c>
      <c r="I1304" s="48">
        <v>0.2180913725194959</v>
      </c>
      <c r="K1304" s="62">
        <v>0</v>
      </c>
      <c r="M1304" s="64"/>
      <c r="N1304" s="64"/>
    </row>
    <row r="1305" spans="1:14" x14ac:dyDescent="0.25">
      <c r="A1305" s="45" t="s">
        <v>1375</v>
      </c>
      <c r="B1305" s="46">
        <v>15568.523076923077</v>
      </c>
      <c r="C1305" s="60">
        <v>0.105</v>
      </c>
      <c r="D1305" s="47">
        <v>21999</v>
      </c>
      <c r="E1305" s="47" t="s">
        <v>1839</v>
      </c>
      <c r="F1305" s="47" t="s">
        <v>1839</v>
      </c>
      <c r="G1305" s="48">
        <v>0.17280000000000001</v>
      </c>
      <c r="H1305" s="48">
        <v>0.17280000000000001</v>
      </c>
      <c r="I1305" s="48">
        <v>0.2396897830614895</v>
      </c>
      <c r="K1305" s="62">
        <v>0</v>
      </c>
      <c r="M1305" s="64"/>
      <c r="N1305" s="64"/>
    </row>
    <row r="1306" spans="1:14" x14ac:dyDescent="0.25">
      <c r="A1306" s="45" t="s">
        <v>1376</v>
      </c>
      <c r="B1306" s="46">
        <v>6368.5230769230775</v>
      </c>
      <c r="C1306" s="60">
        <v>0.21</v>
      </c>
      <c r="D1306" s="47">
        <v>8999</v>
      </c>
      <c r="E1306" s="47" t="s">
        <v>1839</v>
      </c>
      <c r="F1306" s="47" t="s">
        <v>1839</v>
      </c>
      <c r="G1306" s="48">
        <v>5.1200000000000002E-2</v>
      </c>
      <c r="H1306" s="48">
        <v>5.1200000000000002E-2</v>
      </c>
      <c r="I1306" s="48">
        <v>0.10135610667378329</v>
      </c>
      <c r="K1306" s="62">
        <v>0</v>
      </c>
      <c r="M1306" s="64"/>
      <c r="N1306" s="64"/>
    </row>
    <row r="1307" spans="1:14" x14ac:dyDescent="0.25">
      <c r="A1307" s="45" t="s">
        <v>1377</v>
      </c>
      <c r="B1307" s="46">
        <v>49537.046153846153</v>
      </c>
      <c r="C1307" s="60">
        <v>0.21</v>
      </c>
      <c r="D1307" s="47">
        <v>69998</v>
      </c>
      <c r="E1307" s="47" t="s">
        <v>1839</v>
      </c>
      <c r="F1307" s="47" t="s">
        <v>1839</v>
      </c>
      <c r="G1307" s="48">
        <v>0.16370000000000001</v>
      </c>
      <c r="H1307" s="48">
        <v>0.16370000000000001</v>
      </c>
      <c r="I1307" s="48">
        <v>0.21924147157851079</v>
      </c>
      <c r="K1307" s="62">
        <v>0</v>
      </c>
      <c r="M1307" s="64"/>
      <c r="N1307" s="64"/>
    </row>
    <row r="1308" spans="1:14" x14ac:dyDescent="0.25">
      <c r="A1308" s="45" t="s">
        <v>1378</v>
      </c>
      <c r="B1308" s="46">
        <v>45857.75384615385</v>
      </c>
      <c r="C1308" s="60">
        <v>0.105</v>
      </c>
      <c r="D1308" s="47">
        <v>64799</v>
      </c>
      <c r="E1308" s="47" t="s">
        <v>1839</v>
      </c>
      <c r="F1308" s="47" t="s">
        <v>1839</v>
      </c>
      <c r="G1308" s="48">
        <v>0.16089999999999999</v>
      </c>
      <c r="H1308" s="48">
        <v>0.16089999999999999</v>
      </c>
      <c r="I1308" s="48">
        <v>0.21489739351437001</v>
      </c>
      <c r="K1308" s="62">
        <v>0</v>
      </c>
      <c r="M1308" s="64"/>
      <c r="N1308" s="64"/>
    </row>
    <row r="1309" spans="1:14" x14ac:dyDescent="0.25">
      <c r="A1309" s="45" t="s">
        <v>1379</v>
      </c>
      <c r="B1309" s="46">
        <v>6580.830769230769</v>
      </c>
      <c r="C1309" s="60">
        <v>0.21</v>
      </c>
      <c r="D1309" s="47">
        <v>9299</v>
      </c>
      <c r="E1309" s="47" t="s">
        <v>1839</v>
      </c>
      <c r="F1309" s="47" t="s">
        <v>1839</v>
      </c>
      <c r="G1309" s="48">
        <v>0.16719999999999999</v>
      </c>
      <c r="H1309" s="48">
        <v>0.16719999999999999</v>
      </c>
      <c r="I1309" s="48">
        <v>0.2443458527439783</v>
      </c>
      <c r="K1309" s="62">
        <v>0</v>
      </c>
      <c r="M1309" s="64"/>
      <c r="N1309" s="64"/>
    </row>
    <row r="1310" spans="1:14" x14ac:dyDescent="0.25">
      <c r="A1310" s="45" t="s">
        <v>1380</v>
      </c>
      <c r="B1310" s="46">
        <v>3396.2153846153847</v>
      </c>
      <c r="C1310" s="60">
        <v>0.21</v>
      </c>
      <c r="D1310" s="47">
        <v>4799</v>
      </c>
      <c r="E1310" s="47" t="s">
        <v>1839</v>
      </c>
      <c r="F1310" s="47" t="s">
        <v>1839</v>
      </c>
      <c r="G1310" s="48">
        <v>0.16739999999999999</v>
      </c>
      <c r="H1310" s="48">
        <v>0.16739999999999999</v>
      </c>
      <c r="I1310" s="48">
        <v>0.2264245525458026</v>
      </c>
      <c r="K1310" s="62">
        <v>0</v>
      </c>
      <c r="M1310" s="64"/>
      <c r="N1310" s="64"/>
    </row>
    <row r="1311" spans="1:14" x14ac:dyDescent="0.25">
      <c r="A1311" s="45" t="s">
        <v>1381</v>
      </c>
      <c r="B1311" s="46">
        <v>4953.1384615384613</v>
      </c>
      <c r="C1311" s="60">
        <v>0.21</v>
      </c>
      <c r="D1311" s="47">
        <v>6999</v>
      </c>
      <c r="E1311" s="47" t="s">
        <v>1839</v>
      </c>
      <c r="F1311" s="47" t="s">
        <v>1839</v>
      </c>
      <c r="G1311" s="48">
        <v>0.1108</v>
      </c>
      <c r="H1311" s="48">
        <v>0.1108</v>
      </c>
      <c r="I1311" s="48">
        <v>0.18479846816355089</v>
      </c>
      <c r="K1311" s="62">
        <v>0</v>
      </c>
      <c r="M1311" s="64"/>
      <c r="N1311" s="64"/>
    </row>
    <row r="1312" spans="1:14" x14ac:dyDescent="0.25">
      <c r="A1312" s="45" t="s">
        <v>1382</v>
      </c>
      <c r="B1312" s="46">
        <v>2830.0615384615385</v>
      </c>
      <c r="C1312" s="60">
        <v>0.21</v>
      </c>
      <c r="D1312" s="47">
        <v>3999</v>
      </c>
      <c r="E1312" s="47" t="s">
        <v>1839</v>
      </c>
      <c r="F1312" s="47" t="s">
        <v>1839</v>
      </c>
      <c r="G1312" s="48">
        <v>5.3999999999999999E-2</v>
      </c>
      <c r="H1312" s="48">
        <v>5.3999999999999999E-2</v>
      </c>
      <c r="I1312" s="48">
        <v>8.5286902840737713E-2</v>
      </c>
      <c r="K1312" s="62">
        <v>0</v>
      </c>
      <c r="M1312" s="64"/>
      <c r="N1312" s="64"/>
    </row>
    <row r="1313" spans="1:14" x14ac:dyDescent="0.25">
      <c r="A1313" s="45" t="s">
        <v>1383</v>
      </c>
      <c r="B1313" s="46">
        <v>2648.864</v>
      </c>
      <c r="C1313" s="60">
        <v>0.21</v>
      </c>
      <c r="D1313" s="47">
        <v>3599</v>
      </c>
      <c r="E1313" s="47" t="s">
        <v>1839</v>
      </c>
      <c r="F1313" s="47" t="s">
        <v>1839</v>
      </c>
      <c r="G1313" s="48">
        <v>0.21490000000000001</v>
      </c>
      <c r="H1313" s="48">
        <v>0.21490000000000001</v>
      </c>
      <c r="I1313" s="48">
        <v>0.28588239985071512</v>
      </c>
      <c r="K1313" s="62">
        <v>0</v>
      </c>
      <c r="M1313" s="64"/>
      <c r="N1313" s="64"/>
    </row>
    <row r="1314" spans="1:14" x14ac:dyDescent="0.25">
      <c r="A1314" s="45" t="s">
        <v>1384</v>
      </c>
      <c r="B1314" s="46">
        <v>17544.600000000002</v>
      </c>
      <c r="C1314" s="60">
        <v>0.21</v>
      </c>
      <c r="D1314" s="47">
        <v>32760.75</v>
      </c>
      <c r="E1314" s="47">
        <v>40295.722499999996</v>
      </c>
      <c r="F1314" s="47" t="s">
        <v>1839</v>
      </c>
      <c r="G1314" s="48">
        <v>8.6800000000000002E-2</v>
      </c>
      <c r="H1314" s="48">
        <v>8.6800000000000002E-2</v>
      </c>
      <c r="I1314" s="48">
        <v>0.12827541651374941</v>
      </c>
      <c r="K1314" s="62">
        <v>0</v>
      </c>
      <c r="M1314" s="64"/>
      <c r="N1314" s="64"/>
    </row>
    <row r="1315" spans="1:14" x14ac:dyDescent="0.25">
      <c r="A1315" s="45" t="s">
        <v>1385</v>
      </c>
      <c r="B1315" s="46">
        <v>36458.910000000003</v>
      </c>
      <c r="C1315" s="60">
        <v>0.105</v>
      </c>
      <c r="D1315" s="47">
        <v>62171.443749999999</v>
      </c>
      <c r="E1315" s="47">
        <v>76470.875812500002</v>
      </c>
      <c r="F1315" s="47" t="s">
        <v>1839</v>
      </c>
      <c r="G1315" s="48">
        <v>0.13420000000000001</v>
      </c>
      <c r="H1315" s="48">
        <v>0.13420000000000001</v>
      </c>
      <c r="I1315" s="48">
        <v>0.18080174410225089</v>
      </c>
      <c r="K1315" s="62">
        <v>0</v>
      </c>
      <c r="M1315" s="64"/>
      <c r="N1315" s="64"/>
    </row>
    <row r="1316" spans="1:14" x14ac:dyDescent="0.25">
      <c r="A1316" s="45" t="s">
        <v>1386</v>
      </c>
      <c r="B1316" s="46">
        <v>58834.35</v>
      </c>
      <c r="C1316" s="60">
        <v>0.105</v>
      </c>
      <c r="D1316" s="47">
        <v>100327.09375</v>
      </c>
      <c r="E1316" s="47">
        <v>123402.3253125</v>
      </c>
      <c r="F1316" s="47" t="s">
        <v>1839</v>
      </c>
      <c r="G1316" s="48">
        <v>0.14069999999999999</v>
      </c>
      <c r="H1316" s="48">
        <v>0.14069999999999999</v>
      </c>
      <c r="I1316" s="48">
        <v>0.1875308157266509</v>
      </c>
      <c r="K1316" s="62">
        <v>0</v>
      </c>
      <c r="M1316" s="64"/>
      <c r="N1316" s="64"/>
    </row>
    <row r="1317" spans="1:14" x14ac:dyDescent="0.25">
      <c r="A1317" s="45" t="s">
        <v>1387</v>
      </c>
      <c r="B1317" s="46">
        <v>65568.69</v>
      </c>
      <c r="C1317" s="60">
        <v>0.105</v>
      </c>
      <c r="D1317" s="47">
        <v>111810.80625000001</v>
      </c>
      <c r="E1317" s="47">
        <v>137527.29168750002</v>
      </c>
      <c r="F1317" s="47" t="s">
        <v>1839</v>
      </c>
      <c r="G1317" s="48">
        <v>0.1376</v>
      </c>
      <c r="H1317" s="48">
        <v>0.1376</v>
      </c>
      <c r="I1317" s="48">
        <v>0.18452473318491239</v>
      </c>
      <c r="K1317" s="62">
        <v>0</v>
      </c>
      <c r="M1317" s="64"/>
      <c r="N1317" s="64"/>
    </row>
    <row r="1318" spans="1:14" x14ac:dyDescent="0.25">
      <c r="A1318" s="45" t="s">
        <v>1388</v>
      </c>
      <c r="B1318" s="46">
        <v>64684.979999999996</v>
      </c>
      <c r="C1318" s="60">
        <v>0.105</v>
      </c>
      <c r="D1318" s="47">
        <v>110303.86249999999</v>
      </c>
      <c r="E1318" s="47">
        <v>135673.750875</v>
      </c>
      <c r="F1318" s="47" t="s">
        <v>1839</v>
      </c>
      <c r="G1318" s="48">
        <v>0.14169999999999999</v>
      </c>
      <c r="H1318" s="48">
        <v>0.14169999999999999</v>
      </c>
      <c r="I1318" s="48">
        <v>0.18852252570767511</v>
      </c>
      <c r="K1318" s="62">
        <v>0</v>
      </c>
      <c r="M1318" s="64"/>
      <c r="N1318" s="64"/>
    </row>
    <row r="1319" spans="1:14" x14ac:dyDescent="0.25">
      <c r="A1319" s="45" t="s">
        <v>1389</v>
      </c>
      <c r="B1319" s="46">
        <v>29969.19</v>
      </c>
      <c r="C1319" s="60">
        <v>0.21</v>
      </c>
      <c r="D1319" s="47">
        <v>55960.987500000003</v>
      </c>
      <c r="E1319" s="47">
        <v>68832.014624999996</v>
      </c>
      <c r="F1319" s="47" t="s">
        <v>1839</v>
      </c>
      <c r="G1319" s="48">
        <v>9.6500000000000002E-2</v>
      </c>
      <c r="H1319" s="48">
        <v>9.6500000000000002E-2</v>
      </c>
      <c r="I1319" s="48">
        <v>0.13906324375038351</v>
      </c>
      <c r="K1319" s="62">
        <v>0</v>
      </c>
      <c r="M1319" s="64"/>
      <c r="N1319" s="64"/>
    </row>
    <row r="1320" spans="1:14" x14ac:dyDescent="0.25">
      <c r="A1320" s="45" t="s">
        <v>1390</v>
      </c>
      <c r="B1320" s="46">
        <v>29529.360000000001</v>
      </c>
      <c r="C1320" s="60">
        <v>0.21</v>
      </c>
      <c r="D1320" s="47">
        <v>55139.700000000004</v>
      </c>
      <c r="E1320" s="47">
        <v>67821.831000000006</v>
      </c>
      <c r="F1320" s="47" t="s">
        <v>1839</v>
      </c>
      <c r="G1320" s="48">
        <v>9.6100000000000005E-2</v>
      </c>
      <c r="H1320" s="48">
        <v>9.6100000000000005E-2</v>
      </c>
      <c r="I1320" s="48">
        <v>0.13877060018413079</v>
      </c>
      <c r="K1320" s="62">
        <v>0</v>
      </c>
      <c r="M1320" s="64"/>
      <c r="N1320" s="64"/>
    </row>
    <row r="1321" spans="1:14" x14ac:dyDescent="0.25">
      <c r="A1321" s="45" t="s">
        <v>1391</v>
      </c>
      <c r="B1321" s="46">
        <v>25619.49</v>
      </c>
      <c r="C1321" s="60">
        <v>0.21</v>
      </c>
      <c r="D1321" s="47">
        <v>47838.862499999996</v>
      </c>
      <c r="E1321" s="47">
        <v>58841.800874999994</v>
      </c>
      <c r="F1321" s="47" t="s">
        <v>1839</v>
      </c>
      <c r="G1321" s="48">
        <v>9.2499999999999999E-2</v>
      </c>
      <c r="H1321" s="48">
        <v>9.2499999999999999E-2</v>
      </c>
      <c r="I1321" s="48">
        <v>0.13472593834180849</v>
      </c>
      <c r="K1321" s="62">
        <v>0</v>
      </c>
      <c r="M1321" s="64"/>
      <c r="N1321" s="64"/>
    </row>
    <row r="1322" spans="1:14" x14ac:dyDescent="0.25">
      <c r="A1322" s="45" t="s">
        <v>1392</v>
      </c>
      <c r="B1322" s="46">
        <v>13070.16</v>
      </c>
      <c r="C1322" s="60">
        <v>0.21</v>
      </c>
      <c r="D1322" s="47">
        <v>24405.699999999997</v>
      </c>
      <c r="E1322" s="47">
        <v>30019.010999999995</v>
      </c>
      <c r="F1322" s="47" t="s">
        <v>1839</v>
      </c>
      <c r="G1322" s="48">
        <v>7.3300000000000004E-2</v>
      </c>
      <c r="H1322" s="48">
        <v>7.3300000000000004E-2</v>
      </c>
      <c r="I1322" s="48">
        <v>0.1096484708175948</v>
      </c>
      <c r="K1322" s="62">
        <v>0</v>
      </c>
      <c r="M1322" s="64"/>
      <c r="N1322" s="64"/>
    </row>
    <row r="1323" spans="1:14" x14ac:dyDescent="0.25">
      <c r="A1323" s="45" t="s">
        <v>1393</v>
      </c>
      <c r="B1323" s="46">
        <v>8343</v>
      </c>
      <c r="C1323" s="60">
        <v>0.21</v>
      </c>
      <c r="D1323" s="47">
        <v>15578.75</v>
      </c>
      <c r="E1323" s="47">
        <v>19161.862499999999</v>
      </c>
      <c r="F1323" s="47" t="s">
        <v>1839</v>
      </c>
      <c r="G1323" s="48">
        <v>4.9099999999999998E-2</v>
      </c>
      <c r="H1323" s="48">
        <v>4.9099999999999998E-2</v>
      </c>
      <c r="I1323" s="48">
        <v>7.9110367282537619E-2</v>
      </c>
      <c r="K1323" s="62">
        <v>0</v>
      </c>
      <c r="M1323" s="64"/>
      <c r="N1323" s="64"/>
    </row>
    <row r="1324" spans="1:14" x14ac:dyDescent="0.25">
      <c r="A1324" s="45" t="s">
        <v>1394</v>
      </c>
      <c r="B1324" s="46">
        <v>71326.98</v>
      </c>
      <c r="C1324" s="60">
        <v>0.21</v>
      </c>
      <c r="D1324" s="47">
        <v>133187.72499999998</v>
      </c>
      <c r="E1324" s="47">
        <v>163820.90174999996</v>
      </c>
      <c r="F1324" s="47" t="s">
        <v>1839</v>
      </c>
      <c r="G1324" s="48">
        <v>0.1239</v>
      </c>
      <c r="H1324" s="48">
        <v>0.1239</v>
      </c>
      <c r="I1324" s="48">
        <v>0.1638520331940958</v>
      </c>
      <c r="K1324" s="62">
        <v>0</v>
      </c>
      <c r="M1324" s="64"/>
      <c r="N1324" s="64"/>
    </row>
    <row r="1325" spans="1:14" x14ac:dyDescent="0.25">
      <c r="A1325" s="45" t="s">
        <v>1395</v>
      </c>
      <c r="B1325" s="46">
        <v>78264.63</v>
      </c>
      <c r="C1325" s="60">
        <v>0.21</v>
      </c>
      <c r="D1325" s="47">
        <v>146142.28750000001</v>
      </c>
      <c r="E1325" s="47">
        <v>179755.01362499999</v>
      </c>
      <c r="F1325" s="47" t="s">
        <v>1839</v>
      </c>
      <c r="G1325" s="48">
        <v>0.10929999999999999</v>
      </c>
      <c r="H1325" s="48">
        <v>0.10929999999999999</v>
      </c>
      <c r="I1325" s="48">
        <v>0.15214612875209019</v>
      </c>
      <c r="K1325" s="62">
        <v>0</v>
      </c>
      <c r="M1325" s="64"/>
      <c r="N1325" s="64"/>
    </row>
    <row r="1326" spans="1:14" x14ac:dyDescent="0.25">
      <c r="A1326" s="45" t="s">
        <v>1396</v>
      </c>
      <c r="B1326" s="46">
        <v>79303.860000000015</v>
      </c>
      <c r="C1326" s="60">
        <v>0.21</v>
      </c>
      <c r="D1326" s="47">
        <v>148082.82499999998</v>
      </c>
      <c r="E1326" s="47">
        <v>182141.87474999999</v>
      </c>
      <c r="F1326" s="47" t="s">
        <v>1839</v>
      </c>
      <c r="G1326" s="48">
        <v>0.1115</v>
      </c>
      <c r="H1326" s="48">
        <v>0.1115</v>
      </c>
      <c r="I1326" s="48">
        <v>0.15387614750100401</v>
      </c>
      <c r="K1326" s="62">
        <v>0</v>
      </c>
      <c r="M1326" s="64"/>
      <c r="N1326" s="64"/>
    </row>
    <row r="1327" spans="1:14" x14ac:dyDescent="0.25">
      <c r="A1327" s="45" t="s">
        <v>1397</v>
      </c>
      <c r="B1327" s="46">
        <v>87813.72</v>
      </c>
      <c r="C1327" s="60">
        <v>0.21</v>
      </c>
      <c r="D1327" s="47">
        <v>163973.15</v>
      </c>
      <c r="E1327" s="47">
        <v>201686.97449999998</v>
      </c>
      <c r="F1327" s="47" t="s">
        <v>1839</v>
      </c>
      <c r="G1327" s="48">
        <v>0.11269999999999999</v>
      </c>
      <c r="H1327" s="48">
        <v>0.11269999999999999</v>
      </c>
      <c r="I1327" s="48">
        <v>0.15484283780893651</v>
      </c>
      <c r="K1327" s="62">
        <v>0</v>
      </c>
      <c r="M1327" s="64"/>
      <c r="N1327" s="64"/>
    </row>
    <row r="1328" spans="1:14" x14ac:dyDescent="0.25">
      <c r="A1328" s="45" t="s">
        <v>1398</v>
      </c>
      <c r="B1328" s="46">
        <v>99126.99</v>
      </c>
      <c r="C1328" s="60">
        <v>0.21</v>
      </c>
      <c r="D1328" s="47">
        <v>185098.23749999999</v>
      </c>
      <c r="E1328" s="47">
        <v>227670.83212499999</v>
      </c>
      <c r="F1328" s="47" t="s">
        <v>1839</v>
      </c>
      <c r="G1328" s="48">
        <v>0.10920000000000001</v>
      </c>
      <c r="H1328" s="48">
        <v>0.10920000000000001</v>
      </c>
      <c r="I1328" s="48">
        <v>0.15203121788743659</v>
      </c>
      <c r="K1328" s="62">
        <v>0</v>
      </c>
      <c r="M1328" s="64"/>
      <c r="N1328" s="64"/>
    </row>
    <row r="1329" spans="1:14" x14ac:dyDescent="0.25">
      <c r="A1329" s="45" t="s">
        <v>1399</v>
      </c>
      <c r="B1329" s="46">
        <v>42021.180000000008</v>
      </c>
      <c r="C1329" s="60">
        <v>0.21</v>
      </c>
      <c r="D1329" s="47">
        <v>78465.474999999991</v>
      </c>
      <c r="E1329" s="47">
        <v>96512.534249999982</v>
      </c>
      <c r="F1329" s="47" t="s">
        <v>1839</v>
      </c>
      <c r="G1329" s="48">
        <v>0.10050000000000001</v>
      </c>
      <c r="H1329" s="48">
        <v>0.10050000000000001</v>
      </c>
      <c r="I1329" s="48">
        <v>0.14402524645137549</v>
      </c>
      <c r="K1329" s="62">
        <v>0</v>
      </c>
      <c r="M1329" s="64"/>
      <c r="N1329" s="64"/>
    </row>
    <row r="1330" spans="1:14" x14ac:dyDescent="0.25">
      <c r="A1330" s="45" t="s">
        <v>1400</v>
      </c>
      <c r="B1330" s="46">
        <v>2982.9904999999994</v>
      </c>
      <c r="C1330" s="60">
        <v>0.21</v>
      </c>
      <c r="D1330" s="47">
        <v>5812.11949</v>
      </c>
      <c r="E1330" s="47">
        <v>7878.03874</v>
      </c>
      <c r="F1330" s="47">
        <v>5509.1180000000004</v>
      </c>
      <c r="G1330" s="48">
        <v>0.14330000000000001</v>
      </c>
      <c r="H1330" s="48">
        <v>0.14330000000000001</v>
      </c>
      <c r="I1330" s="48">
        <v>0.17189051748102949</v>
      </c>
      <c r="K1330" s="62">
        <v>0</v>
      </c>
      <c r="M1330" s="64"/>
      <c r="N1330" s="64"/>
    </row>
    <row r="1331" spans="1:14" x14ac:dyDescent="0.25">
      <c r="A1331" s="45" t="s">
        <v>1401</v>
      </c>
      <c r="B1331" s="46">
        <v>2851.3204999999998</v>
      </c>
      <c r="C1331" s="60">
        <v>0.21</v>
      </c>
      <c r="D1331" s="47">
        <v>5833.3481999999995</v>
      </c>
      <c r="E1331" s="47">
        <v>7906.8131999999996</v>
      </c>
      <c r="F1331" s="47">
        <v>5529.24</v>
      </c>
      <c r="G1331" s="48">
        <v>0.14710000000000001</v>
      </c>
      <c r="H1331" s="48">
        <v>0.14710000000000001</v>
      </c>
      <c r="K1331" s="62">
        <v>0</v>
      </c>
      <c r="M1331" s="64"/>
      <c r="N1331" s="64"/>
    </row>
    <row r="1332" spans="1:14" x14ac:dyDescent="0.25">
      <c r="A1332" s="45" t="s">
        <v>1402</v>
      </c>
      <c r="B1332" s="46">
        <v>70421.628499999992</v>
      </c>
      <c r="C1332" s="60">
        <v>0.21</v>
      </c>
      <c r="D1332" s="47" t="s">
        <v>1839</v>
      </c>
      <c r="E1332" s="47" t="s">
        <v>1839</v>
      </c>
      <c r="F1332" s="47" t="s">
        <v>1839</v>
      </c>
      <c r="G1332" s="48">
        <v>0.15659999999999999</v>
      </c>
      <c r="H1332" s="48">
        <v>0.15659999999999999</v>
      </c>
      <c r="I1332" s="48">
        <v>0.21493827835763751</v>
      </c>
      <c r="K1332" s="62">
        <v>0</v>
      </c>
      <c r="M1332" s="64"/>
      <c r="N1332" s="64"/>
    </row>
    <row r="1333" spans="1:14" x14ac:dyDescent="0.25">
      <c r="A1333" s="45" t="s">
        <v>1403</v>
      </c>
      <c r="B1333" s="46">
        <v>65264.249500000005</v>
      </c>
      <c r="C1333" s="60">
        <v>0.105</v>
      </c>
      <c r="D1333" s="47">
        <v>121933.71179</v>
      </c>
      <c r="E1333" s="47">
        <v>165275.07853999999</v>
      </c>
      <c r="F1333" s="47">
        <v>115576.978</v>
      </c>
      <c r="G1333" s="48">
        <v>0.2051</v>
      </c>
      <c r="H1333" s="48">
        <v>0.2051</v>
      </c>
      <c r="I1333" s="48">
        <v>0.21882639475330809</v>
      </c>
      <c r="K1333" s="62">
        <v>0</v>
      </c>
      <c r="M1333" s="64"/>
      <c r="N1333" s="64"/>
    </row>
    <row r="1334" spans="1:14" x14ac:dyDescent="0.25">
      <c r="A1334" s="45" t="s">
        <v>1404</v>
      </c>
      <c r="B1334" s="46">
        <v>45563.871500000001</v>
      </c>
      <c r="C1334" s="60">
        <v>0.21</v>
      </c>
      <c r="D1334" s="47" t="s">
        <v>1839</v>
      </c>
      <c r="E1334" s="47" t="s">
        <v>1839</v>
      </c>
      <c r="F1334" s="47" t="s">
        <v>1839</v>
      </c>
      <c r="G1334" s="48">
        <v>4.7399999999999998E-2</v>
      </c>
      <c r="H1334" s="48">
        <v>4.7399999999999998E-2</v>
      </c>
      <c r="I1334" s="48">
        <v>6.9536565474007619E-2</v>
      </c>
      <c r="K1334" s="62">
        <v>0</v>
      </c>
      <c r="M1334" s="64"/>
      <c r="N1334" s="64"/>
    </row>
    <row r="1335" spans="1:14" x14ac:dyDescent="0.25">
      <c r="A1335" s="45" t="s">
        <v>1405</v>
      </c>
      <c r="B1335" s="46">
        <v>50863.665000000001</v>
      </c>
      <c r="C1335" s="60">
        <v>0.105</v>
      </c>
      <c r="D1335" s="47" t="s">
        <v>1839</v>
      </c>
      <c r="E1335" s="47" t="s">
        <v>1839</v>
      </c>
      <c r="F1335" s="47" t="s">
        <v>1839</v>
      </c>
      <c r="G1335" s="48">
        <v>0.1045</v>
      </c>
      <c r="H1335" s="48">
        <v>0.1045</v>
      </c>
      <c r="I1335" s="48">
        <v>0.14282847612065969</v>
      </c>
      <c r="K1335" s="62">
        <v>0</v>
      </c>
      <c r="M1335" s="64"/>
      <c r="N1335" s="64"/>
    </row>
    <row r="1336" spans="1:14" x14ac:dyDescent="0.25">
      <c r="A1336" s="45" t="s">
        <v>1406</v>
      </c>
      <c r="B1336" s="46">
        <v>5096.7214999999997</v>
      </c>
      <c r="C1336" s="60">
        <v>0.21</v>
      </c>
      <c r="D1336" s="47" t="s">
        <v>1839</v>
      </c>
      <c r="E1336" s="47" t="s">
        <v>1839</v>
      </c>
      <c r="F1336" s="47" t="s">
        <v>1839</v>
      </c>
      <c r="G1336" s="48">
        <v>3.5999999999999997E-2</v>
      </c>
      <c r="H1336" s="48">
        <v>3.5999999999999997E-2</v>
      </c>
      <c r="I1336" s="48">
        <v>5.2023860626948318E-2</v>
      </c>
      <c r="K1336" s="62">
        <v>0</v>
      </c>
      <c r="M1336" s="64"/>
      <c r="N1336" s="64"/>
    </row>
    <row r="1337" spans="1:14" x14ac:dyDescent="0.25">
      <c r="A1337" s="45" t="s">
        <v>1407</v>
      </c>
      <c r="B1337" s="46">
        <v>29691.480499999998</v>
      </c>
      <c r="C1337" s="60">
        <v>0.105</v>
      </c>
      <c r="D1337" s="47" t="s">
        <v>1839</v>
      </c>
      <c r="E1337" s="47" t="s">
        <v>1839</v>
      </c>
      <c r="F1337" s="47" t="s">
        <v>1839</v>
      </c>
      <c r="G1337" s="48">
        <v>3.5999999999999997E-2</v>
      </c>
      <c r="H1337" s="48">
        <v>3.5999999999999997E-2</v>
      </c>
      <c r="I1337" s="48">
        <v>5.2020016389938188E-2</v>
      </c>
      <c r="K1337" s="62">
        <v>0</v>
      </c>
      <c r="M1337" s="64"/>
      <c r="N1337" s="64"/>
    </row>
    <row r="1338" spans="1:14" x14ac:dyDescent="0.25">
      <c r="A1338" s="45" t="s">
        <v>1408</v>
      </c>
      <c r="B1338" s="46">
        <v>56021.347999999991</v>
      </c>
      <c r="C1338" s="60">
        <v>0.21</v>
      </c>
      <c r="D1338" s="47" t="s">
        <v>1839</v>
      </c>
      <c r="E1338" s="47" t="s">
        <v>1839</v>
      </c>
      <c r="F1338" s="47" t="s">
        <v>1839</v>
      </c>
      <c r="G1338" s="48">
        <v>9.7299999999999998E-2</v>
      </c>
      <c r="H1338" s="48">
        <v>9.7299999999999998E-2</v>
      </c>
      <c r="I1338" s="48">
        <v>0.13508893933768179</v>
      </c>
      <c r="K1338" s="62">
        <v>0</v>
      </c>
      <c r="M1338" s="64"/>
      <c r="N1338" s="64"/>
    </row>
    <row r="1339" spans="1:14" x14ac:dyDescent="0.25">
      <c r="A1339" s="45" t="s">
        <v>1409</v>
      </c>
      <c r="B1339" s="46">
        <v>477782.68300000002</v>
      </c>
      <c r="C1339" s="60">
        <v>0.21</v>
      </c>
      <c r="D1339" s="47">
        <v>943760.86962999997</v>
      </c>
      <c r="E1339" s="47">
        <v>1279220.89438</v>
      </c>
      <c r="F1339" s="47">
        <v>894560.06599999999</v>
      </c>
      <c r="G1339" s="48">
        <v>0.1278</v>
      </c>
      <c r="H1339" s="48">
        <v>0.1278</v>
      </c>
      <c r="I1339" s="48">
        <v>0.168822547182708</v>
      </c>
      <c r="K1339" s="62">
        <v>0</v>
      </c>
      <c r="M1339" s="64"/>
      <c r="N1339" s="64"/>
    </row>
    <row r="1340" spans="1:14" x14ac:dyDescent="0.25">
      <c r="A1340" s="45" t="s">
        <v>1410</v>
      </c>
      <c r="B1340" s="46">
        <v>6571.2070000000003</v>
      </c>
      <c r="C1340" s="60">
        <v>0.21</v>
      </c>
      <c r="D1340" s="47">
        <v>13443.62868</v>
      </c>
      <c r="E1340" s="47">
        <v>18222.169679999999</v>
      </c>
      <c r="F1340" s="47">
        <v>12742.776</v>
      </c>
      <c r="G1340" s="48">
        <v>9.1800000000000007E-2</v>
      </c>
      <c r="H1340" s="48">
        <v>9.1800000000000007E-2</v>
      </c>
      <c r="I1340" s="48">
        <v>0.17189124813673701</v>
      </c>
      <c r="K1340" s="62">
        <v>0</v>
      </c>
      <c r="M1340" s="64"/>
      <c r="N1340" s="64"/>
    </row>
    <row r="1341" spans="1:14" x14ac:dyDescent="0.25">
      <c r="A1341" s="45" t="s">
        <v>1411</v>
      </c>
      <c r="B1341" s="46">
        <v>2876.22</v>
      </c>
      <c r="C1341" s="60">
        <v>0.21</v>
      </c>
      <c r="D1341" s="47">
        <v>5884.282545</v>
      </c>
      <c r="E1341" s="47">
        <v>7975.8521700000001</v>
      </c>
      <c r="F1341" s="47">
        <v>5577.5190000000002</v>
      </c>
      <c r="G1341" s="48">
        <v>0.13950000000000001</v>
      </c>
      <c r="H1341" s="48">
        <v>0.13950000000000001</v>
      </c>
      <c r="I1341" s="48">
        <v>0.1718913308374963</v>
      </c>
      <c r="K1341" s="62">
        <v>0</v>
      </c>
      <c r="M1341" s="64"/>
      <c r="N1341" s="64"/>
    </row>
    <row r="1342" spans="1:14" x14ac:dyDescent="0.25">
      <c r="A1342" s="45" t="s">
        <v>1412</v>
      </c>
      <c r="B1342" s="46">
        <v>94272.262000000002</v>
      </c>
      <c r="C1342" s="60">
        <v>0.105</v>
      </c>
      <c r="D1342" s="47">
        <v>176129.61249999999</v>
      </c>
      <c r="E1342" s="47">
        <v>238734.92499999999</v>
      </c>
      <c r="F1342" s="47">
        <v>166947.5</v>
      </c>
      <c r="G1342" s="48">
        <v>0.20660000000000001</v>
      </c>
      <c r="H1342" s="48">
        <v>0.20660000000000001</v>
      </c>
      <c r="I1342" s="48">
        <v>0.22193054059425579</v>
      </c>
      <c r="K1342" s="62">
        <v>0</v>
      </c>
      <c r="M1342" s="64"/>
      <c r="N1342" s="64"/>
    </row>
    <row r="1343" spans="1:14" x14ac:dyDescent="0.25">
      <c r="A1343" s="45" t="s">
        <v>1413</v>
      </c>
      <c r="B1343" s="46">
        <v>25011.020499999999</v>
      </c>
      <c r="C1343" s="60">
        <v>0.21</v>
      </c>
      <c r="D1343" s="47">
        <v>51168.528624999999</v>
      </c>
      <c r="E1343" s="47">
        <v>69356.394249999998</v>
      </c>
      <c r="F1343" s="47">
        <v>48500.974999999999</v>
      </c>
      <c r="G1343" s="48">
        <v>0.14699999999999999</v>
      </c>
      <c r="H1343" s="48">
        <v>0.14699999999999999</v>
      </c>
      <c r="I1343" s="48">
        <v>0.1718914235317088</v>
      </c>
      <c r="K1343" s="62">
        <v>0</v>
      </c>
      <c r="M1343" s="64"/>
      <c r="N1343" s="64"/>
    </row>
    <row r="1344" spans="1:14" x14ac:dyDescent="0.25">
      <c r="A1344" s="45" t="s">
        <v>1414</v>
      </c>
      <c r="B1344" s="46">
        <v>21644.134999999998</v>
      </c>
      <c r="C1344" s="60">
        <v>0.21</v>
      </c>
      <c r="D1344" s="47">
        <v>44280.430459999996</v>
      </c>
      <c r="E1344" s="47">
        <v>60019.919959999999</v>
      </c>
      <c r="F1344" s="47">
        <v>41971.972000000002</v>
      </c>
      <c r="G1344" s="48">
        <v>0.15629999999999999</v>
      </c>
      <c r="H1344" s="48">
        <v>0.15629999999999999</v>
      </c>
      <c r="I1344" s="48">
        <v>0.19441742439032289</v>
      </c>
      <c r="K1344" s="62">
        <v>0</v>
      </c>
      <c r="M1344" s="64"/>
      <c r="N1344" s="64"/>
    </row>
    <row r="1345" spans="1:14" x14ac:dyDescent="0.25">
      <c r="A1345" s="45" t="s">
        <v>1415</v>
      </c>
      <c r="B1345" s="46">
        <v>10100.637499999999</v>
      </c>
      <c r="C1345" s="60">
        <v>0.21</v>
      </c>
      <c r="D1345" s="47">
        <v>20664.280779999997</v>
      </c>
      <c r="E1345" s="47">
        <v>28009.404279999999</v>
      </c>
      <c r="F1345" s="47">
        <v>19586.995999999999</v>
      </c>
      <c r="G1345" s="48">
        <v>0.11799999999999999</v>
      </c>
      <c r="H1345" s="48">
        <v>0.11799999999999999</v>
      </c>
      <c r="I1345" s="48">
        <v>0.17189114101271391</v>
      </c>
      <c r="K1345" s="62">
        <v>0</v>
      </c>
      <c r="M1345" s="64"/>
      <c r="N1345" s="64"/>
    </row>
    <row r="1346" spans="1:14" x14ac:dyDescent="0.25">
      <c r="A1346" s="45" t="s">
        <v>1416</v>
      </c>
      <c r="B1346" s="46">
        <v>8080.491</v>
      </c>
      <c r="C1346" s="60">
        <v>0.21</v>
      </c>
      <c r="D1346" s="47">
        <v>16531.386854999997</v>
      </c>
      <c r="E1346" s="47">
        <v>22407.472229999999</v>
      </c>
      <c r="F1346" s="47">
        <v>15669.561</v>
      </c>
      <c r="G1346" s="48">
        <v>0.10580000000000001</v>
      </c>
      <c r="H1346" s="48">
        <v>0.10580000000000001</v>
      </c>
      <c r="I1346" s="48">
        <v>0.17189138158737491</v>
      </c>
      <c r="K1346" s="62">
        <v>0</v>
      </c>
      <c r="M1346" s="64"/>
      <c r="N1346" s="64"/>
    </row>
    <row r="1347" spans="1:14" x14ac:dyDescent="0.25">
      <c r="A1347" s="45" t="s">
        <v>1417</v>
      </c>
      <c r="B1347" s="46">
        <v>24840.4195</v>
      </c>
      <c r="C1347" s="60">
        <v>0.21</v>
      </c>
      <c r="D1347" s="47" t="s">
        <v>1839</v>
      </c>
      <c r="E1347" s="47" t="s">
        <v>1839</v>
      </c>
      <c r="F1347" s="47" t="s">
        <v>1839</v>
      </c>
      <c r="G1347" s="48">
        <v>0.16889999999999999</v>
      </c>
      <c r="H1347" s="48">
        <v>0.16889999999999999</v>
      </c>
      <c r="I1347" s="48">
        <v>0.23208049686823221</v>
      </c>
      <c r="K1347" s="62">
        <v>0</v>
      </c>
      <c r="M1347" s="64"/>
      <c r="N1347" s="64"/>
    </row>
    <row r="1348" spans="1:14" x14ac:dyDescent="0.25">
      <c r="A1348" s="45" t="s">
        <v>3654</v>
      </c>
      <c r="B1348" s="46">
        <v>27714.957999999999</v>
      </c>
      <c r="C1348" s="60">
        <v>0.105</v>
      </c>
      <c r="D1348" s="47" t="s">
        <v>1839</v>
      </c>
      <c r="E1348" s="47" t="s">
        <v>1839</v>
      </c>
      <c r="F1348" s="47" t="s">
        <v>1839</v>
      </c>
      <c r="G1348" s="48">
        <v>0.17829999999999999</v>
      </c>
      <c r="H1348" s="48">
        <v>0.17829999999999999</v>
      </c>
      <c r="I1348" s="48">
        <v>0.2448051876362447</v>
      </c>
      <c r="K1348" s="62">
        <v>0</v>
      </c>
      <c r="M1348" s="64"/>
      <c r="N1348" s="64"/>
    </row>
    <row r="1349" spans="1:14" x14ac:dyDescent="0.25">
      <c r="A1349" s="45" t="s">
        <v>3655</v>
      </c>
      <c r="B1349" s="46">
        <v>28153.269</v>
      </c>
      <c r="C1349" s="60">
        <v>0.105</v>
      </c>
      <c r="D1349" s="47" t="s">
        <v>1839</v>
      </c>
      <c r="E1349" s="47" t="s">
        <v>1839</v>
      </c>
      <c r="F1349" s="47" t="s">
        <v>1839</v>
      </c>
      <c r="G1349" s="48">
        <v>0.17030000000000001</v>
      </c>
      <c r="H1349" s="48">
        <v>0.17030000000000001</v>
      </c>
      <c r="I1349" s="48">
        <v>0.23019240144540631</v>
      </c>
      <c r="K1349" s="62">
        <v>0</v>
      </c>
      <c r="M1349" s="64"/>
      <c r="N1349" s="64"/>
    </row>
    <row r="1350" spans="1:14" x14ac:dyDescent="0.25">
      <c r="A1350" s="45" t="s">
        <v>1418</v>
      </c>
      <c r="B1350" s="46">
        <v>42255.981</v>
      </c>
      <c r="C1350" s="60">
        <v>0.21</v>
      </c>
      <c r="D1350" s="47" t="s">
        <v>1839</v>
      </c>
      <c r="E1350" s="47" t="s">
        <v>1839</v>
      </c>
      <c r="F1350" s="47" t="s">
        <v>1839</v>
      </c>
      <c r="G1350" s="48">
        <v>0.16159999999999999</v>
      </c>
      <c r="H1350" s="48">
        <v>0.16159999999999999</v>
      </c>
      <c r="I1350" s="48">
        <v>0.2186518616104797</v>
      </c>
      <c r="K1350" s="62">
        <v>0</v>
      </c>
      <c r="M1350" s="64"/>
      <c r="N1350" s="64"/>
    </row>
    <row r="1351" spans="1:14" x14ac:dyDescent="0.25">
      <c r="A1351" s="45" t="s">
        <v>1419</v>
      </c>
      <c r="B1351" s="46">
        <v>5795.6840000000002</v>
      </c>
      <c r="C1351" s="60">
        <v>0.21</v>
      </c>
      <c r="D1351" s="47">
        <v>11857.04372</v>
      </c>
      <c r="E1351" s="47">
        <v>16071.63272</v>
      </c>
      <c r="F1351" s="47">
        <v>11238.904</v>
      </c>
      <c r="G1351" s="48">
        <v>8.5900000000000004E-2</v>
      </c>
      <c r="H1351" s="48">
        <v>8.5900000000000004E-2</v>
      </c>
      <c r="I1351" s="48">
        <v>0.17189145985245349</v>
      </c>
      <c r="K1351" s="62">
        <v>0</v>
      </c>
      <c r="M1351" s="64"/>
      <c r="N1351" s="64"/>
    </row>
    <row r="1352" spans="1:14" x14ac:dyDescent="0.25">
      <c r="A1352" s="45" t="s">
        <v>1420</v>
      </c>
      <c r="B1352" s="46">
        <v>6691.2205000000004</v>
      </c>
      <c r="C1352" s="60">
        <v>0.21</v>
      </c>
      <c r="D1352" s="47">
        <v>13689.16094</v>
      </c>
      <c r="E1352" s="47">
        <v>18554.976439999999</v>
      </c>
      <c r="F1352" s="47">
        <v>12975.508</v>
      </c>
      <c r="G1352" s="48">
        <v>9.7299999999999998E-2</v>
      </c>
      <c r="H1352" s="48">
        <v>9.7299999999999998E-2</v>
      </c>
      <c r="I1352" s="48">
        <v>0.17189162150117701</v>
      </c>
      <c r="K1352" s="62">
        <v>0</v>
      </c>
      <c r="M1352" s="64"/>
      <c r="N1352" s="64"/>
    </row>
    <row r="1353" spans="1:14" x14ac:dyDescent="0.25">
      <c r="A1353" s="45" t="s">
        <v>1421</v>
      </c>
      <c r="B1353" s="46">
        <v>7345.2384999999995</v>
      </c>
      <c r="C1353" s="60">
        <v>0.21</v>
      </c>
      <c r="D1353" s="47">
        <v>15027.176294999999</v>
      </c>
      <c r="E1353" s="47">
        <v>20368.589670000001</v>
      </c>
      <c r="F1353" s="47">
        <v>14243.769</v>
      </c>
      <c r="G1353" s="48">
        <v>0.1038</v>
      </c>
      <c r="H1353" s="48">
        <v>0.1038</v>
      </c>
      <c r="I1353" s="48">
        <v>0.1718910915675522</v>
      </c>
      <c r="K1353" s="62">
        <v>0</v>
      </c>
      <c r="M1353" s="64"/>
      <c r="N1353" s="64"/>
    </row>
    <row r="1354" spans="1:14" x14ac:dyDescent="0.25">
      <c r="A1354" s="45" t="s">
        <v>1422</v>
      </c>
      <c r="B1354" s="46">
        <v>7677.2919999999995</v>
      </c>
      <c r="C1354" s="60">
        <v>0.21</v>
      </c>
      <c r="D1354" s="47">
        <v>15706.505564999999</v>
      </c>
      <c r="E1354" s="47">
        <v>21289.386689999999</v>
      </c>
      <c r="F1354" s="47">
        <v>14887.683000000001</v>
      </c>
      <c r="G1354" s="48">
        <v>0.1067</v>
      </c>
      <c r="H1354" s="48">
        <v>0.1067</v>
      </c>
      <c r="I1354" s="48">
        <v>0.17189141132088559</v>
      </c>
      <c r="K1354" s="62">
        <v>0</v>
      </c>
      <c r="M1354" s="64"/>
      <c r="N1354" s="64"/>
    </row>
    <row r="1355" spans="1:14" x14ac:dyDescent="0.25">
      <c r="A1355" s="45" t="s">
        <v>1423</v>
      </c>
      <c r="B1355" s="46">
        <v>6691.2205000000004</v>
      </c>
      <c r="C1355" s="60">
        <v>0.21</v>
      </c>
      <c r="D1355" s="47">
        <v>13689.16094</v>
      </c>
      <c r="E1355" s="47">
        <v>18554.976439999999</v>
      </c>
      <c r="F1355" s="47">
        <v>12975.508</v>
      </c>
      <c r="G1355" s="48">
        <v>5.6000000000000001E-2</v>
      </c>
      <c r="H1355" s="48">
        <v>5.6000000000000001E-2</v>
      </c>
      <c r="I1355" s="48">
        <v>0.17189162150117701</v>
      </c>
      <c r="K1355" s="62">
        <v>0</v>
      </c>
      <c r="M1355" s="64"/>
      <c r="N1355" s="64"/>
    </row>
    <row r="1356" spans="1:14" x14ac:dyDescent="0.25">
      <c r="A1356" s="45" t="s">
        <v>1424</v>
      </c>
      <c r="B1356" s="46">
        <v>7677.2919999999995</v>
      </c>
      <c r="C1356" s="60">
        <v>0.21</v>
      </c>
      <c r="D1356" s="47">
        <v>15706.505564999999</v>
      </c>
      <c r="E1356" s="47">
        <v>21289.386689999999</v>
      </c>
      <c r="F1356" s="47">
        <v>14887.683000000001</v>
      </c>
      <c r="G1356" s="48">
        <v>0.1067</v>
      </c>
      <c r="H1356" s="48">
        <v>0.1067</v>
      </c>
      <c r="I1356" s="48">
        <v>0.17189141132088559</v>
      </c>
      <c r="K1356" s="62">
        <v>0</v>
      </c>
      <c r="M1356" s="64"/>
      <c r="N1356" s="64"/>
    </row>
    <row r="1357" spans="1:14" x14ac:dyDescent="0.25">
      <c r="A1357" s="45" t="s">
        <v>1425</v>
      </c>
      <c r="B1357" s="46">
        <v>8069.7084999999997</v>
      </c>
      <c r="C1357" s="60">
        <v>0.21</v>
      </c>
      <c r="D1357" s="47">
        <v>16509.327859999998</v>
      </c>
      <c r="E1357" s="47">
        <v>22377.572359999998</v>
      </c>
      <c r="F1357" s="47">
        <v>15648.652</v>
      </c>
      <c r="G1357" s="48">
        <v>0.10979999999999999</v>
      </c>
      <c r="H1357" s="48">
        <v>0.10979999999999999</v>
      </c>
      <c r="I1357" s="48">
        <v>0.17189108944659581</v>
      </c>
      <c r="K1357" s="62">
        <v>0</v>
      </c>
      <c r="M1357" s="64"/>
      <c r="N1357" s="64"/>
    </row>
    <row r="1358" spans="1:14" x14ac:dyDescent="0.25">
      <c r="A1358" s="45" t="s">
        <v>1426</v>
      </c>
      <c r="B1358" s="46">
        <v>10132.424499999999</v>
      </c>
      <c r="C1358" s="60">
        <v>0.21</v>
      </c>
      <c r="D1358" s="47">
        <v>20729.321530000001</v>
      </c>
      <c r="E1358" s="47">
        <v>28097.56378</v>
      </c>
      <c r="F1358" s="47">
        <v>19648.646000000001</v>
      </c>
      <c r="G1358" s="48">
        <v>0.1222</v>
      </c>
      <c r="H1358" s="48">
        <v>0.1222</v>
      </c>
      <c r="I1358" s="48">
        <v>0.17189161499180899</v>
      </c>
      <c r="K1358" s="62">
        <v>0</v>
      </c>
      <c r="M1358" s="64"/>
      <c r="N1358" s="64"/>
    </row>
    <row r="1359" spans="1:14" x14ac:dyDescent="0.25">
      <c r="A1359" s="45" t="s">
        <v>1427</v>
      </c>
      <c r="B1359" s="46">
        <v>19671.393499999998</v>
      </c>
      <c r="C1359" s="60">
        <v>0.105</v>
      </c>
      <c r="D1359" s="47" t="s">
        <v>1839</v>
      </c>
      <c r="E1359" s="47" t="s">
        <v>1839</v>
      </c>
      <c r="F1359" s="47" t="s">
        <v>1839</v>
      </c>
      <c r="G1359" s="48">
        <v>0.1376</v>
      </c>
      <c r="H1359" s="48">
        <v>0.1376</v>
      </c>
      <c r="I1359" s="48">
        <v>0.1895709823474265</v>
      </c>
      <c r="K1359" s="62">
        <v>0</v>
      </c>
      <c r="M1359" s="64"/>
      <c r="N1359" s="64"/>
    </row>
    <row r="1360" spans="1:14" x14ac:dyDescent="0.25">
      <c r="A1360" s="45" t="s">
        <v>1428</v>
      </c>
      <c r="B1360" s="46">
        <v>26036.013500000001</v>
      </c>
      <c r="C1360" s="60">
        <v>0.105</v>
      </c>
      <c r="D1360" s="47" t="s">
        <v>1839</v>
      </c>
      <c r="E1360" s="47" t="s">
        <v>1839</v>
      </c>
      <c r="F1360" s="47" t="s">
        <v>1839</v>
      </c>
      <c r="G1360" s="48">
        <v>3.9E-2</v>
      </c>
      <c r="H1360" s="48">
        <v>3.9E-2</v>
      </c>
      <c r="I1360" s="48">
        <v>5.6019882664000743E-2</v>
      </c>
      <c r="K1360" s="62">
        <v>0</v>
      </c>
      <c r="M1360" s="64"/>
      <c r="N1360" s="64"/>
    </row>
    <row r="1361" spans="1:14" x14ac:dyDescent="0.25">
      <c r="A1361" s="45" t="s">
        <v>1429</v>
      </c>
      <c r="B1361" s="46">
        <v>37256.093000000001</v>
      </c>
      <c r="C1361" s="60">
        <v>0.21</v>
      </c>
      <c r="D1361" s="47">
        <v>76219.992089999985</v>
      </c>
      <c r="E1361" s="47">
        <v>103312.40633999999</v>
      </c>
      <c r="F1361" s="47">
        <v>72246.437999999995</v>
      </c>
      <c r="G1361" s="48">
        <v>0.15509999999999999</v>
      </c>
      <c r="H1361" s="48">
        <v>0.15509999999999999</v>
      </c>
      <c r="I1361" s="48">
        <v>0.17381337374286229</v>
      </c>
      <c r="K1361" s="62">
        <v>0</v>
      </c>
      <c r="M1361" s="64"/>
      <c r="N1361" s="64"/>
    </row>
    <row r="1362" spans="1:14" x14ac:dyDescent="0.25">
      <c r="A1362" s="45" t="s">
        <v>1430</v>
      </c>
      <c r="B1362" s="46">
        <v>36078.197500000002</v>
      </c>
      <c r="C1362" s="60">
        <v>0.21</v>
      </c>
      <c r="D1362" s="47">
        <v>73810.198015000002</v>
      </c>
      <c r="E1362" s="47">
        <v>100046.05039</v>
      </c>
      <c r="F1362" s="47">
        <v>69962.273000000001</v>
      </c>
      <c r="G1362" s="48">
        <v>0.17080000000000001</v>
      </c>
      <c r="H1362" s="48">
        <v>0.17080000000000001</v>
      </c>
      <c r="I1362" s="48">
        <v>0.17321472453112269</v>
      </c>
      <c r="K1362" s="62">
        <v>0</v>
      </c>
      <c r="M1362" s="64"/>
      <c r="N1362" s="64"/>
    </row>
    <row r="1363" spans="1:14" x14ac:dyDescent="0.25">
      <c r="A1363" s="45" t="s">
        <v>1431</v>
      </c>
      <c r="B1363" s="46">
        <v>6560.4054999999989</v>
      </c>
      <c r="C1363" s="60">
        <v>0.21</v>
      </c>
      <c r="D1363" s="47">
        <v>13421.531704999999</v>
      </c>
      <c r="E1363" s="47">
        <v>18192.21833</v>
      </c>
      <c r="F1363" s="47">
        <v>12721.831</v>
      </c>
      <c r="G1363" s="48">
        <v>9.5799999999999996E-2</v>
      </c>
      <c r="H1363" s="48">
        <v>9.5799999999999996E-2</v>
      </c>
      <c r="I1363" s="48">
        <v>0.17189097512312551</v>
      </c>
      <c r="K1363" s="62">
        <v>0</v>
      </c>
      <c r="M1363" s="64"/>
      <c r="N1363" s="64"/>
    </row>
    <row r="1364" spans="1:14" x14ac:dyDescent="0.25">
      <c r="A1364" s="45" t="s">
        <v>1432</v>
      </c>
      <c r="B1364" s="46">
        <v>8069.7084999999997</v>
      </c>
      <c r="C1364" s="60">
        <v>0.21</v>
      </c>
      <c r="D1364" s="47">
        <v>16509.327859999998</v>
      </c>
      <c r="E1364" s="47">
        <v>22377.572359999998</v>
      </c>
      <c r="F1364" s="47">
        <v>15648.652</v>
      </c>
      <c r="G1364" s="48">
        <v>0.10979999999999999</v>
      </c>
      <c r="H1364" s="48">
        <v>0.10979999999999999</v>
      </c>
      <c r="I1364" s="48">
        <v>0.17189108944659581</v>
      </c>
      <c r="K1364" s="62">
        <v>0</v>
      </c>
      <c r="M1364" s="64"/>
      <c r="N1364" s="64"/>
    </row>
    <row r="1365" spans="1:14" x14ac:dyDescent="0.25">
      <c r="A1365" s="45" t="s">
        <v>1433</v>
      </c>
      <c r="B1365" s="46">
        <v>67242.282500000001</v>
      </c>
      <c r="C1365" s="60">
        <v>0.21</v>
      </c>
      <c r="D1365" s="47" t="s">
        <v>1839</v>
      </c>
      <c r="E1365" s="47" t="s">
        <v>1839</v>
      </c>
      <c r="F1365" s="47" t="s">
        <v>1839</v>
      </c>
      <c r="G1365" s="48">
        <v>3.5799999999999998E-2</v>
      </c>
      <c r="H1365" s="48">
        <v>3.5799999999999998E-2</v>
      </c>
      <c r="I1365" s="48">
        <v>5.0864162999110993E-2</v>
      </c>
      <c r="K1365" s="62">
        <v>0</v>
      </c>
      <c r="M1365" s="64"/>
      <c r="N1365" s="64"/>
    </row>
    <row r="1366" spans="1:14" x14ac:dyDescent="0.25">
      <c r="A1366" s="45" t="s">
        <v>56</v>
      </c>
      <c r="B1366" s="46">
        <v>93464.163499999995</v>
      </c>
      <c r="C1366" s="60">
        <v>0.21</v>
      </c>
      <c r="D1366" s="47" t="s">
        <v>1839</v>
      </c>
      <c r="E1366" s="47" t="s">
        <v>1839</v>
      </c>
      <c r="F1366" s="47" t="s">
        <v>1839</v>
      </c>
      <c r="G1366" s="48">
        <v>0.1198</v>
      </c>
      <c r="H1366" s="48">
        <v>0.1198</v>
      </c>
      <c r="I1366" s="48">
        <v>0.16189021348964849</v>
      </c>
      <c r="K1366" s="62">
        <v>0</v>
      </c>
      <c r="M1366" s="64"/>
      <c r="N1366" s="64"/>
    </row>
    <row r="1367" spans="1:14" x14ac:dyDescent="0.25">
      <c r="A1367" s="45" t="s">
        <v>1434</v>
      </c>
      <c r="B1367" s="46">
        <v>12527.194</v>
      </c>
      <c r="C1367" s="60">
        <v>0.21</v>
      </c>
      <c r="D1367" s="47">
        <v>25628.630754999998</v>
      </c>
      <c r="E1367" s="47">
        <v>34738.333630000001</v>
      </c>
      <c r="F1367" s="47">
        <v>24292.541000000001</v>
      </c>
      <c r="G1367" s="48">
        <v>0.1323</v>
      </c>
      <c r="H1367" s="48">
        <v>0.1323</v>
      </c>
      <c r="I1367" s="48">
        <v>0.17189142254432499</v>
      </c>
      <c r="K1367" s="62">
        <v>0</v>
      </c>
      <c r="M1367" s="64"/>
      <c r="N1367" s="64"/>
    </row>
    <row r="1368" spans="1:14" x14ac:dyDescent="0.25">
      <c r="A1368" s="45" t="s">
        <v>1435</v>
      </c>
      <c r="B1368" s="46">
        <v>20491.129499999995</v>
      </c>
      <c r="C1368" s="60">
        <v>0.105</v>
      </c>
      <c r="D1368" s="47" t="s">
        <v>1839</v>
      </c>
      <c r="E1368" s="47" t="s">
        <v>1839</v>
      </c>
      <c r="F1368" s="47" t="s">
        <v>1839</v>
      </c>
      <c r="G1368" s="48">
        <v>9.0999999999999998E-2</v>
      </c>
      <c r="H1368" s="48">
        <v>9.0999999999999998E-2</v>
      </c>
      <c r="I1368" s="48">
        <v>0.12801965113802369</v>
      </c>
      <c r="K1368" s="62">
        <v>0</v>
      </c>
      <c r="M1368" s="64"/>
      <c r="N1368" s="64"/>
    </row>
    <row r="1369" spans="1:14" x14ac:dyDescent="0.25">
      <c r="A1369" s="45" t="s">
        <v>61</v>
      </c>
      <c r="B1369" s="46">
        <v>37581.667500000003</v>
      </c>
      <c r="C1369" s="60">
        <v>0.21</v>
      </c>
      <c r="D1369" s="47">
        <v>76886.045239999992</v>
      </c>
      <c r="E1369" s="47">
        <v>104215.20823999999</v>
      </c>
      <c r="F1369" s="47">
        <v>72877.767999999996</v>
      </c>
      <c r="G1369" s="48">
        <v>0.15359999999999999</v>
      </c>
      <c r="H1369" s="48">
        <v>0.15359999999999999</v>
      </c>
      <c r="I1369" s="48">
        <v>0.17202168503922891</v>
      </c>
      <c r="K1369" s="62">
        <v>0</v>
      </c>
      <c r="M1369" s="64"/>
      <c r="N1369" s="64"/>
    </row>
    <row r="1370" spans="1:14" x14ac:dyDescent="0.25">
      <c r="A1370" s="45" t="s">
        <v>1436</v>
      </c>
      <c r="B1370" s="46">
        <v>67640.807499999995</v>
      </c>
      <c r="C1370" s="60">
        <v>0.21</v>
      </c>
      <c r="D1370" s="47">
        <v>138382.21995499998</v>
      </c>
      <c r="E1370" s="47">
        <v>187570.21283</v>
      </c>
      <c r="F1370" s="47">
        <v>131167.981</v>
      </c>
      <c r="G1370" s="48">
        <v>0.15939999999999999</v>
      </c>
      <c r="H1370" s="48">
        <v>0.15939999999999999</v>
      </c>
      <c r="I1370" s="48">
        <v>0.1791312578633803</v>
      </c>
      <c r="K1370" s="62">
        <v>0</v>
      </c>
      <c r="M1370" s="64"/>
      <c r="N1370" s="64"/>
    </row>
    <row r="1371" spans="1:14" x14ac:dyDescent="0.25">
      <c r="A1371" s="45" t="s">
        <v>1437</v>
      </c>
      <c r="B1371" s="46">
        <v>51352.382999999994</v>
      </c>
      <c r="C1371" s="60">
        <v>0.21</v>
      </c>
      <c r="D1371" s="47">
        <v>105058.73780999999</v>
      </c>
      <c r="E1371" s="47">
        <v>142401.89105999999</v>
      </c>
      <c r="F1371" s="47">
        <v>99581.741999999998</v>
      </c>
      <c r="G1371" s="48">
        <v>0.15709999999999999</v>
      </c>
      <c r="H1371" s="48">
        <v>0.15709999999999999</v>
      </c>
      <c r="I1371" s="48">
        <v>0.1763117530259638</v>
      </c>
      <c r="K1371" s="62">
        <v>0</v>
      </c>
      <c r="M1371" s="64"/>
      <c r="N1371" s="64"/>
    </row>
    <row r="1372" spans="1:14" x14ac:dyDescent="0.25">
      <c r="A1372" s="45" t="s">
        <v>1438</v>
      </c>
      <c r="B1372" s="46">
        <v>35260.209499999997</v>
      </c>
      <c r="C1372" s="60">
        <v>0.21</v>
      </c>
      <c r="D1372" s="47">
        <v>72136.716925000001</v>
      </c>
      <c r="E1372" s="47">
        <v>97777.730049999998</v>
      </c>
      <c r="F1372" s="47">
        <v>68376.035000000003</v>
      </c>
      <c r="G1372" s="48">
        <v>0.1542</v>
      </c>
      <c r="H1372" s="48">
        <v>0.1542</v>
      </c>
      <c r="I1372" s="48">
        <v>0.1727755379355472</v>
      </c>
      <c r="K1372" s="62">
        <v>0</v>
      </c>
      <c r="M1372" s="64"/>
      <c r="N1372" s="64"/>
    </row>
    <row r="1373" spans="1:14" x14ac:dyDescent="0.25">
      <c r="A1373" s="45" t="s">
        <v>1439</v>
      </c>
      <c r="B1373" s="46">
        <v>31552.093500000003</v>
      </c>
      <c r="C1373" s="60">
        <v>0.21</v>
      </c>
      <c r="D1373" s="47">
        <v>64550.525259999995</v>
      </c>
      <c r="E1373" s="47">
        <v>87495.02476</v>
      </c>
      <c r="F1373" s="47">
        <v>61185.332000000002</v>
      </c>
      <c r="G1373" s="48">
        <v>0.1522</v>
      </c>
      <c r="H1373" s="48">
        <v>0.1522</v>
      </c>
      <c r="I1373" s="48">
        <v>0.17189143186961239</v>
      </c>
      <c r="K1373" s="62">
        <v>0</v>
      </c>
      <c r="M1373" s="64"/>
      <c r="N1373" s="64"/>
    </row>
    <row r="1374" spans="1:14" x14ac:dyDescent="0.25">
      <c r="A1374" s="45" t="s">
        <v>1440</v>
      </c>
      <c r="B1374" s="46">
        <v>178413.84749999997</v>
      </c>
      <c r="C1374" s="60">
        <v>0.21</v>
      </c>
      <c r="D1374" s="47">
        <v>352419.6483</v>
      </c>
      <c r="E1374" s="47">
        <v>477687.29579999996</v>
      </c>
      <c r="F1374" s="47">
        <v>334047.06</v>
      </c>
      <c r="G1374" s="48">
        <v>0.1573</v>
      </c>
      <c r="H1374" s="48">
        <v>0.1573</v>
      </c>
      <c r="I1374" s="48">
        <v>0.16882256210789351</v>
      </c>
      <c r="K1374" s="62">
        <v>0</v>
      </c>
      <c r="M1374" s="64"/>
      <c r="N1374" s="64"/>
    </row>
    <row r="1375" spans="1:14" x14ac:dyDescent="0.25">
      <c r="A1375" s="45" t="s">
        <v>1441</v>
      </c>
      <c r="B1375" s="46">
        <v>190956.90649999998</v>
      </c>
      <c r="C1375" s="60">
        <v>0.21</v>
      </c>
      <c r="D1375" s="47">
        <v>377195.862265</v>
      </c>
      <c r="E1375" s="47">
        <v>511270.22089</v>
      </c>
      <c r="F1375" s="47">
        <v>357531.62300000002</v>
      </c>
      <c r="G1375" s="48">
        <v>0.1573</v>
      </c>
      <c r="H1375" s="48">
        <v>0.1573</v>
      </c>
      <c r="I1375" s="48">
        <v>0.16882253401035069</v>
      </c>
      <c r="K1375" s="62">
        <v>0</v>
      </c>
      <c r="M1375" s="64"/>
      <c r="N1375" s="64"/>
    </row>
    <row r="1376" spans="1:14" x14ac:dyDescent="0.25">
      <c r="A1376" s="45" t="s">
        <v>1442</v>
      </c>
      <c r="B1376" s="46">
        <v>124539.072</v>
      </c>
      <c r="C1376" s="60">
        <v>0.21</v>
      </c>
      <c r="D1376" s="47">
        <v>254786.93416499998</v>
      </c>
      <c r="E1376" s="47">
        <v>345351.01029000001</v>
      </c>
      <c r="F1376" s="47">
        <v>241504.20300000001</v>
      </c>
      <c r="G1376" s="48">
        <v>0.1462</v>
      </c>
      <c r="H1376" s="48">
        <v>0.1462</v>
      </c>
      <c r="I1376" s="48">
        <v>0.19215244784928831</v>
      </c>
      <c r="K1376" s="62">
        <v>0</v>
      </c>
      <c r="M1376" s="64"/>
      <c r="N1376" s="64"/>
    </row>
    <row r="1377" spans="1:14" x14ac:dyDescent="0.25">
      <c r="A1377" s="45" t="s">
        <v>1443</v>
      </c>
      <c r="B1377" s="46">
        <v>26233.186000000002</v>
      </c>
      <c r="C1377" s="60">
        <v>0.105</v>
      </c>
      <c r="D1377" s="47" t="s">
        <v>1839</v>
      </c>
      <c r="E1377" s="47" t="s">
        <v>1839</v>
      </c>
      <c r="F1377" s="47" t="s">
        <v>1839</v>
      </c>
      <c r="G1377" s="48">
        <v>0.16839999999999999</v>
      </c>
      <c r="H1377" s="48">
        <v>0.16839999999999999</v>
      </c>
      <c r="I1377" s="48">
        <v>0.22740803410979821</v>
      </c>
      <c r="K1377" s="62">
        <v>0</v>
      </c>
      <c r="M1377" s="64"/>
      <c r="N1377" s="64"/>
    </row>
    <row r="1378" spans="1:14" x14ac:dyDescent="0.25">
      <c r="A1378" s="45" t="s">
        <v>1444</v>
      </c>
      <c r="B1378" s="46">
        <v>74333.633499999996</v>
      </c>
      <c r="C1378" s="60">
        <v>0.21</v>
      </c>
      <c r="D1378" s="47">
        <v>143077.66414499999</v>
      </c>
      <c r="E1378" s="47">
        <v>193934.65376999998</v>
      </c>
      <c r="F1378" s="47">
        <v>135618.639</v>
      </c>
      <c r="G1378" s="48">
        <v>0.13550000000000001</v>
      </c>
      <c r="H1378" s="48">
        <v>0.13550000000000001</v>
      </c>
      <c r="I1378" s="48">
        <v>0.13784297108202481</v>
      </c>
      <c r="K1378" s="62">
        <v>0</v>
      </c>
      <c r="M1378" s="64"/>
      <c r="N1378" s="64"/>
    </row>
    <row r="1379" spans="1:14" x14ac:dyDescent="0.25">
      <c r="A1379" s="45" t="s">
        <v>1445</v>
      </c>
      <c r="B1379" s="46">
        <v>53369.584499999997</v>
      </c>
      <c r="C1379" s="60">
        <v>0.21</v>
      </c>
      <c r="D1379" s="47">
        <v>101667.53103999999</v>
      </c>
      <c r="E1379" s="47">
        <v>137805.27903999999</v>
      </c>
      <c r="F1379" s="47">
        <v>96367.327999999994</v>
      </c>
      <c r="G1379" s="48">
        <v>0.12889999999999999</v>
      </c>
      <c r="H1379" s="48">
        <v>0.12889999999999999</v>
      </c>
      <c r="I1379" s="48">
        <v>0.1318513004735723</v>
      </c>
      <c r="K1379" s="62">
        <v>0</v>
      </c>
      <c r="M1379" s="64"/>
      <c r="N1379" s="64"/>
    </row>
    <row r="1380" spans="1:14" x14ac:dyDescent="0.25">
      <c r="A1380" s="45" t="s">
        <v>62</v>
      </c>
      <c r="B1380" s="46">
        <v>63834.765499999994</v>
      </c>
      <c r="C1380" s="60">
        <v>0.21</v>
      </c>
      <c r="D1380" s="47">
        <v>122339.30548499999</v>
      </c>
      <c r="E1380" s="47">
        <v>165824.84060999998</v>
      </c>
      <c r="F1380" s="47">
        <v>115961.427</v>
      </c>
      <c r="G1380" s="48">
        <v>0.13370000000000001</v>
      </c>
      <c r="H1380" s="48">
        <v>0.13370000000000001</v>
      </c>
      <c r="I1380" s="48">
        <v>0.1353493127883014</v>
      </c>
      <c r="K1380" s="62">
        <v>0</v>
      </c>
      <c r="M1380" s="64"/>
      <c r="N1380" s="64"/>
    </row>
    <row r="1381" spans="1:14" x14ac:dyDescent="0.25">
      <c r="A1381" s="45" t="s">
        <v>59</v>
      </c>
      <c r="B1381" s="46">
        <v>63834.765499999994</v>
      </c>
      <c r="C1381" s="60">
        <v>0.21</v>
      </c>
      <c r="D1381" s="47">
        <v>122339.30548499999</v>
      </c>
      <c r="E1381" s="47">
        <v>165824.84060999998</v>
      </c>
      <c r="F1381" s="47">
        <v>115961.427</v>
      </c>
      <c r="G1381" s="48">
        <v>0.13370000000000001</v>
      </c>
      <c r="H1381" s="48">
        <v>0.13370000000000001</v>
      </c>
      <c r="I1381" s="48">
        <v>0.1353493127883014</v>
      </c>
      <c r="K1381" s="62">
        <v>0</v>
      </c>
      <c r="M1381" s="64"/>
      <c r="N1381" s="64"/>
    </row>
    <row r="1382" spans="1:14" x14ac:dyDescent="0.25">
      <c r="A1382" s="45" t="s">
        <v>1446</v>
      </c>
      <c r="B1382" s="46">
        <v>75450.795499999993</v>
      </c>
      <c r="C1382" s="60">
        <v>0.21</v>
      </c>
      <c r="D1382" s="47">
        <v>145284.37283000001</v>
      </c>
      <c r="E1382" s="47">
        <v>196925.73758000002</v>
      </c>
      <c r="F1382" s="47">
        <v>137710.30600000001</v>
      </c>
      <c r="G1382" s="48">
        <v>0.13589999999999999</v>
      </c>
      <c r="H1382" s="48">
        <v>0.13589999999999999</v>
      </c>
      <c r="I1382" s="48">
        <v>0.13806637944793931</v>
      </c>
      <c r="K1382" s="62">
        <v>0</v>
      </c>
      <c r="M1382" s="64"/>
      <c r="N1382" s="64"/>
    </row>
    <row r="1383" spans="1:14" x14ac:dyDescent="0.25">
      <c r="A1383" s="45" t="s">
        <v>1447</v>
      </c>
      <c r="B1383" s="46">
        <v>161685.47799999997</v>
      </c>
      <c r="C1383" s="60">
        <v>0.21</v>
      </c>
      <c r="D1383" s="47">
        <v>315623.15784999996</v>
      </c>
      <c r="E1383" s="47">
        <v>427811.4841</v>
      </c>
      <c r="F1383" s="47">
        <v>299168.87</v>
      </c>
      <c r="G1383" s="48">
        <v>0.14599999999999999</v>
      </c>
      <c r="H1383" s="48">
        <v>0.14599999999999999</v>
      </c>
      <c r="I1383" s="48">
        <v>0.152982946762206</v>
      </c>
      <c r="K1383" s="62">
        <v>0</v>
      </c>
      <c r="M1383" s="64"/>
      <c r="N1383" s="64"/>
    </row>
    <row r="1384" spans="1:14" x14ac:dyDescent="0.25">
      <c r="A1384" s="45" t="s">
        <v>1448</v>
      </c>
      <c r="B1384" s="46">
        <v>97370.173999999999</v>
      </c>
      <c r="C1384" s="60">
        <v>0.21</v>
      </c>
      <c r="D1384" s="47">
        <v>188581.590765</v>
      </c>
      <c r="E1384" s="47">
        <v>255612.96189000001</v>
      </c>
      <c r="F1384" s="47">
        <v>178750.323</v>
      </c>
      <c r="G1384" s="48">
        <v>0.14080000000000001</v>
      </c>
      <c r="H1384" s="48">
        <v>0.14080000000000001</v>
      </c>
      <c r="I1384" s="48">
        <v>0.14441157646913291</v>
      </c>
      <c r="K1384" s="62">
        <v>0</v>
      </c>
      <c r="M1384" s="64"/>
      <c r="N1384" s="64"/>
    </row>
    <row r="1385" spans="1:14" x14ac:dyDescent="0.25">
      <c r="A1385" s="45" t="s">
        <v>1449</v>
      </c>
      <c r="B1385" s="46">
        <v>103909.20449999999</v>
      </c>
      <c r="C1385" s="60">
        <v>0.21</v>
      </c>
      <c r="D1385" s="47">
        <v>201498.09396999999</v>
      </c>
      <c r="E1385" s="47">
        <v>273120.63922000001</v>
      </c>
      <c r="F1385" s="47">
        <v>190993.454</v>
      </c>
      <c r="G1385" s="48">
        <v>0.14180000000000001</v>
      </c>
      <c r="H1385" s="48">
        <v>0.14180000000000001</v>
      </c>
      <c r="I1385" s="48">
        <v>0.14578417603117591</v>
      </c>
      <c r="K1385" s="62">
        <v>0</v>
      </c>
      <c r="M1385" s="64"/>
      <c r="N1385" s="64"/>
    </row>
    <row r="1386" spans="1:14" x14ac:dyDescent="0.25">
      <c r="A1386" s="45" t="s">
        <v>1450</v>
      </c>
      <c r="B1386" s="46">
        <v>25008.255999999998</v>
      </c>
      <c r="C1386" s="60">
        <v>0.21</v>
      </c>
      <c r="D1386" s="47">
        <v>51162.872770000002</v>
      </c>
      <c r="E1386" s="47">
        <v>69348.728019999995</v>
      </c>
      <c r="F1386" s="47">
        <v>48495.614000000001</v>
      </c>
      <c r="G1386" s="48">
        <v>0.1431</v>
      </c>
      <c r="H1386" s="48">
        <v>0.1431</v>
      </c>
      <c r="I1386" s="48">
        <v>0.1718913213602091</v>
      </c>
      <c r="K1386" s="62">
        <v>0</v>
      </c>
      <c r="M1386" s="64"/>
      <c r="N1386" s="64"/>
    </row>
    <row r="1387" spans="1:14" x14ac:dyDescent="0.25">
      <c r="A1387" s="45" t="s">
        <v>1451</v>
      </c>
      <c r="B1387" s="46">
        <v>95493.505999999994</v>
      </c>
      <c r="C1387" s="60">
        <v>0.105</v>
      </c>
      <c r="D1387" s="47" t="s">
        <v>1839</v>
      </c>
      <c r="E1387" s="47" t="s">
        <v>1839</v>
      </c>
      <c r="F1387" s="47" t="s">
        <v>1839</v>
      </c>
      <c r="G1387" s="48">
        <v>6.0600000000000001E-2</v>
      </c>
      <c r="H1387" s="48">
        <v>6.0600000000000001E-2</v>
      </c>
      <c r="I1387" s="48">
        <v>8.3567491749459683E-2</v>
      </c>
      <c r="K1387" s="62">
        <v>0</v>
      </c>
      <c r="M1387" s="64"/>
      <c r="N1387" s="64"/>
    </row>
    <row r="1388" spans="1:14" x14ac:dyDescent="0.25">
      <c r="A1388" s="45" t="s">
        <v>1452</v>
      </c>
      <c r="B1388" s="46">
        <v>163880.18699999998</v>
      </c>
      <c r="C1388" s="60">
        <v>0.105</v>
      </c>
      <c r="D1388" s="47" t="s">
        <v>1839</v>
      </c>
      <c r="E1388" s="47" t="s">
        <v>1839</v>
      </c>
      <c r="F1388" s="47" t="s">
        <v>1839</v>
      </c>
      <c r="G1388" s="48">
        <v>0.1578</v>
      </c>
      <c r="H1388" s="48">
        <v>0.1578</v>
      </c>
      <c r="I1388" s="48">
        <v>0.20679729946493319</v>
      </c>
      <c r="K1388" s="62">
        <v>0</v>
      </c>
      <c r="M1388" s="64"/>
      <c r="N1388" s="64"/>
    </row>
    <row r="1389" spans="1:14" x14ac:dyDescent="0.25">
      <c r="A1389" s="45" t="s">
        <v>1453</v>
      </c>
      <c r="B1389" s="46">
        <v>163880.18699999998</v>
      </c>
      <c r="C1389" s="60">
        <v>0.105</v>
      </c>
      <c r="D1389" s="47" t="s">
        <v>1839</v>
      </c>
      <c r="E1389" s="47" t="s">
        <v>1839</v>
      </c>
      <c r="F1389" s="47" t="s">
        <v>1839</v>
      </c>
      <c r="G1389" s="48">
        <v>0.1578</v>
      </c>
      <c r="H1389" s="48">
        <v>0.1578</v>
      </c>
      <c r="I1389" s="48">
        <v>0.21424497913130949</v>
      </c>
      <c r="K1389" s="62">
        <v>0</v>
      </c>
      <c r="M1389" s="64"/>
      <c r="N1389" s="64"/>
    </row>
    <row r="1390" spans="1:14" x14ac:dyDescent="0.25">
      <c r="A1390" s="45" t="s">
        <v>1454</v>
      </c>
      <c r="B1390" s="46">
        <v>139966.15049999999</v>
      </c>
      <c r="C1390" s="60">
        <v>0.105</v>
      </c>
      <c r="D1390" s="47" t="s">
        <v>1839</v>
      </c>
      <c r="E1390" s="47" t="s">
        <v>1839</v>
      </c>
      <c r="F1390" s="47" t="s">
        <v>1839</v>
      </c>
      <c r="G1390" s="48">
        <v>0.16309999999999999</v>
      </c>
      <c r="H1390" s="48">
        <v>0.16309999999999999</v>
      </c>
      <c r="I1390" s="48">
        <v>0.21433329294808681</v>
      </c>
      <c r="K1390" s="62">
        <v>0</v>
      </c>
      <c r="M1390" s="64"/>
      <c r="N1390" s="64"/>
    </row>
    <row r="1391" spans="1:14" x14ac:dyDescent="0.25">
      <c r="A1391" s="45" t="s">
        <v>1455</v>
      </c>
      <c r="B1391" s="46">
        <v>4366.2759999999998</v>
      </c>
      <c r="C1391" s="60">
        <v>0.21</v>
      </c>
      <c r="D1391" s="47" t="s">
        <v>1839</v>
      </c>
      <c r="E1391" s="47" t="s">
        <v>1839</v>
      </c>
      <c r="F1391" s="47" t="s">
        <v>1839</v>
      </c>
      <c r="G1391" s="48">
        <v>0.16250000000000001</v>
      </c>
      <c r="H1391" s="48">
        <v>0.16250000000000001</v>
      </c>
      <c r="I1391" s="48">
        <v>0.2389172749465657</v>
      </c>
      <c r="K1391" s="62">
        <v>0</v>
      </c>
      <c r="M1391" s="64"/>
      <c r="N1391" s="64"/>
    </row>
    <row r="1392" spans="1:14" x14ac:dyDescent="0.25">
      <c r="A1392" s="45" t="s">
        <v>1456</v>
      </c>
      <c r="B1392" s="46">
        <v>15418.3575</v>
      </c>
      <c r="C1392" s="60">
        <v>0.21</v>
      </c>
      <c r="D1392" s="47" t="s">
        <v>1839</v>
      </c>
      <c r="E1392" s="47" t="s">
        <v>1839</v>
      </c>
      <c r="F1392" s="47" t="s">
        <v>1839</v>
      </c>
      <c r="G1392" s="48">
        <v>0.16650000000000001</v>
      </c>
      <c r="H1392" s="48">
        <v>0.16650000000000001</v>
      </c>
      <c r="I1392" s="48">
        <v>0.21948657218400819</v>
      </c>
      <c r="K1392" s="62">
        <v>0</v>
      </c>
      <c r="M1392" s="64"/>
      <c r="N1392" s="64"/>
    </row>
    <row r="1393" spans="1:14" x14ac:dyDescent="0.25">
      <c r="A1393" s="45" t="s">
        <v>1457</v>
      </c>
      <c r="B1393" s="46">
        <v>165361.17050000001</v>
      </c>
      <c r="C1393" s="60">
        <v>0.21</v>
      </c>
      <c r="D1393" s="47">
        <v>338302.38312999997</v>
      </c>
      <c r="E1393" s="47">
        <v>458552.04537999997</v>
      </c>
      <c r="F1393" s="47">
        <v>320665.766</v>
      </c>
      <c r="G1393" s="48">
        <v>0.16309999999999999</v>
      </c>
      <c r="H1393" s="48">
        <v>0.16309999999999999</v>
      </c>
      <c r="I1393" s="48">
        <v>0.18388837251595619</v>
      </c>
      <c r="K1393" s="62">
        <v>0</v>
      </c>
      <c r="M1393" s="64"/>
      <c r="N1393" s="64"/>
    </row>
    <row r="1394" spans="1:14" x14ac:dyDescent="0.25">
      <c r="A1394" s="45" t="s">
        <v>1458</v>
      </c>
      <c r="B1394" s="46">
        <v>4175.7313333333332</v>
      </c>
      <c r="C1394" s="60">
        <v>0.21</v>
      </c>
      <c r="D1394" s="47">
        <v>8542.8769183333334</v>
      </c>
      <c r="E1394" s="47">
        <v>11579.444543333333</v>
      </c>
      <c r="F1394" s="47">
        <v>8097.5136666666667</v>
      </c>
      <c r="G1394" s="48">
        <v>0.129</v>
      </c>
      <c r="H1394" s="48">
        <v>0.129</v>
      </c>
      <c r="I1394" s="48">
        <v>0.17878087092996711</v>
      </c>
      <c r="K1394" s="62">
        <v>0</v>
      </c>
      <c r="M1394" s="64"/>
      <c r="N1394" s="64"/>
    </row>
    <row r="1395" spans="1:14" x14ac:dyDescent="0.25">
      <c r="A1395" s="45" t="s">
        <v>1459</v>
      </c>
      <c r="B1395" s="46">
        <v>68550.137999999992</v>
      </c>
      <c r="C1395" s="60">
        <v>0.21</v>
      </c>
      <c r="D1395" s="47" t="s">
        <v>1839</v>
      </c>
      <c r="E1395" s="47" t="s">
        <v>1839</v>
      </c>
      <c r="F1395" s="47" t="s">
        <v>1839</v>
      </c>
      <c r="G1395" s="48">
        <v>4.7300000000000002E-2</v>
      </c>
      <c r="H1395" s="48">
        <v>4.7300000000000002E-2</v>
      </c>
      <c r="I1395" s="48">
        <v>6.7925509199763284E-2</v>
      </c>
      <c r="K1395" s="62">
        <v>0</v>
      </c>
      <c r="M1395" s="64"/>
      <c r="N1395" s="64"/>
    </row>
    <row r="1396" spans="1:14" x14ac:dyDescent="0.25">
      <c r="A1396" s="45" t="s">
        <v>1460</v>
      </c>
      <c r="B1396" s="46">
        <v>68550.137999999992</v>
      </c>
      <c r="C1396" s="60">
        <v>0.21</v>
      </c>
      <c r="D1396" s="47" t="s">
        <v>1839</v>
      </c>
      <c r="E1396" s="47" t="s">
        <v>1839</v>
      </c>
      <c r="F1396" s="47" t="s">
        <v>1839</v>
      </c>
      <c r="G1396" s="48">
        <v>0.16</v>
      </c>
      <c r="H1396" s="48">
        <v>0.16</v>
      </c>
      <c r="I1396" s="48">
        <v>0.22092635649258011</v>
      </c>
      <c r="K1396" s="62">
        <v>0</v>
      </c>
      <c r="M1396" s="64"/>
      <c r="N1396" s="64"/>
    </row>
    <row r="1397" spans="1:14" x14ac:dyDescent="0.25">
      <c r="A1397" s="45" t="s">
        <v>1461</v>
      </c>
      <c r="B1397" s="46">
        <v>126475.01049999999</v>
      </c>
      <c r="C1397" s="60">
        <v>0.21</v>
      </c>
      <c r="D1397" s="47">
        <v>249825.22591000001</v>
      </c>
      <c r="E1397" s="47">
        <v>338625.66165999998</v>
      </c>
      <c r="F1397" s="47">
        <v>236801.16200000001</v>
      </c>
      <c r="G1397" s="48">
        <v>0.1507</v>
      </c>
      <c r="H1397" s="48">
        <v>0.1507</v>
      </c>
      <c r="I1397" s="48">
        <v>0.16116509293862211</v>
      </c>
      <c r="K1397" s="62">
        <v>0</v>
      </c>
      <c r="M1397" s="64"/>
      <c r="N1397" s="64"/>
    </row>
    <row r="1398" spans="1:14" x14ac:dyDescent="0.25">
      <c r="A1398" s="45" t="s">
        <v>1462</v>
      </c>
      <c r="B1398" s="46">
        <v>73047.143499999991</v>
      </c>
      <c r="C1398" s="60">
        <v>0.21</v>
      </c>
      <c r="D1398" s="47" t="s">
        <v>1839</v>
      </c>
      <c r="E1398" s="47" t="s">
        <v>1839</v>
      </c>
      <c r="F1398" s="47" t="s">
        <v>1839</v>
      </c>
      <c r="G1398" s="48">
        <v>0.1593</v>
      </c>
      <c r="H1398" s="48">
        <v>0.1593</v>
      </c>
      <c r="I1398" s="48">
        <v>0.21192453333283151</v>
      </c>
      <c r="K1398" s="62">
        <v>0</v>
      </c>
      <c r="M1398" s="64"/>
      <c r="N1398" s="64"/>
    </row>
    <row r="1399" spans="1:14" x14ac:dyDescent="0.25">
      <c r="A1399" s="45" t="s">
        <v>1463</v>
      </c>
      <c r="B1399" s="46">
        <v>67724.017999999996</v>
      </c>
      <c r="C1399" s="60">
        <v>0.21</v>
      </c>
      <c r="D1399" s="47" t="s">
        <v>1839</v>
      </c>
      <c r="E1399" s="47" t="s">
        <v>1839</v>
      </c>
      <c r="F1399" s="47" t="s">
        <v>1839</v>
      </c>
      <c r="G1399" s="48">
        <v>0.16539999999999999</v>
      </c>
      <c r="H1399" s="48">
        <v>0.16539999999999999</v>
      </c>
      <c r="I1399" s="48">
        <v>0.2212688220752336</v>
      </c>
      <c r="K1399" s="62">
        <v>0</v>
      </c>
      <c r="M1399" s="64"/>
      <c r="N1399" s="64"/>
    </row>
    <row r="1400" spans="1:14" x14ac:dyDescent="0.25">
      <c r="A1400" s="45" t="s">
        <v>1464</v>
      </c>
      <c r="B1400" s="46">
        <v>3146.0675000000001</v>
      </c>
      <c r="C1400" s="60">
        <v>0.21</v>
      </c>
      <c r="D1400" s="47">
        <v>6436.3397800000002</v>
      </c>
      <c r="E1400" s="47">
        <v>8724.1382799999992</v>
      </c>
      <c r="F1400" s="47">
        <v>6100.7960000000003</v>
      </c>
      <c r="G1400" s="48">
        <v>0.14599999999999999</v>
      </c>
      <c r="H1400" s="48">
        <v>0.14599999999999999</v>
      </c>
      <c r="I1400" s="48">
        <v>0.17189064837007551</v>
      </c>
      <c r="K1400" s="62">
        <v>0</v>
      </c>
      <c r="M1400" s="64"/>
      <c r="N1400" s="64"/>
    </row>
    <row r="1401" spans="1:14" x14ac:dyDescent="0.25">
      <c r="A1401" s="45" t="s">
        <v>1465</v>
      </c>
      <c r="B1401" s="46">
        <v>3801.0735</v>
      </c>
      <c r="C1401" s="60">
        <v>0.21</v>
      </c>
      <c r="D1401" s="47">
        <v>7776.3976149999999</v>
      </c>
      <c r="E1401" s="47">
        <v>10540.519990000001</v>
      </c>
      <c r="F1401" s="47">
        <v>7370.9930000000004</v>
      </c>
      <c r="G1401" s="48">
        <v>0.1183</v>
      </c>
      <c r="H1401" s="48">
        <v>0.1183</v>
      </c>
      <c r="I1401" s="48">
        <v>0.17189195894255771</v>
      </c>
      <c r="K1401" s="62">
        <v>0</v>
      </c>
      <c r="M1401" s="64"/>
      <c r="N1401" s="64"/>
    </row>
    <row r="1402" spans="1:14" x14ac:dyDescent="0.25">
      <c r="A1402" s="45" t="s">
        <v>1466</v>
      </c>
      <c r="B1402" s="46">
        <v>3701.8175000000001</v>
      </c>
      <c r="C1402" s="60">
        <v>0.21</v>
      </c>
      <c r="D1402" s="47">
        <v>7573.3248849999991</v>
      </c>
      <c r="E1402" s="47">
        <v>10265.265009999999</v>
      </c>
      <c r="F1402" s="47">
        <v>7178.5069999999996</v>
      </c>
      <c r="G1402" s="48">
        <v>0.1497</v>
      </c>
      <c r="H1402" s="48">
        <v>0.1497</v>
      </c>
      <c r="I1402" s="48">
        <v>0.17189071428879771</v>
      </c>
      <c r="K1402" s="62">
        <v>0</v>
      </c>
      <c r="M1402" s="64"/>
      <c r="N1402" s="64"/>
    </row>
    <row r="1403" spans="1:14" x14ac:dyDescent="0.25">
      <c r="A1403" s="45" t="s">
        <v>1467</v>
      </c>
      <c r="B1403" s="46">
        <v>3701.8175000000001</v>
      </c>
      <c r="C1403" s="60">
        <v>0.21</v>
      </c>
      <c r="D1403" s="47">
        <v>7573.3248849999991</v>
      </c>
      <c r="E1403" s="47">
        <v>10265.265009999999</v>
      </c>
      <c r="F1403" s="47">
        <v>7178.5069999999996</v>
      </c>
      <c r="G1403" s="48">
        <v>0.1497</v>
      </c>
      <c r="H1403" s="48">
        <v>0.1497</v>
      </c>
      <c r="I1403" s="48">
        <v>0.17189071428879771</v>
      </c>
      <c r="K1403" s="62">
        <v>0</v>
      </c>
      <c r="M1403" s="64"/>
      <c r="N1403" s="64"/>
    </row>
    <row r="1404" spans="1:14" x14ac:dyDescent="0.25">
      <c r="A1404" s="45" t="s">
        <v>1468</v>
      </c>
      <c r="B1404" s="46">
        <v>5527.9359999999997</v>
      </c>
      <c r="C1404" s="60">
        <v>0.21</v>
      </c>
      <c r="D1404" s="47">
        <v>11309.2624</v>
      </c>
      <c r="E1404" s="47">
        <v>15329.142400000001</v>
      </c>
      <c r="F1404" s="47">
        <v>10719.68</v>
      </c>
      <c r="G1404" s="48">
        <v>8.1799999999999998E-2</v>
      </c>
      <c r="H1404" s="48">
        <v>8.1799999999999998E-2</v>
      </c>
      <c r="I1404" s="48">
        <v>0.171891226727374</v>
      </c>
      <c r="K1404" s="62">
        <v>0</v>
      </c>
      <c r="M1404" s="64"/>
      <c r="N1404" s="64"/>
    </row>
    <row r="1405" spans="1:14" x14ac:dyDescent="0.25">
      <c r="A1405" s="45" t="s">
        <v>1469</v>
      </c>
      <c r="B1405" s="46">
        <v>4405.3684999999996</v>
      </c>
      <c r="C1405" s="60">
        <v>0.21</v>
      </c>
      <c r="D1405" s="47">
        <v>9012.6729899999991</v>
      </c>
      <c r="E1405" s="47">
        <v>12216.229739999999</v>
      </c>
      <c r="F1405" s="47">
        <v>8542.8179999999993</v>
      </c>
      <c r="G1405" s="48">
        <v>0.1221</v>
      </c>
      <c r="H1405" s="48">
        <v>0.1221</v>
      </c>
      <c r="I1405" s="48">
        <v>0.20011913148815699</v>
      </c>
      <c r="K1405" s="62">
        <v>0</v>
      </c>
      <c r="M1405" s="64"/>
      <c r="N1405" s="64"/>
    </row>
    <row r="1406" spans="1:14" x14ac:dyDescent="0.25">
      <c r="A1406" s="45" t="s">
        <v>1470</v>
      </c>
      <c r="B1406" s="46">
        <v>17689.038</v>
      </c>
      <c r="C1406" s="60">
        <v>0.21</v>
      </c>
      <c r="D1406" s="47">
        <v>36188.928610000003</v>
      </c>
      <c r="E1406" s="47">
        <v>49052.291860000005</v>
      </c>
      <c r="F1406" s="47">
        <v>34302.302000000003</v>
      </c>
      <c r="G1406" s="48">
        <v>0.1454</v>
      </c>
      <c r="H1406" s="48">
        <v>0.1454</v>
      </c>
      <c r="K1406" s="62">
        <v>0</v>
      </c>
      <c r="M1406" s="64"/>
      <c r="N1406" s="64"/>
    </row>
    <row r="1407" spans="1:14" x14ac:dyDescent="0.25">
      <c r="A1407" s="45" t="s">
        <v>1471</v>
      </c>
      <c r="B1407" s="46">
        <v>18852.018499999998</v>
      </c>
      <c r="C1407" s="60">
        <v>0.105</v>
      </c>
      <c r="D1407" s="47" t="s">
        <v>1839</v>
      </c>
      <c r="E1407" s="47" t="s">
        <v>1839</v>
      </c>
      <c r="F1407" s="47" t="s">
        <v>1839</v>
      </c>
      <c r="G1407" s="48">
        <v>0.13450000000000001</v>
      </c>
      <c r="H1407" s="48">
        <v>0.13450000000000001</v>
      </c>
      <c r="I1407" s="48">
        <v>0.18842716397736309</v>
      </c>
      <c r="K1407" s="62">
        <v>0</v>
      </c>
      <c r="M1407" s="64"/>
      <c r="N1407" s="64"/>
    </row>
    <row r="1408" spans="1:14" x14ac:dyDescent="0.25">
      <c r="A1408" s="45" t="s">
        <v>1472</v>
      </c>
      <c r="B1408" s="46">
        <v>3245.2949999999996</v>
      </c>
      <c r="C1408" s="60">
        <v>0.21</v>
      </c>
      <c r="D1408" s="47">
        <v>6639.3618699999997</v>
      </c>
      <c r="E1408" s="47">
        <v>8999.3246199999994</v>
      </c>
      <c r="F1408" s="47">
        <v>6293.2340000000004</v>
      </c>
      <c r="G1408" s="48">
        <v>0.1467</v>
      </c>
      <c r="H1408" s="48">
        <v>0.1467</v>
      </c>
      <c r="I1408" s="48">
        <v>0.17189277718863699</v>
      </c>
      <c r="K1408" s="62">
        <v>0</v>
      </c>
      <c r="M1408" s="64"/>
      <c r="N1408" s="64"/>
    </row>
    <row r="1409" spans="1:14" x14ac:dyDescent="0.25">
      <c r="A1409" s="45" t="s">
        <v>1473</v>
      </c>
      <c r="B1409" s="46">
        <v>3245.2949999999996</v>
      </c>
      <c r="C1409" s="60">
        <v>0.21</v>
      </c>
      <c r="D1409" s="47">
        <v>6639.3618699999997</v>
      </c>
      <c r="E1409" s="47">
        <v>8999.3246199999994</v>
      </c>
      <c r="F1409" s="47">
        <v>6293.2340000000004</v>
      </c>
      <c r="G1409" s="48">
        <v>0.1467</v>
      </c>
      <c r="H1409" s="48">
        <v>0.1467</v>
      </c>
      <c r="I1409" s="48">
        <v>0.17189277718863699</v>
      </c>
      <c r="K1409" s="62">
        <v>0</v>
      </c>
      <c r="M1409" s="64"/>
      <c r="N1409" s="64"/>
    </row>
    <row r="1410" spans="1:14" x14ac:dyDescent="0.25">
      <c r="A1410" s="45" t="s">
        <v>1474</v>
      </c>
      <c r="B1410" s="46">
        <v>3245.2949999999996</v>
      </c>
      <c r="C1410" s="60">
        <v>0.21</v>
      </c>
      <c r="D1410" s="47">
        <v>6639.3618699999997</v>
      </c>
      <c r="E1410" s="47">
        <v>8999.3246199999994</v>
      </c>
      <c r="F1410" s="47">
        <v>6293.2340000000004</v>
      </c>
      <c r="G1410" s="48">
        <v>0.1467</v>
      </c>
      <c r="H1410" s="48">
        <v>0.1467</v>
      </c>
      <c r="I1410" s="48">
        <v>0.17189277718863699</v>
      </c>
      <c r="K1410" s="62">
        <v>0</v>
      </c>
      <c r="M1410" s="64"/>
      <c r="N1410" s="64"/>
    </row>
    <row r="1411" spans="1:14" x14ac:dyDescent="0.25">
      <c r="A1411" s="45" t="s">
        <v>1475</v>
      </c>
      <c r="B1411" s="46">
        <v>10559.648999999999</v>
      </c>
      <c r="C1411" s="60">
        <v>0.21</v>
      </c>
      <c r="D1411" s="47">
        <v>21603.34894</v>
      </c>
      <c r="E1411" s="47">
        <v>29282.264439999999</v>
      </c>
      <c r="F1411" s="47">
        <v>20477.108</v>
      </c>
      <c r="G1411" s="48">
        <v>0.1242</v>
      </c>
      <c r="H1411" s="48">
        <v>0.1242</v>
      </c>
      <c r="I1411" s="48">
        <v>0.17189134464844491</v>
      </c>
      <c r="K1411" s="62">
        <v>0</v>
      </c>
      <c r="M1411" s="64"/>
      <c r="N1411" s="64"/>
    </row>
    <row r="1412" spans="1:14" x14ac:dyDescent="0.25">
      <c r="A1412" s="45" t="s">
        <v>1476</v>
      </c>
      <c r="B1412" s="46">
        <v>10559.648999999999</v>
      </c>
      <c r="C1412" s="60">
        <v>0.21</v>
      </c>
      <c r="D1412" s="47">
        <v>21603.34894</v>
      </c>
      <c r="E1412" s="47">
        <v>29282.264439999999</v>
      </c>
      <c r="F1412" s="47">
        <v>20477.108</v>
      </c>
      <c r="G1412" s="48">
        <v>0.1242</v>
      </c>
      <c r="H1412" s="48">
        <v>0.1242</v>
      </c>
      <c r="I1412" s="48">
        <v>0.17189134464844491</v>
      </c>
      <c r="K1412" s="62">
        <v>0</v>
      </c>
      <c r="M1412" s="64"/>
      <c r="N1412" s="64"/>
    </row>
    <row r="1413" spans="1:14" x14ac:dyDescent="0.25">
      <c r="A1413" s="45" t="s">
        <v>1477</v>
      </c>
      <c r="B1413" s="46">
        <v>5348.2815000000001</v>
      </c>
      <c r="C1413" s="60">
        <v>0.21</v>
      </c>
      <c r="D1413" s="47">
        <v>10941.730994999998</v>
      </c>
      <c r="E1413" s="47">
        <v>14830.971869999998</v>
      </c>
      <c r="F1413" s="47">
        <v>10371.308999999999</v>
      </c>
      <c r="G1413" s="48">
        <v>8.7900000000000006E-2</v>
      </c>
      <c r="H1413" s="48">
        <v>8.7900000000000006E-2</v>
      </c>
      <c r="I1413" s="48">
        <v>0.19929410548275561</v>
      </c>
      <c r="K1413" s="62">
        <v>0</v>
      </c>
      <c r="M1413" s="64"/>
      <c r="N1413" s="64"/>
    </row>
    <row r="1414" spans="1:14" x14ac:dyDescent="0.25">
      <c r="A1414" s="45" t="s">
        <v>1478</v>
      </c>
      <c r="B1414" s="46">
        <v>5627.1350000000002</v>
      </c>
      <c r="C1414" s="60">
        <v>0.21</v>
      </c>
      <c r="D1414" s="47">
        <v>11512.22119</v>
      </c>
      <c r="E1414" s="47">
        <v>15604.24294</v>
      </c>
      <c r="F1414" s="47">
        <v>10912.058000000001</v>
      </c>
      <c r="G1414" s="48">
        <v>8.3299999999999999E-2</v>
      </c>
      <c r="H1414" s="48">
        <v>8.3299999999999999E-2</v>
      </c>
      <c r="I1414" s="48">
        <v>0.17189119053128959</v>
      </c>
      <c r="K1414" s="62">
        <v>0</v>
      </c>
      <c r="M1414" s="64"/>
      <c r="N1414" s="64"/>
    </row>
    <row r="1415" spans="1:14" x14ac:dyDescent="0.25">
      <c r="A1415" s="45" t="s">
        <v>1479</v>
      </c>
      <c r="B1415" s="46">
        <v>2749.0720000000001</v>
      </c>
      <c r="C1415" s="60">
        <v>0.21</v>
      </c>
      <c r="D1415" s="47">
        <v>5624.1606899999997</v>
      </c>
      <c r="E1415" s="47">
        <v>7623.2699399999992</v>
      </c>
      <c r="F1415" s="47">
        <v>5330.9579999999996</v>
      </c>
      <c r="G1415" s="48">
        <v>0.1424</v>
      </c>
      <c r="H1415" s="48">
        <v>0.1424</v>
      </c>
      <c r="I1415" s="48">
        <v>0.1718915403849216</v>
      </c>
      <c r="K1415" s="62">
        <v>0</v>
      </c>
      <c r="M1415" s="64"/>
      <c r="N1415" s="64"/>
    </row>
    <row r="1416" spans="1:14" x14ac:dyDescent="0.25">
      <c r="A1416" s="45" t="s">
        <v>1480</v>
      </c>
      <c r="B1416" s="46">
        <v>2749.0720000000001</v>
      </c>
      <c r="C1416" s="60">
        <v>0.21</v>
      </c>
      <c r="D1416" s="47">
        <v>5624.1606899999997</v>
      </c>
      <c r="E1416" s="47">
        <v>7623.2699399999992</v>
      </c>
      <c r="F1416" s="47">
        <v>5330.9579999999996</v>
      </c>
      <c r="G1416" s="48">
        <v>0.1424</v>
      </c>
      <c r="H1416" s="48">
        <v>0.1424</v>
      </c>
      <c r="I1416" s="48">
        <v>0.1718915403849216</v>
      </c>
      <c r="K1416" s="62">
        <v>0</v>
      </c>
      <c r="M1416" s="64"/>
      <c r="N1416" s="64"/>
    </row>
    <row r="1417" spans="1:14" x14ac:dyDescent="0.25">
      <c r="A1417" s="45" t="s">
        <v>1481</v>
      </c>
      <c r="B1417" s="46">
        <v>2659.2019999999998</v>
      </c>
      <c r="C1417" s="60">
        <v>0.21</v>
      </c>
      <c r="D1417" s="47">
        <v>5440.2984549999992</v>
      </c>
      <c r="E1417" s="47">
        <v>7374.0538299999989</v>
      </c>
      <c r="F1417" s="47">
        <v>5156.6809999999996</v>
      </c>
      <c r="G1417" s="48">
        <v>0.1414</v>
      </c>
      <c r="H1417" s="48">
        <v>0.1414</v>
      </c>
      <c r="I1417" s="48">
        <v>0.17189151370196429</v>
      </c>
      <c r="K1417" s="62">
        <v>0</v>
      </c>
      <c r="M1417" s="64"/>
      <c r="N1417" s="64"/>
    </row>
    <row r="1418" spans="1:14" x14ac:dyDescent="0.25">
      <c r="A1418" s="45" t="s">
        <v>55</v>
      </c>
      <c r="B1418" s="46">
        <v>1698.9229999999998</v>
      </c>
      <c r="C1418" s="60">
        <v>0.21</v>
      </c>
      <c r="D1418" s="47" t="s">
        <v>1839</v>
      </c>
      <c r="E1418" s="47" t="s">
        <v>1839</v>
      </c>
      <c r="F1418" s="47" t="s">
        <v>1839</v>
      </c>
      <c r="G1418" s="48">
        <v>0.1298</v>
      </c>
      <c r="H1418" s="48">
        <v>0.1298</v>
      </c>
      <c r="I1418" s="48">
        <v>0.1858248741356551</v>
      </c>
      <c r="K1418" s="62">
        <v>0</v>
      </c>
      <c r="M1418" s="64"/>
      <c r="N1418" s="64"/>
    </row>
    <row r="1419" spans="1:14" x14ac:dyDescent="0.25">
      <c r="A1419" s="45" t="s">
        <v>1482</v>
      </c>
      <c r="B1419" s="46">
        <v>10563.867</v>
      </c>
      <c r="C1419" s="60">
        <v>0.21</v>
      </c>
      <c r="D1419" s="47" t="s">
        <v>1839</v>
      </c>
      <c r="E1419" s="47" t="s">
        <v>1839</v>
      </c>
      <c r="F1419" s="47" t="s">
        <v>1839</v>
      </c>
      <c r="G1419" s="48">
        <v>0.15959999999999999</v>
      </c>
      <c r="H1419" s="48">
        <v>0.15959999999999999</v>
      </c>
      <c r="I1419" s="48">
        <v>0.22560785684076509</v>
      </c>
      <c r="K1419" s="62">
        <v>0</v>
      </c>
      <c r="M1419" s="64"/>
      <c r="N1419" s="64"/>
    </row>
    <row r="1420" spans="1:14" x14ac:dyDescent="0.25">
      <c r="A1420" s="45" t="s">
        <v>1483</v>
      </c>
      <c r="B1420" s="46">
        <v>5771.1835000000001</v>
      </c>
      <c r="C1420" s="60">
        <v>0.21</v>
      </c>
      <c r="D1420" s="47" t="s">
        <v>1839</v>
      </c>
      <c r="E1420" s="47" t="s">
        <v>1839</v>
      </c>
      <c r="F1420" s="47" t="s">
        <v>1839</v>
      </c>
      <c r="G1420" s="48">
        <v>0.1666</v>
      </c>
      <c r="H1420" s="48">
        <v>0.1666</v>
      </c>
      <c r="I1420" s="48">
        <v>0.24854154575106829</v>
      </c>
      <c r="K1420" s="62">
        <v>0</v>
      </c>
      <c r="M1420" s="64"/>
      <c r="N1420" s="64"/>
    </row>
    <row r="1421" spans="1:14" x14ac:dyDescent="0.25">
      <c r="A1421" s="45" t="s">
        <v>1484</v>
      </c>
      <c r="B1421" s="46">
        <v>5610.0445</v>
      </c>
      <c r="C1421" s="60">
        <v>0.21</v>
      </c>
      <c r="D1421" s="47" t="s">
        <v>1839</v>
      </c>
      <c r="E1421" s="47" t="s">
        <v>1839</v>
      </c>
      <c r="F1421" s="47" t="s">
        <v>1839</v>
      </c>
      <c r="G1421" s="48">
        <v>0.161</v>
      </c>
      <c r="H1421" s="48">
        <v>0.161</v>
      </c>
      <c r="I1421" s="48">
        <v>0.24204675624045061</v>
      </c>
      <c r="K1421" s="62">
        <v>0</v>
      </c>
      <c r="M1421" s="64"/>
      <c r="N1421" s="64"/>
    </row>
    <row r="1422" spans="1:14" x14ac:dyDescent="0.25">
      <c r="A1422" s="45" t="s">
        <v>1485</v>
      </c>
      <c r="B1422" s="46">
        <v>11746.6075</v>
      </c>
      <c r="C1422" s="60">
        <v>0.105</v>
      </c>
      <c r="D1422" s="47" t="s">
        <v>1839</v>
      </c>
      <c r="E1422" s="47" t="s">
        <v>1839</v>
      </c>
      <c r="F1422" s="47" t="s">
        <v>1839</v>
      </c>
      <c r="G1422" s="48">
        <v>3.9E-2</v>
      </c>
      <c r="H1422" s="48">
        <v>3.9E-2</v>
      </c>
      <c r="I1422" s="48">
        <v>6.6285106688792769E-2</v>
      </c>
      <c r="K1422" s="62">
        <v>0</v>
      </c>
      <c r="M1422" s="64"/>
      <c r="N1422" s="64"/>
    </row>
    <row r="1423" spans="1:14" x14ac:dyDescent="0.25">
      <c r="A1423" s="45" t="s">
        <v>1486</v>
      </c>
      <c r="B1423" s="46">
        <v>73183.62049999999</v>
      </c>
      <c r="C1423" s="60">
        <v>0.21</v>
      </c>
      <c r="D1423" s="47" t="s">
        <v>1839</v>
      </c>
      <c r="E1423" s="47" t="s">
        <v>1839</v>
      </c>
      <c r="F1423" s="47" t="s">
        <v>1839</v>
      </c>
      <c r="G1423" s="48">
        <v>0.1053</v>
      </c>
      <c r="H1423" s="48">
        <v>0.1053</v>
      </c>
      <c r="I1423" s="48">
        <v>0.14618602616542739</v>
      </c>
      <c r="K1423" s="62">
        <v>0</v>
      </c>
      <c r="M1423" s="64"/>
      <c r="N1423" s="64"/>
    </row>
    <row r="1424" spans="1:14" x14ac:dyDescent="0.25">
      <c r="A1424" s="45" t="s">
        <v>1487</v>
      </c>
      <c r="B1424" s="46">
        <v>14104.564499999999</v>
      </c>
      <c r="C1424" s="60">
        <v>0.21</v>
      </c>
      <c r="D1424" s="47" t="s">
        <v>1839</v>
      </c>
      <c r="E1424" s="47" t="s">
        <v>1839</v>
      </c>
      <c r="F1424" s="47" t="s">
        <v>1839</v>
      </c>
      <c r="G1424" s="48">
        <v>0.1605</v>
      </c>
      <c r="H1424" s="48">
        <v>0.1605</v>
      </c>
      <c r="I1424" s="48">
        <v>0.2235160220051135</v>
      </c>
      <c r="K1424" s="62">
        <v>0</v>
      </c>
      <c r="M1424" s="64"/>
      <c r="N1424" s="64"/>
    </row>
    <row r="1425" spans="1:14" x14ac:dyDescent="0.25">
      <c r="A1425" s="45" t="s">
        <v>1488</v>
      </c>
      <c r="B1425" s="46">
        <v>25074.993499999997</v>
      </c>
      <c r="C1425" s="60">
        <v>0.21</v>
      </c>
      <c r="D1425" s="47" t="s">
        <v>1839</v>
      </c>
      <c r="E1425" s="47" t="s">
        <v>1839</v>
      </c>
      <c r="F1425" s="47" t="s">
        <v>1839</v>
      </c>
      <c r="G1425" s="48">
        <v>0.1598</v>
      </c>
      <c r="H1425" s="48">
        <v>0.1598</v>
      </c>
      <c r="I1425" s="48">
        <v>0.22467026513020141</v>
      </c>
      <c r="K1425" s="62">
        <v>0</v>
      </c>
      <c r="M1425" s="64"/>
      <c r="N1425" s="64"/>
    </row>
    <row r="1426" spans="1:14" x14ac:dyDescent="0.25">
      <c r="A1426" s="45" t="s">
        <v>1489</v>
      </c>
      <c r="B1426" s="46">
        <v>17820.052500000002</v>
      </c>
      <c r="C1426" s="60">
        <v>0.21</v>
      </c>
      <c r="D1426" s="47" t="s">
        <v>1839</v>
      </c>
      <c r="E1426" s="47" t="s">
        <v>1839</v>
      </c>
      <c r="F1426" s="47" t="s">
        <v>1839</v>
      </c>
      <c r="G1426" s="48">
        <v>3.4299999999999997E-2</v>
      </c>
      <c r="H1426" s="48">
        <v>3.4299999999999997E-2</v>
      </c>
      <c r="I1426" s="48">
        <v>5.550303329434865E-2</v>
      </c>
      <c r="K1426" s="62">
        <v>0</v>
      </c>
      <c r="M1426" s="64"/>
      <c r="N1426" s="64"/>
    </row>
    <row r="1427" spans="1:14" x14ac:dyDescent="0.25">
      <c r="A1427" s="45" t="s">
        <v>1490</v>
      </c>
      <c r="B1427" s="46">
        <v>17820.052500000002</v>
      </c>
      <c r="C1427" s="60">
        <v>0.21</v>
      </c>
      <c r="D1427" s="47" t="s">
        <v>1839</v>
      </c>
      <c r="E1427" s="47" t="s">
        <v>1839</v>
      </c>
      <c r="F1427" s="47" t="s">
        <v>1839</v>
      </c>
      <c r="G1427" s="48">
        <v>3.49E-2</v>
      </c>
      <c r="H1427" s="48">
        <v>3.49E-2</v>
      </c>
      <c r="I1427" s="48">
        <v>5.550303329434865E-2</v>
      </c>
      <c r="K1427" s="62">
        <v>0</v>
      </c>
      <c r="M1427" s="64"/>
      <c r="N1427" s="64"/>
    </row>
    <row r="1428" spans="1:14" x14ac:dyDescent="0.25">
      <c r="A1428" s="45" t="s">
        <v>67</v>
      </c>
      <c r="B1428" s="46">
        <v>25077.045499999997</v>
      </c>
      <c r="C1428" s="60">
        <v>0.21</v>
      </c>
      <c r="D1428" s="47" t="s">
        <v>1839</v>
      </c>
      <c r="E1428" s="47" t="s">
        <v>1839</v>
      </c>
      <c r="F1428" s="47" t="s">
        <v>1839</v>
      </c>
      <c r="G1428" s="48">
        <v>7.3899999999999993E-2</v>
      </c>
      <c r="H1428" s="48">
        <v>7.3899999999999993E-2</v>
      </c>
      <c r="I1428" s="48">
        <v>0.1065810583251104</v>
      </c>
      <c r="K1428" s="62">
        <v>0</v>
      </c>
      <c r="M1428" s="64"/>
      <c r="N1428" s="64"/>
    </row>
    <row r="1429" spans="1:14" x14ac:dyDescent="0.25">
      <c r="A1429" s="45" t="s">
        <v>1491</v>
      </c>
      <c r="B1429" s="46">
        <v>18660.679</v>
      </c>
      <c r="C1429" s="60">
        <v>0.21</v>
      </c>
      <c r="D1429" s="47" t="s">
        <v>1839</v>
      </c>
      <c r="E1429" s="47" t="s">
        <v>1839</v>
      </c>
      <c r="F1429" s="47" t="s">
        <v>1839</v>
      </c>
      <c r="G1429" s="48">
        <v>8.3199999999999996E-2</v>
      </c>
      <c r="H1429" s="48">
        <v>8.3199999999999996E-2</v>
      </c>
      <c r="I1429" s="48">
        <v>0.12798452431701399</v>
      </c>
      <c r="K1429" s="62">
        <v>0</v>
      </c>
      <c r="M1429" s="64"/>
      <c r="N1429" s="64"/>
    </row>
    <row r="1430" spans="1:14" x14ac:dyDescent="0.25">
      <c r="A1430" s="45" t="s">
        <v>1492</v>
      </c>
      <c r="B1430" s="46">
        <v>18660.679</v>
      </c>
      <c r="C1430" s="60">
        <v>0.21</v>
      </c>
      <c r="D1430" s="47" t="s">
        <v>1839</v>
      </c>
      <c r="E1430" s="47" t="s">
        <v>1839</v>
      </c>
      <c r="F1430" s="47" t="s">
        <v>1839</v>
      </c>
      <c r="G1430" s="48">
        <v>5.9400000000000001E-2</v>
      </c>
      <c r="H1430" s="48">
        <v>5.9400000000000001E-2</v>
      </c>
      <c r="I1430" s="48">
        <v>8.9063378524435924E-2</v>
      </c>
      <c r="K1430" s="62">
        <v>0</v>
      </c>
      <c r="M1430" s="64"/>
      <c r="N1430" s="64"/>
    </row>
    <row r="1431" spans="1:14" x14ac:dyDescent="0.25">
      <c r="A1431" s="45" t="s">
        <v>1493</v>
      </c>
      <c r="B1431" s="46">
        <v>25058.91</v>
      </c>
      <c r="C1431" s="60">
        <v>0.21</v>
      </c>
      <c r="D1431" s="47" t="s">
        <v>1839</v>
      </c>
      <c r="E1431" s="47" t="s">
        <v>1839</v>
      </c>
      <c r="F1431" s="47" t="s">
        <v>1839</v>
      </c>
      <c r="G1431" s="48">
        <v>0.14480000000000001</v>
      </c>
      <c r="H1431" s="48">
        <v>0.14480000000000001</v>
      </c>
      <c r="I1431" s="48">
        <v>0.20025715802239219</v>
      </c>
      <c r="K1431" s="62">
        <v>0</v>
      </c>
      <c r="M1431" s="64"/>
      <c r="N1431" s="64"/>
    </row>
    <row r="1432" spans="1:14" x14ac:dyDescent="0.25">
      <c r="A1432" s="45" t="s">
        <v>3656</v>
      </c>
      <c r="B1432" s="46">
        <v>73423.875499999995</v>
      </c>
      <c r="C1432" s="60">
        <v>0.105</v>
      </c>
      <c r="D1432" s="47" t="s">
        <v>1839</v>
      </c>
      <c r="E1432" s="47" t="s">
        <v>1839</v>
      </c>
      <c r="F1432" s="47" t="s">
        <v>1839</v>
      </c>
      <c r="G1432" s="48">
        <v>0.1225</v>
      </c>
      <c r="H1432" s="48">
        <v>0.1225</v>
      </c>
      <c r="I1432" s="48">
        <v>0.16467881127492121</v>
      </c>
      <c r="K1432" s="62">
        <v>0</v>
      </c>
      <c r="M1432" s="64"/>
      <c r="N1432" s="64"/>
    </row>
    <row r="1433" spans="1:14" x14ac:dyDescent="0.25">
      <c r="A1433" s="45" t="s">
        <v>1494</v>
      </c>
      <c r="B1433" s="46">
        <v>100777.444</v>
      </c>
      <c r="C1433" s="60">
        <v>0.105</v>
      </c>
      <c r="D1433" s="47">
        <v>188283.29478999999</v>
      </c>
      <c r="E1433" s="47">
        <v>255208.63654000001</v>
      </c>
      <c r="F1433" s="47">
        <v>178467.57800000001</v>
      </c>
      <c r="G1433" s="48">
        <v>0.20699999999999999</v>
      </c>
      <c r="H1433" s="48">
        <v>0.20699999999999999</v>
      </c>
      <c r="I1433" s="48">
        <v>0.22149052498820229</v>
      </c>
      <c r="K1433" s="62">
        <v>0</v>
      </c>
      <c r="M1433" s="64"/>
      <c r="N1433" s="64"/>
    </row>
    <row r="1434" spans="1:14" x14ac:dyDescent="0.25">
      <c r="A1434" s="45" t="s">
        <v>1495</v>
      </c>
      <c r="B1434" s="46">
        <v>140000.94899999999</v>
      </c>
      <c r="C1434" s="60">
        <v>0.21</v>
      </c>
      <c r="D1434" s="47" t="s">
        <v>1839</v>
      </c>
      <c r="E1434" s="47" t="s">
        <v>1839</v>
      </c>
      <c r="F1434" s="47" t="s">
        <v>1839</v>
      </c>
      <c r="G1434" s="48">
        <v>0.1633</v>
      </c>
      <c r="H1434" s="48">
        <v>0.1633</v>
      </c>
      <c r="I1434" s="48">
        <v>0.22592529369376871</v>
      </c>
      <c r="K1434" s="62">
        <v>0</v>
      </c>
      <c r="M1434" s="64"/>
      <c r="N1434" s="64"/>
    </row>
    <row r="1435" spans="1:14" x14ac:dyDescent="0.25">
      <c r="A1435" s="45" t="s">
        <v>1496</v>
      </c>
      <c r="B1435" s="46">
        <v>140000.94899999999</v>
      </c>
      <c r="C1435" s="60">
        <v>0.21</v>
      </c>
      <c r="D1435" s="47">
        <v>286419.44648499996</v>
      </c>
      <c r="E1435" s="47">
        <v>388227.30660999997</v>
      </c>
      <c r="F1435" s="47">
        <v>271487.62699999998</v>
      </c>
      <c r="G1435" s="48">
        <v>0.13739999999999999</v>
      </c>
      <c r="H1435" s="48">
        <v>0.13739999999999999</v>
      </c>
      <c r="I1435" s="48">
        <v>0.18372554602973401</v>
      </c>
      <c r="K1435" s="62">
        <v>0</v>
      </c>
      <c r="M1435" s="64"/>
      <c r="N1435" s="64"/>
    </row>
    <row r="1436" spans="1:14" x14ac:dyDescent="0.25">
      <c r="A1436" s="45" t="s">
        <v>1497</v>
      </c>
      <c r="B1436" s="46">
        <v>32770.535000000003</v>
      </c>
      <c r="C1436" s="60">
        <v>0.21</v>
      </c>
      <c r="D1436" s="47">
        <v>67043.257104999997</v>
      </c>
      <c r="E1436" s="47">
        <v>90873.798729999995</v>
      </c>
      <c r="F1436" s="47">
        <v>63548.110999999997</v>
      </c>
      <c r="G1436" s="48">
        <v>0.1517</v>
      </c>
      <c r="H1436" s="48">
        <v>0.1517</v>
      </c>
      <c r="I1436" s="48">
        <v>0.1718913236311379</v>
      </c>
      <c r="K1436" s="62">
        <v>0</v>
      </c>
      <c r="M1436" s="64"/>
      <c r="N1436" s="64"/>
    </row>
    <row r="1437" spans="1:14" x14ac:dyDescent="0.25">
      <c r="A1437" s="45" t="s">
        <v>1498</v>
      </c>
      <c r="B1437" s="46">
        <v>14964.922499999999</v>
      </c>
      <c r="C1437" s="60">
        <v>0.21</v>
      </c>
      <c r="D1437" s="47" t="s">
        <v>1839</v>
      </c>
      <c r="E1437" s="47" t="s">
        <v>1839</v>
      </c>
      <c r="F1437" s="47" t="s">
        <v>1839</v>
      </c>
      <c r="G1437" s="48">
        <v>0.16719999999999999</v>
      </c>
      <c r="H1437" s="48">
        <v>0.16719999999999999</v>
      </c>
      <c r="I1437" s="48">
        <v>0.23775194600680941</v>
      </c>
      <c r="K1437" s="62">
        <v>0</v>
      </c>
      <c r="M1437" s="64"/>
      <c r="N1437" s="64"/>
    </row>
    <row r="1438" spans="1:14" x14ac:dyDescent="0.25">
      <c r="A1438" s="45" t="s">
        <v>1499</v>
      </c>
      <c r="B1438" s="46">
        <v>32662.833499999997</v>
      </c>
      <c r="C1438" s="60">
        <v>0.21</v>
      </c>
      <c r="D1438" s="47" t="s">
        <v>1839</v>
      </c>
      <c r="E1438" s="47" t="s">
        <v>1839</v>
      </c>
      <c r="F1438" s="47" t="s">
        <v>1839</v>
      </c>
      <c r="G1438" s="48">
        <v>0.16250000000000001</v>
      </c>
      <c r="H1438" s="48">
        <v>0.16250000000000001</v>
      </c>
      <c r="I1438" s="48">
        <v>0.22066765976880481</v>
      </c>
      <c r="K1438" s="62">
        <v>0</v>
      </c>
      <c r="M1438" s="64"/>
      <c r="N1438" s="64"/>
    </row>
    <row r="1439" spans="1:14" x14ac:dyDescent="0.25">
      <c r="A1439" s="45" t="s">
        <v>1500</v>
      </c>
      <c r="B1439" s="46">
        <v>69102.638999999996</v>
      </c>
      <c r="C1439" s="60">
        <v>0.21</v>
      </c>
      <c r="D1439" s="47">
        <v>141372.89597499999</v>
      </c>
      <c r="E1439" s="47">
        <v>191623.92534999998</v>
      </c>
      <c r="F1439" s="47">
        <v>134002.745</v>
      </c>
      <c r="G1439" s="48">
        <v>0.1623</v>
      </c>
      <c r="H1439" s="48">
        <v>0.1623</v>
      </c>
      <c r="I1439" s="48">
        <v>0.18226505105836291</v>
      </c>
      <c r="K1439" s="62">
        <v>0</v>
      </c>
      <c r="M1439" s="64"/>
      <c r="N1439" s="64"/>
    </row>
    <row r="1440" spans="1:14" x14ac:dyDescent="0.25">
      <c r="A1440" s="45" t="s">
        <v>1501</v>
      </c>
      <c r="B1440" s="46">
        <v>46936.621500000001</v>
      </c>
      <c r="C1440" s="60">
        <v>0.21</v>
      </c>
      <c r="D1440" s="47">
        <v>114642.48229999999</v>
      </c>
      <c r="E1440" s="47">
        <v>155392.17979999998</v>
      </c>
      <c r="F1440" s="47">
        <v>108665.86</v>
      </c>
      <c r="G1440" s="48">
        <v>0.2235</v>
      </c>
      <c r="H1440" s="48">
        <v>0.2235</v>
      </c>
      <c r="I1440" s="48">
        <v>0.27777134756939392</v>
      </c>
      <c r="K1440" s="62">
        <v>0</v>
      </c>
      <c r="M1440" s="64"/>
      <c r="N1440" s="64"/>
    </row>
    <row r="1441" spans="1:14" x14ac:dyDescent="0.25">
      <c r="A1441" s="45" t="s">
        <v>1502</v>
      </c>
      <c r="B1441" s="46">
        <v>20018.59</v>
      </c>
      <c r="C1441" s="60">
        <v>0.21</v>
      </c>
      <c r="D1441" s="47" t="s">
        <v>1839</v>
      </c>
      <c r="E1441" s="47" t="s">
        <v>1839</v>
      </c>
      <c r="F1441" s="47" t="s">
        <v>1839</v>
      </c>
      <c r="G1441" s="48">
        <v>5.5300000000000002E-2</v>
      </c>
      <c r="H1441" s="48">
        <v>5.5300000000000002E-2</v>
      </c>
      <c r="I1441" s="48">
        <v>8.2816784884924388E-2</v>
      </c>
      <c r="K1441" s="62">
        <v>0</v>
      </c>
      <c r="M1441" s="64"/>
      <c r="N1441" s="64"/>
    </row>
    <row r="1442" spans="1:14" x14ac:dyDescent="0.25">
      <c r="A1442" s="45" t="s">
        <v>1503</v>
      </c>
      <c r="B1442" s="46">
        <v>76439.650499999989</v>
      </c>
      <c r="C1442" s="60">
        <v>0.21</v>
      </c>
      <c r="D1442" s="47">
        <v>186703.50297499998</v>
      </c>
      <c r="E1442" s="47">
        <v>253067.30734999999</v>
      </c>
      <c r="F1442" s="47">
        <v>176970.14499999999</v>
      </c>
      <c r="G1442" s="48">
        <v>0.22689999999999999</v>
      </c>
      <c r="H1442" s="48">
        <v>0.22689999999999999</v>
      </c>
      <c r="I1442" s="48">
        <v>0.27791264988076109</v>
      </c>
      <c r="K1442" s="62">
        <v>0</v>
      </c>
      <c r="M1442" s="64"/>
      <c r="N1442" s="64"/>
    </row>
    <row r="1443" spans="1:14" x14ac:dyDescent="0.25">
      <c r="A1443" s="45" t="s">
        <v>1504</v>
      </c>
      <c r="B1443" s="46">
        <v>19226.840999999997</v>
      </c>
      <c r="C1443" s="60">
        <v>0.21</v>
      </c>
      <c r="D1443" s="47">
        <v>39335.024064999998</v>
      </c>
      <c r="E1443" s="47">
        <v>53316.667690000002</v>
      </c>
      <c r="F1443" s="47">
        <v>37284.383000000002</v>
      </c>
      <c r="G1443" s="48">
        <v>0.1452</v>
      </c>
      <c r="H1443" s="48">
        <v>0.1452</v>
      </c>
      <c r="I1443" s="48">
        <v>0.17189135636066491</v>
      </c>
      <c r="K1443" s="62">
        <v>0</v>
      </c>
      <c r="M1443" s="64"/>
      <c r="N1443" s="64"/>
    </row>
    <row r="1444" spans="1:14" x14ac:dyDescent="0.25">
      <c r="A1444" s="45" t="s">
        <v>1505</v>
      </c>
      <c r="B1444" s="46">
        <v>114435.9645</v>
      </c>
      <c r="C1444" s="60">
        <v>0.21</v>
      </c>
      <c r="D1444" s="47">
        <v>279509.33890999999</v>
      </c>
      <c r="E1444" s="47">
        <v>378860.99965999997</v>
      </c>
      <c r="F1444" s="47">
        <v>264937.76199999999</v>
      </c>
      <c r="G1444" s="48">
        <v>0.22869999999999999</v>
      </c>
      <c r="H1444" s="48">
        <v>0.22869999999999999</v>
      </c>
      <c r="I1444" s="48">
        <v>0.27810017666457909</v>
      </c>
      <c r="K1444" s="62">
        <v>0</v>
      </c>
      <c r="M1444" s="64"/>
      <c r="N1444" s="64"/>
    </row>
    <row r="1445" spans="1:14" x14ac:dyDescent="0.25">
      <c r="A1445" s="45" t="s">
        <v>1506</v>
      </c>
      <c r="B1445" s="46">
        <v>35347.457499999997</v>
      </c>
      <c r="C1445" s="60">
        <v>0.21</v>
      </c>
      <c r="D1445" s="47">
        <v>72315.217649999991</v>
      </c>
      <c r="E1445" s="47">
        <v>98019.678899999984</v>
      </c>
      <c r="F1445" s="47">
        <v>68545.23</v>
      </c>
      <c r="G1445" s="48">
        <v>0.1542</v>
      </c>
      <c r="H1445" s="48">
        <v>0.1542</v>
      </c>
      <c r="I1445" s="48">
        <v>0.17282306389814611</v>
      </c>
      <c r="K1445" s="62">
        <v>0</v>
      </c>
      <c r="M1445" s="64"/>
      <c r="N1445" s="64"/>
    </row>
    <row r="1446" spans="1:14" x14ac:dyDescent="0.25">
      <c r="A1446" s="45" t="s">
        <v>1507</v>
      </c>
      <c r="B1446" s="46">
        <v>50180.120999999999</v>
      </c>
      <c r="C1446" s="60">
        <v>0.21</v>
      </c>
      <c r="D1446" s="47">
        <v>102660.47066499999</v>
      </c>
      <c r="E1446" s="47">
        <v>139151.15928999998</v>
      </c>
      <c r="F1446" s="47">
        <v>97308.502999999997</v>
      </c>
      <c r="G1446" s="48">
        <v>0.15909999999999999</v>
      </c>
      <c r="H1446" s="48">
        <v>0.15909999999999999</v>
      </c>
      <c r="I1446" s="48">
        <v>0.17853685032805691</v>
      </c>
      <c r="K1446" s="62">
        <v>0</v>
      </c>
      <c r="M1446" s="64"/>
      <c r="N1446" s="64"/>
    </row>
    <row r="1447" spans="1:14" x14ac:dyDescent="0.25">
      <c r="A1447" s="45" t="s">
        <v>1508</v>
      </c>
      <c r="B1447" s="46">
        <v>58354.965999999993</v>
      </c>
      <c r="C1447" s="60">
        <v>0.21</v>
      </c>
      <c r="D1447" s="47">
        <v>119384.883485</v>
      </c>
      <c r="E1447" s="47">
        <v>161820.26861</v>
      </c>
      <c r="F1447" s="47">
        <v>113161.027</v>
      </c>
      <c r="G1447" s="48">
        <v>0.15890000000000001</v>
      </c>
      <c r="H1447" s="48">
        <v>0.15890000000000001</v>
      </c>
      <c r="I1447" s="48">
        <v>0.17831525350374591</v>
      </c>
      <c r="K1447" s="62">
        <v>0</v>
      </c>
      <c r="M1447" s="64"/>
      <c r="N1447" s="64"/>
    </row>
    <row r="1448" spans="1:14" x14ac:dyDescent="0.25">
      <c r="A1448" s="45" t="s">
        <v>1509</v>
      </c>
      <c r="B1448" s="46">
        <v>124477.037</v>
      </c>
      <c r="C1448" s="60">
        <v>0.21</v>
      </c>
      <c r="D1448" s="47">
        <v>254660.01871999999</v>
      </c>
      <c r="E1448" s="47">
        <v>345178.98271999997</v>
      </c>
      <c r="F1448" s="47">
        <v>241383.90400000001</v>
      </c>
      <c r="G1448" s="48">
        <v>0.15909999999999999</v>
      </c>
      <c r="H1448" s="48">
        <v>0.15909999999999999</v>
      </c>
      <c r="I1448" s="48">
        <v>0.17854353197358491</v>
      </c>
      <c r="K1448" s="62">
        <v>0</v>
      </c>
      <c r="M1448" s="64"/>
      <c r="N1448" s="64"/>
    </row>
    <row r="1449" spans="1:14" x14ac:dyDescent="0.25">
      <c r="A1449" s="45" t="s">
        <v>1510</v>
      </c>
      <c r="B1449" s="46">
        <v>164647.64449999999</v>
      </c>
      <c r="C1449" s="60">
        <v>0.21</v>
      </c>
      <c r="D1449" s="47">
        <v>336842.63554499997</v>
      </c>
      <c r="E1449" s="47">
        <v>456573.43017000001</v>
      </c>
      <c r="F1449" s="47">
        <v>319282.11900000001</v>
      </c>
      <c r="G1449" s="48">
        <v>0.16200000000000001</v>
      </c>
      <c r="H1449" s="48">
        <v>0.16200000000000001</v>
      </c>
      <c r="I1449" s="48">
        <v>0.18186382071487209</v>
      </c>
      <c r="K1449" s="62">
        <v>0</v>
      </c>
      <c r="M1449" s="64"/>
      <c r="N1449" s="64"/>
    </row>
    <row r="1450" spans="1:14" x14ac:dyDescent="0.25">
      <c r="A1450" s="45" t="s">
        <v>1511</v>
      </c>
      <c r="B1450" s="46">
        <v>65488.724999999999</v>
      </c>
      <c r="C1450" s="60">
        <v>0.21</v>
      </c>
      <c r="D1450" s="47" t="s">
        <v>1839</v>
      </c>
      <c r="E1450" s="47" t="s">
        <v>1839</v>
      </c>
      <c r="F1450" s="47" t="s">
        <v>1839</v>
      </c>
      <c r="G1450" s="48">
        <v>0.15909999999999999</v>
      </c>
      <c r="H1450" s="48">
        <v>0.15909999999999999</v>
      </c>
      <c r="I1450" s="48">
        <v>0.2116185717179988</v>
      </c>
      <c r="K1450" s="62">
        <v>0</v>
      </c>
      <c r="M1450" s="64"/>
      <c r="N1450" s="64"/>
    </row>
    <row r="1451" spans="1:14" x14ac:dyDescent="0.25">
      <c r="A1451" s="45" t="s">
        <v>1512</v>
      </c>
      <c r="B1451" s="46">
        <v>6605.1409999999996</v>
      </c>
      <c r="C1451" s="60">
        <v>0.21</v>
      </c>
      <c r="D1451" s="47" t="s">
        <v>1839</v>
      </c>
      <c r="E1451" s="47" t="s">
        <v>1839</v>
      </c>
      <c r="F1451" s="47" t="s">
        <v>1839</v>
      </c>
      <c r="G1451" s="48">
        <v>0.11020000000000001</v>
      </c>
      <c r="H1451" s="48">
        <v>0.11020000000000001</v>
      </c>
      <c r="I1451" s="48">
        <v>0.18118696205781001</v>
      </c>
      <c r="K1451" s="62">
        <v>0</v>
      </c>
      <c r="M1451" s="64"/>
      <c r="N1451" s="64"/>
    </row>
    <row r="1452" spans="1:14" x14ac:dyDescent="0.25">
      <c r="A1452" s="45" t="s">
        <v>1513</v>
      </c>
      <c r="B1452" s="46">
        <v>95175.322499999995</v>
      </c>
      <c r="C1452" s="60">
        <v>0.21</v>
      </c>
      <c r="D1452" s="47" t="s">
        <v>1839</v>
      </c>
      <c r="E1452" s="47" t="s">
        <v>1839</v>
      </c>
      <c r="F1452" s="47" t="s">
        <v>1839</v>
      </c>
      <c r="G1452" s="48">
        <v>0.15690000000000001</v>
      </c>
      <c r="H1452" s="48">
        <v>0.15690000000000001</v>
      </c>
      <c r="I1452" s="48">
        <v>0.2049201850634832</v>
      </c>
      <c r="K1452" s="62">
        <v>0</v>
      </c>
      <c r="M1452" s="64"/>
      <c r="N1452" s="64"/>
    </row>
    <row r="1453" spans="1:14" x14ac:dyDescent="0.25">
      <c r="A1453" s="45" t="s">
        <v>1514</v>
      </c>
      <c r="B1453" s="46">
        <v>64127.403499999993</v>
      </c>
      <c r="C1453" s="60">
        <v>0.21</v>
      </c>
      <c r="D1453" s="47">
        <v>131194.37518999999</v>
      </c>
      <c r="E1453" s="47">
        <v>177827.44693999999</v>
      </c>
      <c r="F1453" s="47">
        <v>124354.85799999999</v>
      </c>
      <c r="G1453" s="48">
        <v>0.13519999999999999</v>
      </c>
      <c r="H1453" s="48">
        <v>0.13519999999999999</v>
      </c>
      <c r="I1453" s="48">
        <v>0.18149800945734171</v>
      </c>
      <c r="K1453" s="62">
        <v>0</v>
      </c>
      <c r="M1453" s="64"/>
      <c r="N1453" s="64"/>
    </row>
    <row r="1454" spans="1:14" x14ac:dyDescent="0.25">
      <c r="A1454" s="45" t="s">
        <v>1515</v>
      </c>
      <c r="B1454" s="46">
        <v>78260.126000000004</v>
      </c>
      <c r="C1454" s="60">
        <v>0.21</v>
      </c>
      <c r="D1454" s="47">
        <v>160107.63239499999</v>
      </c>
      <c r="E1454" s="47">
        <v>217017.92826999997</v>
      </c>
      <c r="F1454" s="47">
        <v>151760.78899999999</v>
      </c>
      <c r="G1454" s="48">
        <v>0.1633</v>
      </c>
      <c r="H1454" s="48">
        <v>0.1633</v>
      </c>
      <c r="I1454" s="48">
        <v>0.183422130216538</v>
      </c>
      <c r="K1454" s="62">
        <v>0</v>
      </c>
      <c r="M1454" s="64"/>
      <c r="N1454" s="64"/>
    </row>
    <row r="1455" spans="1:14" x14ac:dyDescent="0.25">
      <c r="A1455" s="45" t="s">
        <v>1516</v>
      </c>
      <c r="B1455" s="46">
        <v>198481.46699999998</v>
      </c>
      <c r="C1455" s="60">
        <v>0.21</v>
      </c>
      <c r="D1455" s="47" t="s">
        <v>1839</v>
      </c>
      <c r="E1455" s="47" t="s">
        <v>1839</v>
      </c>
      <c r="F1455" s="47" t="s">
        <v>1839</v>
      </c>
      <c r="G1455" s="48">
        <v>0.1565</v>
      </c>
      <c r="H1455" s="48">
        <v>0.1565</v>
      </c>
      <c r="I1455" s="48">
        <v>0.20978582116182451</v>
      </c>
      <c r="K1455" s="62">
        <v>0</v>
      </c>
      <c r="M1455" s="64"/>
      <c r="N1455" s="64"/>
    </row>
    <row r="1456" spans="1:14" x14ac:dyDescent="0.25">
      <c r="A1456" s="45" t="s">
        <v>1517</v>
      </c>
      <c r="B1456" s="46">
        <v>180584.70199999999</v>
      </c>
      <c r="C1456" s="60">
        <v>0.21</v>
      </c>
      <c r="D1456" s="47" t="s">
        <v>1839</v>
      </c>
      <c r="E1456" s="47" t="s">
        <v>1839</v>
      </c>
      <c r="F1456" s="47" t="s">
        <v>1839</v>
      </c>
      <c r="G1456" s="48">
        <v>0.15740000000000001</v>
      </c>
      <c r="H1456" s="48">
        <v>0.15740000000000001</v>
      </c>
      <c r="I1456" s="48">
        <v>0.21393134840385869</v>
      </c>
      <c r="K1456" s="62">
        <v>0</v>
      </c>
      <c r="M1456" s="64"/>
      <c r="N1456" s="64"/>
    </row>
    <row r="1457" spans="1:14" x14ac:dyDescent="0.25">
      <c r="A1457" s="45" t="s">
        <v>1518</v>
      </c>
      <c r="B1457" s="46">
        <v>2585.8524999999995</v>
      </c>
      <c r="C1457" s="60">
        <v>0.21</v>
      </c>
      <c r="D1457" s="47">
        <v>5290.24053</v>
      </c>
      <c r="E1457" s="47">
        <v>7170.6577799999995</v>
      </c>
      <c r="F1457" s="47">
        <v>5014.4459999999999</v>
      </c>
      <c r="G1457" s="48">
        <v>0.1406</v>
      </c>
      <c r="H1457" s="48">
        <v>0.1406</v>
      </c>
      <c r="I1457" s="48">
        <v>0.1718921836721902</v>
      </c>
      <c r="K1457" s="62">
        <v>0</v>
      </c>
      <c r="M1457" s="64"/>
      <c r="N1457" s="64"/>
    </row>
    <row r="1458" spans="1:14" x14ac:dyDescent="0.25">
      <c r="A1458" s="45" t="s">
        <v>1519</v>
      </c>
      <c r="B1458" s="46">
        <v>59506.7745</v>
      </c>
      <c r="C1458" s="60">
        <v>0.21</v>
      </c>
      <c r="D1458" s="47">
        <v>121741.30510999999</v>
      </c>
      <c r="E1458" s="47">
        <v>165014.28086</v>
      </c>
      <c r="F1458" s="47">
        <v>115394.602</v>
      </c>
      <c r="G1458" s="48">
        <v>0.15920000000000001</v>
      </c>
      <c r="H1458" s="48">
        <v>0.15920000000000001</v>
      </c>
      <c r="I1458" s="48">
        <v>0.17858304154281571</v>
      </c>
      <c r="K1458" s="62">
        <v>0</v>
      </c>
      <c r="M1458" s="64"/>
      <c r="N1458" s="64"/>
    </row>
    <row r="1459" spans="1:14" x14ac:dyDescent="0.25">
      <c r="A1459" s="45" t="s">
        <v>1520</v>
      </c>
      <c r="B1459" s="46">
        <v>83939.415999999997</v>
      </c>
      <c r="C1459" s="60">
        <v>0.21</v>
      </c>
      <c r="D1459" s="47">
        <v>171726.54889999999</v>
      </c>
      <c r="E1459" s="47">
        <v>232766.79140000002</v>
      </c>
      <c r="F1459" s="47">
        <v>162773.98000000001</v>
      </c>
      <c r="G1459" s="48">
        <v>0.1613</v>
      </c>
      <c r="H1459" s="48">
        <v>0.1613</v>
      </c>
      <c r="I1459" s="48">
        <v>0.18101246045993699</v>
      </c>
      <c r="K1459" s="62">
        <v>0</v>
      </c>
      <c r="M1459" s="64"/>
      <c r="N1459" s="64"/>
    </row>
    <row r="1460" spans="1:14" x14ac:dyDescent="0.25">
      <c r="A1460" s="45" t="s">
        <v>1521</v>
      </c>
      <c r="B1460" s="46">
        <v>124018.33899999999</v>
      </c>
      <c r="C1460" s="60">
        <v>0.21</v>
      </c>
      <c r="D1460" s="47">
        <v>253721.60149500001</v>
      </c>
      <c r="E1460" s="47">
        <v>343907.00487</v>
      </c>
      <c r="F1460" s="47">
        <v>240494.40900000001</v>
      </c>
      <c r="G1460" s="48">
        <v>0.13930000000000001</v>
      </c>
      <c r="H1460" s="48">
        <v>0.13930000000000001</v>
      </c>
      <c r="I1460" s="48">
        <v>0.18564152547245871</v>
      </c>
      <c r="K1460" s="62">
        <v>0</v>
      </c>
      <c r="M1460" s="64"/>
      <c r="N1460" s="64"/>
    </row>
    <row r="1461" spans="1:14" x14ac:dyDescent="0.25">
      <c r="A1461" s="45" t="s">
        <v>1522</v>
      </c>
      <c r="B1461" s="46">
        <v>7703.8445000000002</v>
      </c>
      <c r="C1461" s="60">
        <v>0.21</v>
      </c>
      <c r="D1461" s="47" t="s">
        <v>1839</v>
      </c>
      <c r="E1461" s="47" t="s">
        <v>1839</v>
      </c>
      <c r="F1461" s="47" t="s">
        <v>1839</v>
      </c>
      <c r="G1461" s="48">
        <v>0.1241</v>
      </c>
      <c r="H1461" s="48">
        <v>0.1241</v>
      </c>
      <c r="I1461" s="48">
        <v>0.1970776029142971</v>
      </c>
      <c r="K1461" s="62">
        <v>0</v>
      </c>
      <c r="M1461" s="64"/>
      <c r="N1461" s="64"/>
    </row>
    <row r="1462" spans="1:14" x14ac:dyDescent="0.25">
      <c r="A1462" s="45" t="s">
        <v>1523</v>
      </c>
      <c r="B1462" s="46">
        <v>50104.976000000002</v>
      </c>
      <c r="C1462" s="60">
        <v>0.21</v>
      </c>
      <c r="D1462" s="47">
        <v>102506.72235</v>
      </c>
      <c r="E1462" s="47">
        <v>138942.7611</v>
      </c>
      <c r="F1462" s="47">
        <v>97162.77</v>
      </c>
      <c r="G1462" s="48">
        <v>0.157</v>
      </c>
      <c r="H1462" s="48">
        <v>0.157</v>
      </c>
      <c r="I1462" s="48">
        <v>0.17603693959699951</v>
      </c>
      <c r="K1462" s="62">
        <v>0</v>
      </c>
      <c r="M1462" s="64"/>
      <c r="N1462" s="64"/>
    </row>
    <row r="1463" spans="1:14" x14ac:dyDescent="0.25">
      <c r="A1463" s="45" t="s">
        <v>1524</v>
      </c>
      <c r="B1463" s="46">
        <v>50104.976000000002</v>
      </c>
      <c r="C1463" s="60">
        <v>0.21</v>
      </c>
      <c r="D1463" s="47">
        <v>102506.72235</v>
      </c>
      <c r="E1463" s="47">
        <v>138942.7611</v>
      </c>
      <c r="F1463" s="47">
        <v>97162.77</v>
      </c>
      <c r="G1463" s="48">
        <v>0.157</v>
      </c>
      <c r="H1463" s="48">
        <v>0.157</v>
      </c>
      <c r="I1463" s="48">
        <v>0.17189133514831961</v>
      </c>
      <c r="K1463" s="62">
        <v>0</v>
      </c>
      <c r="M1463" s="64"/>
      <c r="N1463" s="64"/>
    </row>
    <row r="1464" spans="1:14" x14ac:dyDescent="0.25">
      <c r="A1464" s="45" t="s">
        <v>1525</v>
      </c>
      <c r="B1464" s="46">
        <v>50104.976000000002</v>
      </c>
      <c r="C1464" s="60">
        <v>0.21</v>
      </c>
      <c r="D1464" s="47">
        <v>102506.72235</v>
      </c>
      <c r="E1464" s="47">
        <v>138942.7611</v>
      </c>
      <c r="F1464" s="47">
        <v>97162.77</v>
      </c>
      <c r="G1464" s="48">
        <v>0.157</v>
      </c>
      <c r="H1464" s="48">
        <v>0.157</v>
      </c>
      <c r="I1464" s="48">
        <v>0.17189133514831961</v>
      </c>
      <c r="K1464" s="62">
        <v>0</v>
      </c>
      <c r="M1464" s="64"/>
      <c r="N1464" s="64"/>
    </row>
    <row r="1465" spans="1:14" x14ac:dyDescent="0.25">
      <c r="A1465" s="45" t="s">
        <v>1526</v>
      </c>
      <c r="B1465" s="46">
        <v>50104.976000000002</v>
      </c>
      <c r="C1465" s="60">
        <v>0.21</v>
      </c>
      <c r="D1465" s="47">
        <v>102506.72235</v>
      </c>
      <c r="E1465" s="47">
        <v>138942.7611</v>
      </c>
      <c r="F1465" s="47">
        <v>97162.77</v>
      </c>
      <c r="G1465" s="48">
        <v>0.157</v>
      </c>
      <c r="H1465" s="48">
        <v>0.157</v>
      </c>
      <c r="I1465" s="48">
        <v>0.17189133514831961</v>
      </c>
      <c r="K1465" s="62">
        <v>0</v>
      </c>
      <c r="M1465" s="64"/>
      <c r="N1465" s="64"/>
    </row>
    <row r="1466" spans="1:14" x14ac:dyDescent="0.25">
      <c r="A1466" s="45" t="s">
        <v>1527</v>
      </c>
      <c r="B1466" s="46">
        <v>78308.547500000001</v>
      </c>
      <c r="C1466" s="60">
        <v>0.21</v>
      </c>
      <c r="D1466" s="47">
        <v>150929.27692999999</v>
      </c>
      <c r="E1466" s="47">
        <v>204577.12418000001</v>
      </c>
      <c r="F1466" s="47">
        <v>143060.92600000001</v>
      </c>
      <c r="G1466" s="48">
        <v>0.1381</v>
      </c>
      <c r="H1466" s="48">
        <v>0.1381</v>
      </c>
      <c r="I1466" s="48">
        <v>0.1398000556936316</v>
      </c>
      <c r="K1466" s="62">
        <v>0</v>
      </c>
      <c r="M1466" s="64"/>
      <c r="N1466" s="64"/>
    </row>
    <row r="1467" spans="1:14" x14ac:dyDescent="0.25">
      <c r="A1467" s="45" t="s">
        <v>1528</v>
      </c>
      <c r="B1467" s="46">
        <v>21293.186000000002</v>
      </c>
      <c r="C1467" s="60">
        <v>0.21</v>
      </c>
      <c r="D1467" s="47">
        <v>43562.434384999993</v>
      </c>
      <c r="E1467" s="47">
        <v>59046.712009999996</v>
      </c>
      <c r="F1467" s="47">
        <v>41291.406999999999</v>
      </c>
      <c r="G1467" s="48">
        <v>0.12479999999999999</v>
      </c>
      <c r="H1467" s="48">
        <v>0.12479999999999999</v>
      </c>
      <c r="I1467" s="48">
        <v>0.17189131201908581</v>
      </c>
      <c r="K1467" s="62">
        <v>0</v>
      </c>
      <c r="M1467" s="64"/>
      <c r="N1467" s="64"/>
    </row>
    <row r="1468" spans="1:14" x14ac:dyDescent="0.25">
      <c r="A1468" s="45" t="s">
        <v>1529</v>
      </c>
      <c r="B1468" s="46">
        <v>66397.247999999992</v>
      </c>
      <c r="C1468" s="60">
        <v>0.21</v>
      </c>
      <c r="D1468" s="47">
        <v>135838.09378499998</v>
      </c>
      <c r="E1468" s="47">
        <v>184121.77640999999</v>
      </c>
      <c r="F1468" s="47">
        <v>128756.48699999999</v>
      </c>
      <c r="G1468" s="48">
        <v>0.16039999999999999</v>
      </c>
      <c r="H1468" s="48">
        <v>0.16039999999999999</v>
      </c>
      <c r="I1468" s="48">
        <v>0.17999126240012461</v>
      </c>
      <c r="K1468" s="62">
        <v>0</v>
      </c>
      <c r="M1468" s="64"/>
      <c r="N1468" s="64"/>
    </row>
    <row r="1469" spans="1:14" x14ac:dyDescent="0.25">
      <c r="A1469" s="45" t="s">
        <v>1530</v>
      </c>
      <c r="B1469" s="46">
        <v>76967.394499999995</v>
      </c>
      <c r="C1469" s="60">
        <v>0.21</v>
      </c>
      <c r="D1469" s="47">
        <v>157462.92779999998</v>
      </c>
      <c r="E1469" s="47">
        <v>213433.16279999999</v>
      </c>
      <c r="F1469" s="47">
        <v>149253.96</v>
      </c>
      <c r="G1469" s="48">
        <v>0.16039999999999999</v>
      </c>
      <c r="H1469" s="48">
        <v>0.16039999999999999</v>
      </c>
      <c r="I1469" s="48">
        <v>0.18166138974821211</v>
      </c>
      <c r="K1469" s="62">
        <v>0</v>
      </c>
      <c r="M1469" s="64"/>
      <c r="N1469" s="64"/>
    </row>
    <row r="1470" spans="1:14" x14ac:dyDescent="0.25">
      <c r="A1470" s="45" t="s">
        <v>1531</v>
      </c>
      <c r="B1470" s="46">
        <v>5014.9645</v>
      </c>
      <c r="C1470" s="60">
        <v>0.21</v>
      </c>
      <c r="D1470" s="47">
        <v>10259.824359999999</v>
      </c>
      <c r="E1470" s="47">
        <v>13906.681359999999</v>
      </c>
      <c r="F1470" s="47">
        <v>9724.9519999999993</v>
      </c>
      <c r="G1470" s="48">
        <v>0.1333</v>
      </c>
      <c r="H1470" s="48">
        <v>0.1333</v>
      </c>
      <c r="I1470" s="48">
        <v>0.19406238736918441</v>
      </c>
      <c r="K1470" s="62">
        <v>0</v>
      </c>
      <c r="M1470" s="64"/>
      <c r="N1470" s="64"/>
    </row>
    <row r="1471" spans="1:14" x14ac:dyDescent="0.25">
      <c r="A1471" s="45" t="s">
        <v>1532</v>
      </c>
      <c r="B1471" s="46">
        <v>95875.738499999992</v>
      </c>
      <c r="C1471" s="60">
        <v>0.105</v>
      </c>
      <c r="D1471" s="47" t="s">
        <v>1839</v>
      </c>
      <c r="E1471" s="47" t="s">
        <v>1839</v>
      </c>
      <c r="F1471" s="47" t="s">
        <v>1839</v>
      </c>
      <c r="G1471" s="48">
        <v>0.1081</v>
      </c>
      <c r="H1471" s="48">
        <v>0.1081</v>
      </c>
      <c r="I1471" s="48">
        <v>0.15907862363826511</v>
      </c>
      <c r="K1471" s="62">
        <v>0</v>
      </c>
      <c r="M1471" s="64"/>
      <c r="N1471" s="64"/>
    </row>
    <row r="1472" spans="1:14" x14ac:dyDescent="0.25">
      <c r="A1472" s="45" t="s">
        <v>1533</v>
      </c>
      <c r="B1472" s="46">
        <v>12474.697</v>
      </c>
      <c r="C1472" s="60">
        <v>0.21</v>
      </c>
      <c r="D1472" s="47" t="s">
        <v>1839</v>
      </c>
      <c r="E1472" s="47" t="s">
        <v>1839</v>
      </c>
      <c r="F1472" s="47" t="s">
        <v>1839</v>
      </c>
      <c r="G1472" s="48">
        <v>0.17649999999999999</v>
      </c>
      <c r="H1472" s="48">
        <v>0.17649999999999999</v>
      </c>
      <c r="I1472" s="48">
        <v>0.25121709612256432</v>
      </c>
      <c r="K1472" s="62">
        <v>0</v>
      </c>
      <c r="M1472" s="64"/>
      <c r="N1472" s="64"/>
    </row>
    <row r="1473" spans="1:14" x14ac:dyDescent="0.25">
      <c r="A1473" s="45" t="s">
        <v>1534</v>
      </c>
      <c r="B1473" s="46">
        <v>15238.607999999998</v>
      </c>
      <c r="C1473" s="60">
        <v>0.21</v>
      </c>
      <c r="D1473" s="47" t="s">
        <v>1839</v>
      </c>
      <c r="E1473" s="47" t="s">
        <v>1839</v>
      </c>
      <c r="F1473" s="47" t="s">
        <v>1839</v>
      </c>
      <c r="G1473" s="48">
        <v>3.78E-2</v>
      </c>
      <c r="H1473" s="48">
        <v>3.78E-2</v>
      </c>
      <c r="I1473" s="48">
        <v>5.5841280062166203E-2</v>
      </c>
      <c r="K1473" s="62">
        <v>0</v>
      </c>
      <c r="M1473" s="64"/>
      <c r="N1473" s="64"/>
    </row>
    <row r="1474" spans="1:14" x14ac:dyDescent="0.25">
      <c r="A1474" s="45" t="s">
        <v>1535</v>
      </c>
      <c r="B1474" s="46">
        <v>12797.449999999999</v>
      </c>
      <c r="C1474" s="60">
        <v>0.21</v>
      </c>
      <c r="D1474" s="47" t="s">
        <v>1839</v>
      </c>
      <c r="E1474" s="47" t="s">
        <v>1839</v>
      </c>
      <c r="F1474" s="47" t="s">
        <v>1839</v>
      </c>
      <c r="G1474" s="48">
        <v>0.1628</v>
      </c>
      <c r="H1474" s="48">
        <v>0.1628</v>
      </c>
      <c r="I1474" s="48">
        <v>0.23316361778450229</v>
      </c>
      <c r="K1474" s="62">
        <v>0</v>
      </c>
      <c r="M1474" s="64"/>
      <c r="N1474" s="64"/>
    </row>
    <row r="1475" spans="1:14" x14ac:dyDescent="0.25">
      <c r="A1475" s="45" t="s">
        <v>1536</v>
      </c>
      <c r="B1475" s="46">
        <v>228695.22899999999</v>
      </c>
      <c r="C1475" s="60">
        <v>0.21</v>
      </c>
      <c r="D1475" s="47">
        <v>467873.68934999994</v>
      </c>
      <c r="E1475" s="47">
        <v>634179.50309999997</v>
      </c>
      <c r="F1475" s="47">
        <v>443482.17</v>
      </c>
      <c r="G1475" s="48">
        <v>0.1462</v>
      </c>
      <c r="H1475" s="48">
        <v>0.1462</v>
      </c>
      <c r="I1475" s="48">
        <v>0.19215243114595129</v>
      </c>
      <c r="K1475" s="62">
        <v>0</v>
      </c>
      <c r="M1475" s="64"/>
      <c r="N1475" s="64"/>
    </row>
    <row r="1476" spans="1:14" x14ac:dyDescent="0.25">
      <c r="A1476" s="45" t="s">
        <v>1537</v>
      </c>
      <c r="B1476" s="46">
        <v>22939.364999999998</v>
      </c>
      <c r="C1476" s="60">
        <v>0.21</v>
      </c>
      <c r="D1476" s="47">
        <v>46930.267629999995</v>
      </c>
      <c r="E1476" s="47">
        <v>63611.64237999999</v>
      </c>
      <c r="F1476" s="47">
        <v>44483.665999999997</v>
      </c>
      <c r="G1476" s="48">
        <v>0.1452</v>
      </c>
      <c r="H1476" s="48">
        <v>0.1452</v>
      </c>
      <c r="I1476" s="48">
        <v>0.17189154401297471</v>
      </c>
      <c r="K1476" s="62">
        <v>0</v>
      </c>
      <c r="M1476" s="64"/>
      <c r="N1476" s="64"/>
    </row>
    <row r="1477" spans="1:14" x14ac:dyDescent="0.25">
      <c r="A1477" s="45" t="s">
        <v>1538</v>
      </c>
      <c r="B1477" s="46">
        <v>54989.172999999995</v>
      </c>
      <c r="C1477" s="60">
        <v>0.21</v>
      </c>
      <c r="D1477" s="47" t="s">
        <v>1839</v>
      </c>
      <c r="E1477" s="47" t="s">
        <v>1839</v>
      </c>
      <c r="F1477" s="47" t="s">
        <v>1839</v>
      </c>
      <c r="G1477" s="48">
        <v>3.44E-2</v>
      </c>
      <c r="H1477" s="48">
        <v>3.44E-2</v>
      </c>
      <c r="I1477" s="48">
        <v>5.1731509270798892E-2</v>
      </c>
      <c r="K1477" s="62">
        <v>0</v>
      </c>
      <c r="M1477" s="64"/>
      <c r="N1477" s="64"/>
    </row>
    <row r="1478" spans="1:14" x14ac:dyDescent="0.25">
      <c r="A1478" s="45" t="s">
        <v>1539</v>
      </c>
      <c r="B1478" s="46">
        <v>21402.055999999997</v>
      </c>
      <c r="C1478" s="60">
        <v>0.105</v>
      </c>
      <c r="D1478" s="47" t="s">
        <v>1839</v>
      </c>
      <c r="E1478" s="47" t="s">
        <v>1839</v>
      </c>
      <c r="F1478" s="47" t="s">
        <v>1839</v>
      </c>
      <c r="G1478" s="48">
        <v>0.15570000000000001</v>
      </c>
      <c r="H1478" s="48">
        <v>0.15570000000000001</v>
      </c>
      <c r="I1478" s="48">
        <v>0.2160815620715405</v>
      </c>
      <c r="K1478" s="62">
        <v>0</v>
      </c>
      <c r="M1478" s="64"/>
      <c r="N1478" s="64"/>
    </row>
    <row r="1479" spans="1:14" x14ac:dyDescent="0.25">
      <c r="A1479" s="45" t="s">
        <v>1540</v>
      </c>
      <c r="B1479" s="46">
        <v>27867.689499999997</v>
      </c>
      <c r="C1479" s="60">
        <v>0.21</v>
      </c>
      <c r="D1479" s="47" t="s">
        <v>1839</v>
      </c>
      <c r="E1479" s="47" t="s">
        <v>1839</v>
      </c>
      <c r="F1479" s="47" t="s">
        <v>1839</v>
      </c>
      <c r="G1479" s="48">
        <v>0.15529999999999999</v>
      </c>
      <c r="H1479" s="48">
        <v>0.15529999999999999</v>
      </c>
      <c r="I1479" s="48">
        <v>0.21036610199425559</v>
      </c>
      <c r="K1479" s="62">
        <v>0</v>
      </c>
      <c r="M1479" s="64"/>
      <c r="N1479" s="64"/>
    </row>
    <row r="1480" spans="1:14" x14ac:dyDescent="0.25">
      <c r="A1480" s="45" t="s">
        <v>1541</v>
      </c>
      <c r="B1480" s="46">
        <v>41357.537499999999</v>
      </c>
      <c r="C1480" s="60">
        <v>0.105</v>
      </c>
      <c r="D1480" s="47" t="s">
        <v>1839</v>
      </c>
      <c r="E1480" s="47" t="s">
        <v>1839</v>
      </c>
      <c r="F1480" s="47" t="s">
        <v>1839</v>
      </c>
      <c r="G1480" s="48">
        <v>0.15939999999999999</v>
      </c>
      <c r="H1480" s="48">
        <v>0.15939999999999999</v>
      </c>
      <c r="I1480" s="48">
        <v>0.21236284512118259</v>
      </c>
      <c r="K1480" s="62">
        <v>0</v>
      </c>
      <c r="M1480" s="64"/>
      <c r="N1480" s="64"/>
    </row>
    <row r="1481" spans="1:14" x14ac:dyDescent="0.25">
      <c r="A1481" s="45" t="s">
        <v>3663</v>
      </c>
      <c r="B1481" s="46">
        <v>6881.0969999999998</v>
      </c>
      <c r="C1481" s="60">
        <v>0.21</v>
      </c>
      <c r="D1481" s="47" t="s">
        <v>1839</v>
      </c>
      <c r="E1481" s="47" t="s">
        <v>1839</v>
      </c>
      <c r="F1481" s="47" t="s">
        <v>1839</v>
      </c>
      <c r="G1481" s="48">
        <v>0.1099</v>
      </c>
      <c r="H1481" s="48">
        <v>0.1099</v>
      </c>
      <c r="I1481" s="48">
        <v>0.17986201007236491</v>
      </c>
      <c r="K1481" s="62">
        <v>0</v>
      </c>
      <c r="M1481" s="64"/>
      <c r="N1481" s="64"/>
    </row>
    <row r="1482" spans="1:14" x14ac:dyDescent="0.25">
      <c r="A1482" s="45" t="s">
        <v>3657</v>
      </c>
      <c r="B1482" s="46">
        <v>6881.0969999999998</v>
      </c>
      <c r="C1482" s="60">
        <v>0.21</v>
      </c>
      <c r="D1482" s="47" t="s">
        <v>1839</v>
      </c>
      <c r="E1482" s="47" t="s">
        <v>1839</v>
      </c>
      <c r="F1482" s="47" t="s">
        <v>1839</v>
      </c>
      <c r="G1482" s="48">
        <v>0.15459999999999999</v>
      </c>
      <c r="H1482" s="48">
        <v>0.15459999999999999</v>
      </c>
      <c r="I1482" s="48">
        <v>0.22564764358086661</v>
      </c>
      <c r="K1482" s="62">
        <v>0</v>
      </c>
      <c r="M1482" s="64"/>
      <c r="N1482" s="64"/>
    </row>
    <row r="1483" spans="1:14" x14ac:dyDescent="0.25">
      <c r="A1483" s="45" t="s">
        <v>1542</v>
      </c>
      <c r="B1483" s="46">
        <v>28928.4215</v>
      </c>
      <c r="C1483" s="60">
        <v>0.105</v>
      </c>
      <c r="D1483" s="47" t="s">
        <v>1839</v>
      </c>
      <c r="E1483" s="47" t="s">
        <v>1839</v>
      </c>
      <c r="F1483" s="47" t="s">
        <v>1839</v>
      </c>
      <c r="G1483" s="48">
        <v>0.15559999999999999</v>
      </c>
      <c r="H1483" s="48">
        <v>0.15559999999999999</v>
      </c>
      <c r="I1483" s="48">
        <v>0.20960417521644259</v>
      </c>
      <c r="K1483" s="62">
        <v>0</v>
      </c>
      <c r="M1483" s="64"/>
      <c r="N1483" s="64"/>
    </row>
    <row r="1484" spans="1:14" x14ac:dyDescent="0.25">
      <c r="A1484" s="45" t="s">
        <v>3662</v>
      </c>
      <c r="B1484" s="46">
        <v>9745.7934999999998</v>
      </c>
      <c r="C1484" s="60">
        <v>0.21</v>
      </c>
      <c r="D1484" s="47" t="s">
        <v>1839</v>
      </c>
      <c r="E1484" s="47" t="s">
        <v>1839</v>
      </c>
      <c r="F1484" s="47" t="s">
        <v>1839</v>
      </c>
      <c r="G1484" s="48">
        <v>0.16450000000000001</v>
      </c>
      <c r="H1484" s="48">
        <v>0.16450000000000001</v>
      </c>
      <c r="I1484" s="48">
        <v>0.23212387271231311</v>
      </c>
      <c r="K1484" s="62">
        <v>0</v>
      </c>
      <c r="M1484" s="64"/>
      <c r="N1484" s="64"/>
    </row>
    <row r="1485" spans="1:14" x14ac:dyDescent="0.25">
      <c r="A1485" s="45" t="s">
        <v>3658</v>
      </c>
      <c r="B1485" s="46">
        <v>9745.7934999999998</v>
      </c>
      <c r="C1485" s="60">
        <v>0.21</v>
      </c>
      <c r="D1485" s="47" t="s">
        <v>1839</v>
      </c>
      <c r="E1485" s="47" t="s">
        <v>1839</v>
      </c>
      <c r="F1485" s="47" t="s">
        <v>1839</v>
      </c>
      <c r="G1485" s="48">
        <v>0.15989999999999999</v>
      </c>
      <c r="H1485" s="48">
        <v>0.15989999999999999</v>
      </c>
      <c r="I1485" s="48">
        <v>0.22588793911111979</v>
      </c>
      <c r="K1485" s="62">
        <v>0</v>
      </c>
      <c r="M1485" s="64"/>
      <c r="N1485" s="64"/>
    </row>
    <row r="1486" spans="1:14" x14ac:dyDescent="0.25">
      <c r="A1486" s="45" t="s">
        <v>3661</v>
      </c>
      <c r="B1486" s="46">
        <v>9745.7934999999998</v>
      </c>
      <c r="C1486" s="60">
        <v>0.21</v>
      </c>
      <c r="D1486" s="47" t="s">
        <v>1839</v>
      </c>
      <c r="E1486" s="47" t="s">
        <v>1839</v>
      </c>
      <c r="F1486" s="47" t="s">
        <v>1839</v>
      </c>
      <c r="G1486" s="48">
        <v>3.5299999999999998E-2</v>
      </c>
      <c r="H1486" s="48">
        <v>3.5299999999999998E-2</v>
      </c>
      <c r="I1486" s="48">
        <v>5.4889329564816257E-2</v>
      </c>
      <c r="K1486" s="62">
        <v>0</v>
      </c>
      <c r="M1486" s="64"/>
      <c r="N1486" s="64"/>
    </row>
    <row r="1487" spans="1:14" x14ac:dyDescent="0.25">
      <c r="A1487" s="45" t="s">
        <v>1543</v>
      </c>
      <c r="B1487" s="46">
        <v>9745.7934999999998</v>
      </c>
      <c r="C1487" s="60">
        <v>0.21</v>
      </c>
      <c r="D1487" s="47" t="s">
        <v>1839</v>
      </c>
      <c r="E1487" s="47" t="s">
        <v>1839</v>
      </c>
      <c r="F1487" s="47" t="s">
        <v>1839</v>
      </c>
      <c r="G1487" s="48">
        <v>3.5299999999999998E-2</v>
      </c>
      <c r="H1487" s="48">
        <v>3.5299999999999998E-2</v>
      </c>
      <c r="I1487" s="48">
        <v>5.4889329564816257E-2</v>
      </c>
      <c r="K1487" s="62">
        <v>0</v>
      </c>
      <c r="M1487" s="64"/>
      <c r="N1487" s="64"/>
    </row>
    <row r="1488" spans="1:14" x14ac:dyDescent="0.25">
      <c r="A1488" s="45" t="s">
        <v>1544</v>
      </c>
      <c r="B1488" s="46">
        <v>9745.7934999999998</v>
      </c>
      <c r="C1488" s="60">
        <v>0.21</v>
      </c>
      <c r="D1488" s="47" t="s">
        <v>1839</v>
      </c>
      <c r="E1488" s="47" t="s">
        <v>1839</v>
      </c>
      <c r="F1488" s="47" t="s">
        <v>1839</v>
      </c>
      <c r="G1488" s="48">
        <v>3.5299999999999998E-2</v>
      </c>
      <c r="H1488" s="48">
        <v>3.5299999999999998E-2</v>
      </c>
      <c r="I1488" s="48">
        <v>5.4889329564816257E-2</v>
      </c>
      <c r="K1488" s="62">
        <v>0</v>
      </c>
      <c r="M1488" s="64"/>
      <c r="N1488" s="64"/>
    </row>
    <row r="1489" spans="1:14" x14ac:dyDescent="0.25">
      <c r="A1489" s="45" t="s">
        <v>1545</v>
      </c>
      <c r="B1489" s="46">
        <v>9745.7934999999998</v>
      </c>
      <c r="C1489" s="60">
        <v>0.21</v>
      </c>
      <c r="D1489" s="47" t="s">
        <v>1839</v>
      </c>
      <c r="E1489" s="47" t="s">
        <v>1839</v>
      </c>
      <c r="F1489" s="47" t="s">
        <v>1839</v>
      </c>
      <c r="G1489" s="48">
        <v>3.5299999999999998E-2</v>
      </c>
      <c r="H1489" s="48">
        <v>3.5299999999999998E-2</v>
      </c>
      <c r="I1489" s="48">
        <v>5.4889329564816257E-2</v>
      </c>
      <c r="K1489" s="62">
        <v>0</v>
      </c>
      <c r="M1489" s="64"/>
      <c r="N1489" s="64"/>
    </row>
    <row r="1490" spans="1:14" x14ac:dyDescent="0.25">
      <c r="A1490" s="45" t="s">
        <v>1546</v>
      </c>
      <c r="B1490" s="46">
        <v>9745.7934999999998</v>
      </c>
      <c r="C1490" s="60">
        <v>0.21</v>
      </c>
      <c r="D1490" s="47" t="s">
        <v>1839</v>
      </c>
      <c r="E1490" s="47" t="s">
        <v>1839</v>
      </c>
      <c r="F1490" s="47" t="s">
        <v>1839</v>
      </c>
      <c r="G1490" s="48">
        <v>0.1593</v>
      </c>
      <c r="H1490" s="48">
        <v>0.1593</v>
      </c>
      <c r="I1490" s="48">
        <v>0.23212387271231311</v>
      </c>
      <c r="K1490" s="62">
        <v>0</v>
      </c>
      <c r="M1490" s="64"/>
      <c r="N1490" s="64"/>
    </row>
    <row r="1491" spans="1:14" x14ac:dyDescent="0.25">
      <c r="A1491" s="45" t="s">
        <v>1547</v>
      </c>
      <c r="B1491" s="46">
        <v>9745.7934999999998</v>
      </c>
      <c r="C1491" s="60">
        <v>0.21</v>
      </c>
      <c r="D1491" s="47" t="s">
        <v>1839</v>
      </c>
      <c r="E1491" s="47" t="s">
        <v>1839</v>
      </c>
      <c r="F1491" s="47" t="s">
        <v>1839</v>
      </c>
      <c r="G1491" s="48">
        <v>4.7E-2</v>
      </c>
      <c r="H1491" s="48">
        <v>4.7E-2</v>
      </c>
      <c r="I1491" s="48">
        <v>7.2591114831887682E-2</v>
      </c>
      <c r="K1491" s="62">
        <v>0</v>
      </c>
      <c r="M1491" s="64"/>
      <c r="N1491" s="64"/>
    </row>
    <row r="1492" spans="1:14" x14ac:dyDescent="0.25">
      <c r="A1492" s="45" t="s">
        <v>1548</v>
      </c>
      <c r="B1492" s="46">
        <v>57155.619499999993</v>
      </c>
      <c r="C1492" s="60">
        <v>0.21</v>
      </c>
      <c r="D1492" s="47" t="s">
        <v>1839</v>
      </c>
      <c r="E1492" s="47" t="s">
        <v>1839</v>
      </c>
      <c r="F1492" s="47" t="s">
        <v>1839</v>
      </c>
      <c r="G1492" s="48">
        <v>0.14249999999999999</v>
      </c>
      <c r="H1492" s="48">
        <v>0.14249999999999999</v>
      </c>
      <c r="I1492" s="48">
        <v>0.2045259965566554</v>
      </c>
      <c r="K1492" s="62">
        <v>0</v>
      </c>
      <c r="M1492" s="64"/>
      <c r="N1492" s="64"/>
    </row>
    <row r="1493" spans="1:14" x14ac:dyDescent="0.25">
      <c r="A1493" s="45" t="s">
        <v>1549</v>
      </c>
      <c r="B1493" s="46">
        <v>57155.619499999993</v>
      </c>
      <c r="C1493" s="60">
        <v>0.21</v>
      </c>
      <c r="D1493" s="47" t="s">
        <v>1839</v>
      </c>
      <c r="E1493" s="47" t="s">
        <v>1839</v>
      </c>
      <c r="F1493" s="47" t="s">
        <v>1839</v>
      </c>
      <c r="G1493" s="48">
        <v>3.5700000000000003E-2</v>
      </c>
      <c r="H1493" s="48">
        <v>3.5700000000000003E-2</v>
      </c>
      <c r="I1493" s="48">
        <v>5.4498287905933203E-2</v>
      </c>
      <c r="K1493" s="62">
        <v>0</v>
      </c>
      <c r="M1493" s="64"/>
      <c r="N1493" s="64"/>
    </row>
    <row r="1494" spans="1:14" x14ac:dyDescent="0.25">
      <c r="A1494" s="45" t="s">
        <v>1550</v>
      </c>
      <c r="B1494" s="46">
        <v>60415.354500000001</v>
      </c>
      <c r="C1494" s="60">
        <v>0.21</v>
      </c>
      <c r="D1494" s="47" t="s">
        <v>1839</v>
      </c>
      <c r="E1494" s="47" t="s">
        <v>1839</v>
      </c>
      <c r="F1494" s="47" t="s">
        <v>1839</v>
      </c>
      <c r="G1494" s="48">
        <v>0.1237</v>
      </c>
      <c r="H1494" s="48">
        <v>0.1237</v>
      </c>
      <c r="I1494" s="48">
        <v>0.16784995321262661</v>
      </c>
      <c r="K1494" s="62">
        <v>0</v>
      </c>
      <c r="M1494" s="64"/>
      <c r="N1494" s="64"/>
    </row>
    <row r="1495" spans="1:14" x14ac:dyDescent="0.25">
      <c r="A1495" s="45" t="s">
        <v>1551</v>
      </c>
      <c r="B1495" s="46">
        <v>60415.354500000001</v>
      </c>
      <c r="C1495" s="60">
        <v>0.21</v>
      </c>
      <c r="D1495" s="47" t="s">
        <v>1839</v>
      </c>
      <c r="E1495" s="47" t="s">
        <v>1839</v>
      </c>
      <c r="F1495" s="47" t="s">
        <v>1839</v>
      </c>
      <c r="G1495" s="48">
        <v>0.15670000000000001</v>
      </c>
      <c r="H1495" s="48">
        <v>0.15670000000000001</v>
      </c>
      <c r="I1495" s="48">
        <v>0.2088220784278951</v>
      </c>
      <c r="K1495" s="62">
        <v>0</v>
      </c>
      <c r="M1495" s="64"/>
      <c r="N1495" s="64"/>
    </row>
    <row r="1496" spans="1:14" x14ac:dyDescent="0.25">
      <c r="A1496" s="45" t="s">
        <v>1552</v>
      </c>
      <c r="B1496" s="46">
        <v>32552.082499999997</v>
      </c>
      <c r="C1496" s="60">
        <v>0.105</v>
      </c>
      <c r="D1496" s="47" t="s">
        <v>1839</v>
      </c>
      <c r="E1496" s="47" t="s">
        <v>1839</v>
      </c>
      <c r="F1496" s="47" t="s">
        <v>1839</v>
      </c>
      <c r="G1496" s="48">
        <v>6.7799999999999999E-2</v>
      </c>
      <c r="H1496" s="48">
        <v>6.7799999999999999E-2</v>
      </c>
      <c r="I1496" s="48">
        <v>9.6099095871928178E-2</v>
      </c>
      <c r="K1496" s="62">
        <v>0</v>
      </c>
      <c r="M1496" s="64"/>
      <c r="N1496" s="64"/>
    </row>
    <row r="1497" spans="1:14" x14ac:dyDescent="0.25">
      <c r="A1497" s="45" t="s">
        <v>1553</v>
      </c>
      <c r="B1497" s="46">
        <v>213122.34449999998</v>
      </c>
      <c r="C1497" s="60">
        <v>0.21</v>
      </c>
      <c r="D1497" s="47">
        <v>420979.11447999999</v>
      </c>
      <c r="E1497" s="47">
        <v>570616.24048000004</v>
      </c>
      <c r="F1497" s="47">
        <v>399032.33600000001</v>
      </c>
      <c r="G1497" s="48">
        <v>0.1236</v>
      </c>
      <c r="H1497" s="48">
        <v>0.1236</v>
      </c>
      <c r="I1497" s="48">
        <v>0.16489850589858909</v>
      </c>
      <c r="K1497" s="62">
        <v>0</v>
      </c>
      <c r="M1497" s="64"/>
      <c r="N1497" s="64"/>
    </row>
    <row r="1498" spans="1:14" x14ac:dyDescent="0.25">
      <c r="A1498" s="45" t="s">
        <v>65</v>
      </c>
      <c r="B1498" s="46">
        <v>18032.035499999998</v>
      </c>
      <c r="C1498" s="60">
        <v>0.105</v>
      </c>
      <c r="D1498" s="47" t="s">
        <v>1839</v>
      </c>
      <c r="E1498" s="47" t="s">
        <v>1839</v>
      </c>
      <c r="F1498" s="47" t="s">
        <v>1839</v>
      </c>
      <c r="G1498" s="48">
        <v>4.9399999999999999E-2</v>
      </c>
      <c r="H1498" s="48">
        <v>4.9399999999999999E-2</v>
      </c>
      <c r="I1498" s="48">
        <v>7.1391906950681649E-2</v>
      </c>
      <c r="K1498" s="62">
        <v>0</v>
      </c>
      <c r="M1498" s="64"/>
      <c r="N1498" s="64"/>
    </row>
    <row r="1499" spans="1:14" x14ac:dyDescent="0.25">
      <c r="A1499" s="45" t="s">
        <v>1554</v>
      </c>
      <c r="B1499" s="46">
        <v>5039.5315000000001</v>
      </c>
      <c r="C1499" s="60">
        <v>0.21</v>
      </c>
      <c r="D1499" s="47">
        <v>10310.068734999999</v>
      </c>
      <c r="E1499" s="47">
        <v>13974.785109999999</v>
      </c>
      <c r="F1499" s="47">
        <v>9772.5769999999993</v>
      </c>
      <c r="G1499" s="48">
        <v>0.12509999999999999</v>
      </c>
      <c r="H1499" s="48">
        <v>0.12509999999999999</v>
      </c>
      <c r="I1499" s="48">
        <v>0.1988973739770612</v>
      </c>
      <c r="K1499" s="62">
        <v>0</v>
      </c>
      <c r="M1499" s="64"/>
      <c r="N1499" s="64"/>
    </row>
    <row r="1500" spans="1:14" x14ac:dyDescent="0.25">
      <c r="A1500" s="45" t="s">
        <v>1555</v>
      </c>
      <c r="B1500" s="46">
        <v>5039.5315000000001</v>
      </c>
      <c r="C1500" s="60">
        <v>0.21</v>
      </c>
      <c r="D1500" s="47">
        <v>10310.068734999999</v>
      </c>
      <c r="E1500" s="47">
        <v>13974.785109999999</v>
      </c>
      <c r="F1500" s="47">
        <v>9772.5769999999993</v>
      </c>
      <c r="G1500" s="48">
        <v>0.12509999999999999</v>
      </c>
      <c r="H1500" s="48">
        <v>0.12509999999999999</v>
      </c>
      <c r="I1500" s="48">
        <v>0.19823391486301911</v>
      </c>
      <c r="K1500" s="62">
        <v>0</v>
      </c>
      <c r="M1500" s="64"/>
      <c r="N1500" s="64"/>
    </row>
    <row r="1501" spans="1:14" x14ac:dyDescent="0.25">
      <c r="A1501" s="45" t="s">
        <v>1556</v>
      </c>
      <c r="B1501" s="46">
        <v>5039.5315000000001</v>
      </c>
      <c r="C1501" s="60">
        <v>0.21</v>
      </c>
      <c r="D1501" s="47">
        <v>10310.068734999999</v>
      </c>
      <c r="E1501" s="47">
        <v>13974.785109999999</v>
      </c>
      <c r="F1501" s="47">
        <v>9772.5769999999993</v>
      </c>
      <c r="G1501" s="48">
        <v>0.12509999999999999</v>
      </c>
      <c r="H1501" s="48">
        <v>0.12509999999999999</v>
      </c>
      <c r="I1501" s="48">
        <v>0.1988973739770612</v>
      </c>
      <c r="K1501" s="62">
        <v>0</v>
      </c>
      <c r="M1501" s="64"/>
      <c r="N1501" s="64"/>
    </row>
    <row r="1502" spans="1:14" x14ac:dyDescent="0.25">
      <c r="A1502" s="45" t="s">
        <v>1557</v>
      </c>
      <c r="B1502" s="46">
        <v>12489.298499999999</v>
      </c>
      <c r="C1502" s="60">
        <v>0.21</v>
      </c>
      <c r="D1502" s="47">
        <v>25551.092474999998</v>
      </c>
      <c r="E1502" s="47">
        <v>34633.234349999999</v>
      </c>
      <c r="F1502" s="47">
        <v>24219.044999999998</v>
      </c>
      <c r="G1502" s="48">
        <v>0.17080000000000001</v>
      </c>
      <c r="H1502" s="48">
        <v>0.17080000000000001</v>
      </c>
      <c r="I1502" s="48">
        <v>0.17189118442940171</v>
      </c>
      <c r="K1502" s="62">
        <v>0</v>
      </c>
      <c r="M1502" s="64"/>
      <c r="N1502" s="64"/>
    </row>
    <row r="1503" spans="1:14" x14ac:dyDescent="0.25">
      <c r="A1503" s="45" t="s">
        <v>1558</v>
      </c>
      <c r="B1503" s="46">
        <v>12489.298499999999</v>
      </c>
      <c r="C1503" s="60">
        <v>0.21</v>
      </c>
      <c r="D1503" s="47">
        <v>25551.092474999998</v>
      </c>
      <c r="E1503" s="47">
        <v>34633.234349999999</v>
      </c>
      <c r="F1503" s="47">
        <v>24219.044999999998</v>
      </c>
      <c r="G1503" s="48">
        <v>0.13139999999999999</v>
      </c>
      <c r="H1503" s="48">
        <v>0.13139999999999999</v>
      </c>
      <c r="I1503" s="48">
        <v>0.17189118442940171</v>
      </c>
      <c r="K1503" s="62">
        <v>0</v>
      </c>
      <c r="M1503" s="64"/>
      <c r="N1503" s="64"/>
    </row>
    <row r="1504" spans="1:14" x14ac:dyDescent="0.25">
      <c r="A1504" s="45" t="s">
        <v>1559</v>
      </c>
      <c r="B1504" s="46">
        <v>13576.5355</v>
      </c>
      <c r="C1504" s="60">
        <v>0.21</v>
      </c>
      <c r="D1504" s="47" t="s">
        <v>1839</v>
      </c>
      <c r="E1504" s="47" t="s">
        <v>1839</v>
      </c>
      <c r="F1504" s="47" t="s">
        <v>1839</v>
      </c>
      <c r="G1504" s="48">
        <v>0.16769999999999999</v>
      </c>
      <c r="H1504" s="48">
        <v>0.16769999999999999</v>
      </c>
      <c r="I1504" s="48">
        <v>0.2317977970808181</v>
      </c>
      <c r="K1504" s="62">
        <v>0</v>
      </c>
      <c r="M1504" s="64"/>
      <c r="N1504" s="64"/>
    </row>
    <row r="1505" spans="1:14" x14ac:dyDescent="0.25">
      <c r="A1505" s="45" t="s">
        <v>1560</v>
      </c>
      <c r="B1505" s="46">
        <v>169910.01749999999</v>
      </c>
      <c r="C1505" s="60">
        <v>0.21</v>
      </c>
      <c r="D1505" s="47" t="s">
        <v>1839</v>
      </c>
      <c r="E1505" s="47" t="s">
        <v>1839</v>
      </c>
      <c r="F1505" s="47" t="s">
        <v>1839</v>
      </c>
      <c r="G1505" s="48">
        <v>0.156</v>
      </c>
      <c r="H1505" s="48">
        <v>0.156</v>
      </c>
      <c r="I1505" s="48">
        <v>0.21617590014337709</v>
      </c>
      <c r="K1505" s="62">
        <v>0</v>
      </c>
      <c r="M1505" s="64"/>
      <c r="N1505" s="64"/>
    </row>
    <row r="1506" spans="1:14" x14ac:dyDescent="0.25">
      <c r="A1506" s="45" t="s">
        <v>1561</v>
      </c>
      <c r="B1506" s="46">
        <v>50188.224499999997</v>
      </c>
      <c r="C1506" s="60">
        <v>0.21</v>
      </c>
      <c r="D1506" s="47" t="s">
        <v>1839</v>
      </c>
      <c r="E1506" s="47" t="s">
        <v>1839</v>
      </c>
      <c r="F1506" s="47" t="s">
        <v>1839</v>
      </c>
      <c r="G1506" s="48">
        <v>0.16109999999999999</v>
      </c>
      <c r="H1506" s="48">
        <v>0.16109999999999999</v>
      </c>
      <c r="I1506" s="48">
        <v>0.21511305528467209</v>
      </c>
      <c r="K1506" s="62">
        <v>0</v>
      </c>
      <c r="M1506" s="64"/>
      <c r="N1506" s="64"/>
    </row>
    <row r="1507" spans="1:14" x14ac:dyDescent="0.25">
      <c r="A1507" s="45" t="s">
        <v>1562</v>
      </c>
      <c r="B1507" s="46">
        <v>78452.899999999994</v>
      </c>
      <c r="C1507" s="60">
        <v>0.21</v>
      </c>
      <c r="D1507" s="47" t="s">
        <v>1839</v>
      </c>
      <c r="E1507" s="47" t="s">
        <v>1839</v>
      </c>
      <c r="F1507" s="47" t="s">
        <v>1839</v>
      </c>
      <c r="G1507" s="48">
        <v>0.1595</v>
      </c>
      <c r="H1507" s="48">
        <v>0.1595</v>
      </c>
      <c r="I1507" s="48">
        <v>0.2187129784933643</v>
      </c>
      <c r="K1507" s="62">
        <v>0</v>
      </c>
      <c r="M1507" s="64"/>
      <c r="N1507" s="64"/>
    </row>
    <row r="1508" spans="1:14" x14ac:dyDescent="0.25">
      <c r="A1508" s="45" t="s">
        <v>1563</v>
      </c>
      <c r="B1508" s="46">
        <v>22139.009000000002</v>
      </c>
      <c r="C1508" s="60">
        <v>0.21</v>
      </c>
      <c r="D1508" s="47" t="s">
        <v>1839</v>
      </c>
      <c r="E1508" s="47" t="s">
        <v>1839</v>
      </c>
      <c r="F1508" s="47" t="s">
        <v>1839</v>
      </c>
      <c r="G1508" s="48">
        <v>4.07E-2</v>
      </c>
      <c r="H1508" s="48">
        <v>4.07E-2</v>
      </c>
      <c r="I1508" s="48">
        <v>5.970779034369824E-2</v>
      </c>
      <c r="K1508" s="62">
        <v>0</v>
      </c>
      <c r="M1508" s="64"/>
      <c r="N1508" s="64"/>
    </row>
    <row r="1509" spans="1:14" x14ac:dyDescent="0.25">
      <c r="A1509" s="45" t="s">
        <v>1564</v>
      </c>
      <c r="B1509" s="46">
        <v>27186.929</v>
      </c>
      <c r="C1509" s="60">
        <v>0.21</v>
      </c>
      <c r="D1509" s="47" t="s">
        <v>1839</v>
      </c>
      <c r="E1509" s="47" t="s">
        <v>1839</v>
      </c>
      <c r="F1509" s="47" t="s">
        <v>1839</v>
      </c>
      <c r="G1509" s="48">
        <v>4.0300000000000002E-2</v>
      </c>
      <c r="H1509" s="48">
        <v>4.0300000000000002E-2</v>
      </c>
      <c r="I1509" s="48">
        <v>6.1823505276834348E-2</v>
      </c>
      <c r="K1509" s="62">
        <v>0</v>
      </c>
      <c r="M1509" s="64"/>
      <c r="N1509" s="64"/>
    </row>
    <row r="1510" spans="1:14" x14ac:dyDescent="0.25">
      <c r="A1510" s="45" t="s">
        <v>1565</v>
      </c>
      <c r="B1510" s="46">
        <v>59985.3845</v>
      </c>
      <c r="C1510" s="60">
        <v>0.21</v>
      </c>
      <c r="D1510" s="47">
        <v>116876.629</v>
      </c>
      <c r="E1510" s="47">
        <v>158420.454</v>
      </c>
      <c r="F1510" s="47">
        <v>110783.534</v>
      </c>
      <c r="G1510" s="48">
        <v>0.1593</v>
      </c>
      <c r="H1510" s="48">
        <v>0.1593</v>
      </c>
      <c r="I1510" s="48">
        <v>0.17951289779474169</v>
      </c>
      <c r="K1510" s="62">
        <v>0</v>
      </c>
      <c r="M1510" s="64"/>
      <c r="N1510" s="64"/>
    </row>
    <row r="1511" spans="1:14" x14ac:dyDescent="0.25">
      <c r="A1511" s="45" t="s">
        <v>1566</v>
      </c>
      <c r="B1511" s="46">
        <v>21214.155499999997</v>
      </c>
      <c r="C1511" s="60">
        <v>0.105</v>
      </c>
      <c r="D1511" s="47">
        <v>38267.858859999993</v>
      </c>
      <c r="E1511" s="47">
        <v>51870.178359999998</v>
      </c>
      <c r="F1511" s="47">
        <v>36272.851999999999</v>
      </c>
      <c r="G1511" s="48">
        <v>0.17230000000000001</v>
      </c>
      <c r="H1511" s="48">
        <v>0.17230000000000001</v>
      </c>
      <c r="I1511" s="48">
        <v>0.17779541099835189</v>
      </c>
      <c r="K1511" s="62">
        <v>0</v>
      </c>
      <c r="M1511" s="64"/>
      <c r="N1511" s="64"/>
    </row>
    <row r="1512" spans="1:14" x14ac:dyDescent="0.25">
      <c r="A1512" s="45" t="s">
        <v>1567</v>
      </c>
      <c r="B1512" s="46">
        <v>10019.735499999999</v>
      </c>
      <c r="C1512" s="60">
        <v>0.21</v>
      </c>
      <c r="D1512" s="47">
        <v>20498.762885</v>
      </c>
      <c r="E1512" s="47">
        <v>27785.05301</v>
      </c>
      <c r="F1512" s="47">
        <v>19430.107</v>
      </c>
      <c r="G1512" s="48">
        <v>0.1134</v>
      </c>
      <c r="H1512" s="48">
        <v>0.1134</v>
      </c>
      <c r="I1512" s="48">
        <v>0.17189109619445281</v>
      </c>
      <c r="K1512" s="62">
        <v>0</v>
      </c>
      <c r="M1512" s="64"/>
      <c r="N1512" s="64"/>
    </row>
    <row r="1513" spans="1:14" x14ac:dyDescent="0.25">
      <c r="A1513" s="45" t="s">
        <v>1568</v>
      </c>
      <c r="B1513" s="46">
        <v>13281.816999999999</v>
      </c>
      <c r="C1513" s="60">
        <v>0.21</v>
      </c>
      <c r="D1513" s="47">
        <v>27172.465004999998</v>
      </c>
      <c r="E1513" s="47">
        <v>36830.924129999999</v>
      </c>
      <c r="F1513" s="47">
        <v>25755.891</v>
      </c>
      <c r="G1513" s="48">
        <v>0.1338</v>
      </c>
      <c r="H1513" s="48">
        <v>0.1338</v>
      </c>
      <c r="I1513" s="48">
        <v>0.17189132008817251</v>
      </c>
      <c r="K1513" s="62">
        <v>0</v>
      </c>
      <c r="M1513" s="64"/>
      <c r="N1513" s="64"/>
    </row>
    <row r="1514" spans="1:14" x14ac:dyDescent="0.25">
      <c r="A1514" s="45" t="s">
        <v>1569</v>
      </c>
      <c r="B1514" s="46">
        <v>7512.267499999999</v>
      </c>
      <c r="C1514" s="60">
        <v>0.21</v>
      </c>
      <c r="D1514" s="47">
        <v>15368.883409999999</v>
      </c>
      <c r="E1514" s="47">
        <v>20831.756659999999</v>
      </c>
      <c r="F1514" s="47">
        <v>14567.662</v>
      </c>
      <c r="G1514" s="48">
        <v>0.1053</v>
      </c>
      <c r="H1514" s="48">
        <v>0.1053</v>
      </c>
      <c r="I1514" s="48">
        <v>0.1718910568755771</v>
      </c>
      <c r="K1514" s="62">
        <v>0</v>
      </c>
      <c r="M1514" s="64"/>
      <c r="N1514" s="64"/>
    </row>
    <row r="1515" spans="1:14" x14ac:dyDescent="0.25">
      <c r="A1515" s="45" t="s">
        <v>1570</v>
      </c>
      <c r="B1515" s="46">
        <v>28928.4215</v>
      </c>
      <c r="C1515" s="60">
        <v>0.105</v>
      </c>
      <c r="D1515" s="47" t="s">
        <v>1839</v>
      </c>
      <c r="E1515" s="47" t="s">
        <v>1839</v>
      </c>
      <c r="F1515" s="47" t="s">
        <v>1839</v>
      </c>
      <c r="G1515" s="48">
        <v>0.15559999999999999</v>
      </c>
      <c r="H1515" s="48">
        <v>0.15559999999999999</v>
      </c>
      <c r="I1515" s="48">
        <v>0.20960417521644259</v>
      </c>
      <c r="K1515" s="62">
        <v>0</v>
      </c>
      <c r="M1515" s="64"/>
      <c r="N1515" s="64"/>
    </row>
    <row r="1516" spans="1:14" x14ac:dyDescent="0.25">
      <c r="A1516" s="45" t="s">
        <v>1571</v>
      </c>
      <c r="B1516" s="46">
        <v>312817.48199999996</v>
      </c>
      <c r="C1516" s="60">
        <v>0.21</v>
      </c>
      <c r="D1516" s="47">
        <v>617906.24054499995</v>
      </c>
      <c r="E1516" s="47">
        <v>837541.16016999993</v>
      </c>
      <c r="F1516" s="47">
        <v>585693.11899999995</v>
      </c>
      <c r="G1516" s="48">
        <v>0.1278</v>
      </c>
      <c r="H1516" s="48">
        <v>0.1278</v>
      </c>
      <c r="I1516" s="48">
        <v>0.1688225406924711</v>
      </c>
      <c r="K1516" s="62">
        <v>0</v>
      </c>
      <c r="M1516" s="64"/>
      <c r="N1516" s="64"/>
    </row>
    <row r="1517" spans="1:14" x14ac:dyDescent="0.25">
      <c r="A1517" s="45" t="s">
        <v>1572</v>
      </c>
      <c r="B1517" s="46">
        <v>312817.48199999996</v>
      </c>
      <c r="C1517" s="60">
        <v>0.21</v>
      </c>
      <c r="D1517" s="47">
        <v>617906.24054499995</v>
      </c>
      <c r="E1517" s="47">
        <v>837541.16016999993</v>
      </c>
      <c r="F1517" s="47">
        <v>585693.11899999995</v>
      </c>
      <c r="G1517" s="48">
        <v>0.1278</v>
      </c>
      <c r="H1517" s="48">
        <v>0.1278</v>
      </c>
      <c r="I1517" s="48">
        <v>0.1688225406924711</v>
      </c>
      <c r="K1517" s="62">
        <v>0</v>
      </c>
      <c r="M1517" s="64"/>
      <c r="N1517" s="64"/>
    </row>
    <row r="1518" spans="1:14" x14ac:dyDescent="0.25">
      <c r="A1518" s="45" t="s">
        <v>1573</v>
      </c>
      <c r="B1518" s="46">
        <v>38590.7575</v>
      </c>
      <c r="C1518" s="60">
        <v>0.21</v>
      </c>
      <c r="D1518" s="47">
        <v>78950.481899999999</v>
      </c>
      <c r="E1518" s="47">
        <v>107013.4494</v>
      </c>
      <c r="F1518" s="47">
        <v>74834.58</v>
      </c>
      <c r="G1518" s="48">
        <v>0.15390000000000001</v>
      </c>
      <c r="H1518" s="48">
        <v>0.15390000000000001</v>
      </c>
      <c r="I1518" s="48">
        <v>0.1724396829709354</v>
      </c>
      <c r="K1518" s="62">
        <v>0</v>
      </c>
      <c r="M1518" s="64"/>
      <c r="N1518" s="64"/>
    </row>
    <row r="1519" spans="1:14" x14ac:dyDescent="0.25">
      <c r="A1519" s="45" t="s">
        <v>1574</v>
      </c>
      <c r="B1519" s="46">
        <v>45053.084999999999</v>
      </c>
      <c r="C1519" s="60">
        <v>0.21</v>
      </c>
      <c r="D1519" s="47">
        <v>92171.377924999993</v>
      </c>
      <c r="E1519" s="47">
        <v>124933.71604999999</v>
      </c>
      <c r="F1519" s="47">
        <v>87366.235000000001</v>
      </c>
      <c r="G1519" s="48">
        <v>0.15579999999999999</v>
      </c>
      <c r="H1519" s="48">
        <v>0.15579999999999999</v>
      </c>
      <c r="I1519" s="48">
        <v>0.17467474643950551</v>
      </c>
      <c r="K1519" s="62">
        <v>0</v>
      </c>
      <c r="M1519" s="64"/>
      <c r="N1519" s="64"/>
    </row>
    <row r="1520" spans="1:14" x14ac:dyDescent="0.25">
      <c r="A1520" s="45" t="s">
        <v>1575</v>
      </c>
      <c r="B1520" s="46">
        <v>108476.9375</v>
      </c>
      <c r="C1520" s="60">
        <v>0.21</v>
      </c>
      <c r="D1520" s="47">
        <v>221926.37969</v>
      </c>
      <c r="E1520" s="47">
        <v>300810.16394</v>
      </c>
      <c r="F1520" s="47">
        <v>210356.758</v>
      </c>
      <c r="G1520" s="48">
        <v>0.1663</v>
      </c>
      <c r="H1520" s="48">
        <v>0.1663</v>
      </c>
      <c r="I1520" s="48">
        <v>0.18660969625318491</v>
      </c>
      <c r="K1520" s="62">
        <v>0</v>
      </c>
      <c r="M1520" s="64"/>
      <c r="N1520" s="64"/>
    </row>
    <row r="1521" spans="1:14" x14ac:dyDescent="0.25">
      <c r="A1521" s="45" t="s">
        <v>1576</v>
      </c>
      <c r="B1521" s="46">
        <v>26297.994999999999</v>
      </c>
      <c r="C1521" s="60">
        <v>0.21</v>
      </c>
      <c r="D1521" s="47">
        <v>53801.476300000002</v>
      </c>
      <c r="E1521" s="47">
        <v>72925.223800000007</v>
      </c>
      <c r="F1521" s="47">
        <v>50996.66</v>
      </c>
      <c r="G1521" s="48">
        <v>0.14799999999999999</v>
      </c>
      <c r="H1521" s="48">
        <v>0.14799999999999999</v>
      </c>
      <c r="I1521" s="48">
        <v>0.17189152719507389</v>
      </c>
      <c r="K1521" s="62">
        <v>0</v>
      </c>
      <c r="M1521" s="64"/>
      <c r="N1521" s="64"/>
    </row>
    <row r="1522" spans="1:14" x14ac:dyDescent="0.25">
      <c r="A1522" s="45" t="s">
        <v>1577</v>
      </c>
      <c r="B1522" s="46">
        <v>24589.163499999999</v>
      </c>
      <c r="C1522" s="60">
        <v>0.105</v>
      </c>
      <c r="D1522" s="47" t="s">
        <v>1839</v>
      </c>
      <c r="E1522" s="47" t="s">
        <v>1839</v>
      </c>
      <c r="F1522" s="47" t="s">
        <v>1839</v>
      </c>
      <c r="G1522" s="48">
        <v>5.6000000000000001E-2</v>
      </c>
      <c r="H1522" s="48">
        <v>5.6000000000000001E-2</v>
      </c>
      <c r="I1522" s="48">
        <v>8.0019541989406973E-2</v>
      </c>
      <c r="K1522" s="62">
        <v>0</v>
      </c>
      <c r="M1522" s="64"/>
      <c r="N1522" s="64"/>
    </row>
    <row r="1523" spans="1:14" x14ac:dyDescent="0.25">
      <c r="A1523" s="45" t="s">
        <v>1578</v>
      </c>
      <c r="B1523" s="46">
        <v>1766.0594999999998</v>
      </c>
      <c r="C1523" s="60">
        <v>0.21</v>
      </c>
      <c r="D1523" s="47">
        <v>3613.0730589999998</v>
      </c>
      <c r="E1523" s="47">
        <v>4897.3407339999994</v>
      </c>
      <c r="F1523" s="47">
        <v>3424.7138</v>
      </c>
      <c r="G1523" s="48">
        <v>0.1265</v>
      </c>
      <c r="H1523" s="48">
        <v>0.1265</v>
      </c>
      <c r="I1523" s="48">
        <v>0.1718910908501031</v>
      </c>
      <c r="K1523" s="62">
        <v>0</v>
      </c>
      <c r="M1523" s="64"/>
      <c r="N1523" s="64"/>
    </row>
    <row r="1524" spans="1:14" x14ac:dyDescent="0.25">
      <c r="A1524" s="45" t="s">
        <v>1579</v>
      </c>
      <c r="B1524" s="46">
        <v>1766.0594999999998</v>
      </c>
      <c r="C1524" s="60">
        <v>0.21</v>
      </c>
      <c r="D1524" s="47">
        <v>3613.0730589999998</v>
      </c>
      <c r="E1524" s="47">
        <v>4897.3407339999994</v>
      </c>
      <c r="F1524" s="47">
        <v>3424.7138</v>
      </c>
      <c r="G1524" s="48">
        <v>0.1265</v>
      </c>
      <c r="H1524" s="48">
        <v>0.1265</v>
      </c>
      <c r="I1524" s="48">
        <v>0.1718910908501031</v>
      </c>
      <c r="K1524" s="62">
        <v>0</v>
      </c>
      <c r="M1524" s="64"/>
      <c r="N1524" s="64"/>
    </row>
    <row r="1525" spans="1:14" x14ac:dyDescent="0.25">
      <c r="A1525" s="45" t="s">
        <v>1580</v>
      </c>
      <c r="B1525" s="46">
        <v>1177.9581999999998</v>
      </c>
      <c r="C1525" s="60">
        <v>0.21</v>
      </c>
      <c r="D1525" s="47">
        <v>2409.9131844999997</v>
      </c>
      <c r="E1525" s="47">
        <v>3266.5173969999996</v>
      </c>
      <c r="F1525" s="47">
        <v>2284.2779</v>
      </c>
      <c r="G1525" s="48">
        <v>0.10440000000000001</v>
      </c>
      <c r="H1525" s="48">
        <v>0.10440000000000001</v>
      </c>
      <c r="I1525" s="48">
        <v>0.171890473553104</v>
      </c>
      <c r="K1525" s="62">
        <v>0</v>
      </c>
      <c r="M1525" s="64"/>
      <c r="N1525" s="64"/>
    </row>
    <row r="1526" spans="1:14" x14ac:dyDescent="0.25">
      <c r="A1526" s="45" t="s">
        <v>1581</v>
      </c>
      <c r="B1526" s="46">
        <v>1177.9581999999998</v>
      </c>
      <c r="C1526" s="60">
        <v>0.21</v>
      </c>
      <c r="D1526" s="47">
        <v>2409.9131844999997</v>
      </c>
      <c r="E1526" s="47">
        <v>3266.5173969999996</v>
      </c>
      <c r="F1526" s="47">
        <v>2284.2779</v>
      </c>
      <c r="G1526" s="48">
        <v>0.10440000000000001</v>
      </c>
      <c r="H1526" s="48">
        <v>0.10440000000000001</v>
      </c>
      <c r="I1526" s="48">
        <v>0.171890473553104</v>
      </c>
      <c r="K1526" s="62">
        <v>0</v>
      </c>
      <c r="M1526" s="64"/>
      <c r="N1526" s="64"/>
    </row>
    <row r="1527" spans="1:14" x14ac:dyDescent="0.25">
      <c r="A1527" s="45" t="s">
        <v>1582</v>
      </c>
      <c r="B1527" s="46">
        <v>1177.9581999999998</v>
      </c>
      <c r="C1527" s="60">
        <v>0.21</v>
      </c>
      <c r="D1527" s="47">
        <v>2409.9131844999997</v>
      </c>
      <c r="E1527" s="47">
        <v>3266.5173969999996</v>
      </c>
      <c r="F1527" s="47">
        <v>2284.2779</v>
      </c>
      <c r="G1527" s="48">
        <v>0.1139</v>
      </c>
      <c r="H1527" s="48">
        <v>0.1139</v>
      </c>
      <c r="K1527" s="62">
        <v>0</v>
      </c>
      <c r="M1527" s="64"/>
      <c r="N1527" s="64"/>
    </row>
    <row r="1528" spans="1:14" x14ac:dyDescent="0.25">
      <c r="A1528" s="45" t="s">
        <v>1583</v>
      </c>
      <c r="B1528" s="46">
        <v>1766.0594999999998</v>
      </c>
      <c r="C1528" s="60">
        <v>0.21</v>
      </c>
      <c r="D1528" s="47">
        <v>3613.0730589999998</v>
      </c>
      <c r="E1528" s="47">
        <v>4897.3407339999994</v>
      </c>
      <c r="F1528" s="47">
        <v>3424.7138</v>
      </c>
      <c r="G1528" s="48">
        <v>0.1265</v>
      </c>
      <c r="H1528" s="48">
        <v>0.1265</v>
      </c>
      <c r="I1528" s="48">
        <v>0.1718910908501031</v>
      </c>
      <c r="K1528" s="62">
        <v>0</v>
      </c>
      <c r="M1528" s="64"/>
      <c r="N1528" s="64"/>
    </row>
    <row r="1529" spans="1:14" x14ac:dyDescent="0.25">
      <c r="A1529" s="45" t="s">
        <v>1584</v>
      </c>
      <c r="B1529" s="46">
        <v>1766.0594999999998</v>
      </c>
      <c r="C1529" s="60">
        <v>0.21</v>
      </c>
      <c r="D1529" s="47">
        <v>3613.0730589999998</v>
      </c>
      <c r="E1529" s="47">
        <v>4897.3407339999994</v>
      </c>
      <c r="F1529" s="47">
        <v>3424.7138</v>
      </c>
      <c r="G1529" s="48">
        <v>0.1265</v>
      </c>
      <c r="H1529" s="48">
        <v>0.1265</v>
      </c>
      <c r="I1529" s="48">
        <v>0.1718910908501031</v>
      </c>
      <c r="K1529" s="62">
        <v>0</v>
      </c>
      <c r="M1529" s="64"/>
      <c r="N1529" s="64"/>
    </row>
    <row r="1530" spans="1:14" x14ac:dyDescent="0.25">
      <c r="A1530" s="45" t="s">
        <v>1585</v>
      </c>
      <c r="B1530" s="46">
        <v>1766.0594999999998</v>
      </c>
      <c r="C1530" s="60">
        <v>0.21</v>
      </c>
      <c r="D1530" s="47">
        <v>3613.0730589999998</v>
      </c>
      <c r="E1530" s="47">
        <v>4897.3407339999994</v>
      </c>
      <c r="F1530" s="47">
        <v>3424.7138</v>
      </c>
      <c r="G1530" s="48">
        <v>0.1265</v>
      </c>
      <c r="H1530" s="48">
        <v>0.1265</v>
      </c>
      <c r="I1530" s="48">
        <v>0.1718910908501031</v>
      </c>
      <c r="K1530" s="62">
        <v>0</v>
      </c>
      <c r="M1530" s="64"/>
      <c r="N1530" s="64"/>
    </row>
    <row r="1531" spans="1:14" x14ac:dyDescent="0.25">
      <c r="A1531" s="45" t="s">
        <v>1586</v>
      </c>
      <c r="B1531" s="46">
        <v>1177.9581999999998</v>
      </c>
      <c r="C1531" s="60">
        <v>0.21</v>
      </c>
      <c r="D1531" s="47">
        <v>2409.9131844999997</v>
      </c>
      <c r="E1531" s="47">
        <v>3266.5173969999996</v>
      </c>
      <c r="F1531" s="47">
        <v>2284.2779</v>
      </c>
      <c r="G1531" s="48">
        <v>0.10440000000000001</v>
      </c>
      <c r="H1531" s="48">
        <v>0.10440000000000001</v>
      </c>
      <c r="I1531" s="48">
        <v>0.171890473553104</v>
      </c>
      <c r="K1531" s="62">
        <v>0</v>
      </c>
      <c r="M1531" s="64"/>
      <c r="N1531" s="64"/>
    </row>
    <row r="1532" spans="1:14" x14ac:dyDescent="0.25">
      <c r="A1532" s="45" t="s">
        <v>1587</v>
      </c>
      <c r="B1532" s="46">
        <v>65346.728499999997</v>
      </c>
      <c r="C1532" s="60">
        <v>0.21</v>
      </c>
      <c r="D1532" s="47">
        <v>133688.906865</v>
      </c>
      <c r="E1532" s="47">
        <v>181208.66048999998</v>
      </c>
      <c r="F1532" s="47">
        <v>126719.34299999999</v>
      </c>
      <c r="G1532" s="48">
        <v>0.1633</v>
      </c>
      <c r="H1532" s="48">
        <v>0.1633</v>
      </c>
      <c r="I1532" s="48">
        <v>0.1829513887104956</v>
      </c>
      <c r="K1532" s="62">
        <v>0</v>
      </c>
      <c r="M1532" s="64"/>
      <c r="N1532" s="64"/>
    </row>
    <row r="1533" spans="1:14" x14ac:dyDescent="0.25">
      <c r="A1533" s="45" t="s">
        <v>1588</v>
      </c>
      <c r="B1533" s="46">
        <v>69815.822999999989</v>
      </c>
      <c r="C1533" s="60">
        <v>0.21</v>
      </c>
      <c r="D1533" s="47">
        <v>142831.96730499997</v>
      </c>
      <c r="E1533" s="47">
        <v>193601.62392999997</v>
      </c>
      <c r="F1533" s="47">
        <v>135385.75099999999</v>
      </c>
      <c r="G1533" s="48">
        <v>0.13719999999999999</v>
      </c>
      <c r="H1533" s="48">
        <v>0.13719999999999999</v>
      </c>
      <c r="I1533" s="48">
        <v>0.18354038074121179</v>
      </c>
      <c r="K1533" s="62">
        <v>0</v>
      </c>
      <c r="M1533" s="64"/>
      <c r="N1533" s="64"/>
    </row>
    <row r="1534" spans="1:14" x14ac:dyDescent="0.25">
      <c r="A1534" s="45" t="s">
        <v>1589</v>
      </c>
      <c r="B1534" s="46">
        <v>28880.009499999996</v>
      </c>
      <c r="C1534" s="60">
        <v>0.21</v>
      </c>
      <c r="D1534" s="47">
        <v>59083.852859999999</v>
      </c>
      <c r="E1534" s="47">
        <v>80085.22236</v>
      </c>
      <c r="F1534" s="47">
        <v>56003.652000000002</v>
      </c>
      <c r="G1534" s="48">
        <v>0.15049999999999999</v>
      </c>
      <c r="H1534" s="48">
        <v>0.15049999999999999</v>
      </c>
      <c r="I1534" s="48">
        <v>0.17189128555812799</v>
      </c>
      <c r="K1534" s="62">
        <v>0</v>
      </c>
      <c r="M1534" s="64"/>
      <c r="N1534" s="64"/>
    </row>
    <row r="1535" spans="1:14" x14ac:dyDescent="0.25">
      <c r="A1535" s="45" t="s">
        <v>1590</v>
      </c>
      <c r="B1535" s="46">
        <v>6560.4054999999989</v>
      </c>
      <c r="C1535" s="60">
        <v>0.21</v>
      </c>
      <c r="D1535" s="47">
        <v>13421.531704999999</v>
      </c>
      <c r="E1535" s="47">
        <v>18192.21833</v>
      </c>
      <c r="F1535" s="47">
        <v>12721.831</v>
      </c>
      <c r="G1535" s="48">
        <v>9.5799999999999996E-2</v>
      </c>
      <c r="H1535" s="48">
        <v>9.5799999999999996E-2</v>
      </c>
      <c r="I1535" s="48">
        <v>0.17189097512312551</v>
      </c>
      <c r="K1535" s="62">
        <v>0</v>
      </c>
      <c r="M1535" s="64"/>
      <c r="N1535" s="64"/>
    </row>
    <row r="1536" spans="1:14" x14ac:dyDescent="0.25">
      <c r="A1536" s="45" t="s">
        <v>1591</v>
      </c>
      <c r="B1536" s="46">
        <v>24009.16</v>
      </c>
      <c r="C1536" s="60">
        <v>0.21</v>
      </c>
      <c r="D1536" s="47">
        <v>43672.077369999999</v>
      </c>
      <c r="E1536" s="47">
        <v>59195.327620000004</v>
      </c>
      <c r="F1536" s="47">
        <v>41395.334000000003</v>
      </c>
      <c r="G1536" s="48">
        <v>0.10050000000000001</v>
      </c>
      <c r="H1536" s="48">
        <v>0.10050000000000001</v>
      </c>
      <c r="I1536" s="48">
        <v>0.1043594764916498</v>
      </c>
      <c r="K1536" s="62">
        <v>0</v>
      </c>
      <c r="M1536" s="64"/>
      <c r="N1536" s="64"/>
    </row>
    <row r="1537" spans="1:14" x14ac:dyDescent="0.25">
      <c r="A1537" s="45" t="s">
        <v>1592</v>
      </c>
      <c r="B1537" s="46">
        <v>30004.838</v>
      </c>
      <c r="C1537" s="60">
        <v>0.21</v>
      </c>
      <c r="D1537" s="47">
        <v>55515.295314999996</v>
      </c>
      <c r="E1537" s="47">
        <v>75248.220189999993</v>
      </c>
      <c r="F1537" s="47">
        <v>52621.133000000002</v>
      </c>
      <c r="G1537" s="48">
        <v>0.11269999999999999</v>
      </c>
      <c r="H1537" s="48">
        <v>0.11269999999999999</v>
      </c>
      <c r="I1537" s="48">
        <v>0.1146408198044111</v>
      </c>
      <c r="K1537" s="62">
        <v>0</v>
      </c>
      <c r="M1537" s="64"/>
      <c r="N1537" s="64"/>
    </row>
    <row r="1538" spans="1:14" x14ac:dyDescent="0.25">
      <c r="A1538" s="45" t="s">
        <v>1593</v>
      </c>
      <c r="B1538" s="46">
        <v>25424.830999999998</v>
      </c>
      <c r="C1538" s="60">
        <v>0.21</v>
      </c>
      <c r="D1538" s="47" t="s">
        <v>1839</v>
      </c>
      <c r="E1538" s="47" t="s">
        <v>1839</v>
      </c>
      <c r="F1538" s="47" t="s">
        <v>1839</v>
      </c>
      <c r="G1538" s="48">
        <v>0.161</v>
      </c>
      <c r="H1538" s="48">
        <v>0.161</v>
      </c>
      <c r="I1538" s="48">
        <v>0.217982084656765</v>
      </c>
      <c r="K1538" s="62">
        <v>0</v>
      </c>
      <c r="M1538" s="64"/>
      <c r="N1538" s="64"/>
    </row>
    <row r="1539" spans="1:14" x14ac:dyDescent="0.25">
      <c r="A1539" s="45" t="s">
        <v>1594</v>
      </c>
      <c r="B1539" s="46">
        <v>29704.182000000001</v>
      </c>
      <c r="C1539" s="60">
        <v>0.21</v>
      </c>
      <c r="D1539" s="47" t="s">
        <v>1839</v>
      </c>
      <c r="E1539" s="47" t="s">
        <v>1839</v>
      </c>
      <c r="F1539" s="47" t="s">
        <v>1839</v>
      </c>
      <c r="G1539" s="48">
        <v>4.4299999999999999E-2</v>
      </c>
      <c r="H1539" s="48">
        <v>4.4299999999999999E-2</v>
      </c>
      <c r="I1539" s="48">
        <v>6.3285487531543783E-2</v>
      </c>
      <c r="K1539" s="62">
        <v>0</v>
      </c>
      <c r="M1539" s="64"/>
      <c r="N1539" s="64"/>
    </row>
    <row r="1540" spans="1:14" x14ac:dyDescent="0.25">
      <c r="A1540" s="45" t="s">
        <v>66</v>
      </c>
      <c r="B1540" s="46">
        <v>49465.065499999997</v>
      </c>
      <c r="C1540" s="60">
        <v>0.21</v>
      </c>
      <c r="D1540" s="47" t="s">
        <v>1839</v>
      </c>
      <c r="E1540" s="47" t="s">
        <v>1839</v>
      </c>
      <c r="F1540" s="47" t="s">
        <v>1839</v>
      </c>
      <c r="G1540" s="48">
        <v>0.1244</v>
      </c>
      <c r="H1540" s="48">
        <v>0.1244</v>
      </c>
      <c r="I1540" s="48">
        <v>0.1684206835684838</v>
      </c>
      <c r="K1540" s="62">
        <v>0</v>
      </c>
      <c r="M1540" s="64"/>
      <c r="N1540" s="64"/>
    </row>
    <row r="1541" spans="1:14" x14ac:dyDescent="0.25">
      <c r="A1541" s="45" t="s">
        <v>1595</v>
      </c>
      <c r="B1541" s="46">
        <v>49465.065499999997</v>
      </c>
      <c r="C1541" s="60">
        <v>0.21</v>
      </c>
      <c r="D1541" s="47" t="s">
        <v>1839</v>
      </c>
      <c r="E1541" s="47" t="s">
        <v>1839</v>
      </c>
      <c r="F1541" s="47" t="s">
        <v>1839</v>
      </c>
      <c r="G1541" s="48">
        <v>0.1089</v>
      </c>
      <c r="H1541" s="48">
        <v>0.1089</v>
      </c>
      <c r="I1541" s="48">
        <v>0.16190878745245979</v>
      </c>
      <c r="K1541" s="62">
        <v>0</v>
      </c>
      <c r="M1541" s="64"/>
      <c r="N1541" s="64"/>
    </row>
    <row r="1542" spans="1:14" x14ac:dyDescent="0.25">
      <c r="A1542" s="45" t="s">
        <v>57</v>
      </c>
      <c r="B1542" s="46">
        <v>56815.3675</v>
      </c>
      <c r="C1542" s="60">
        <v>0.21</v>
      </c>
      <c r="D1542" s="47" t="s">
        <v>1839</v>
      </c>
      <c r="E1542" s="47" t="s">
        <v>1839</v>
      </c>
      <c r="F1542" s="47" t="s">
        <v>1839</v>
      </c>
      <c r="G1542" s="48">
        <v>0.15479999999999999</v>
      </c>
      <c r="H1542" s="48">
        <v>0.15479999999999999</v>
      </c>
      <c r="I1542" s="48">
        <v>0.20695633221222459</v>
      </c>
      <c r="K1542" s="62">
        <v>0</v>
      </c>
      <c r="M1542" s="64"/>
      <c r="N1542" s="64"/>
    </row>
    <row r="1543" spans="1:14" x14ac:dyDescent="0.25">
      <c r="A1543" s="45" t="s">
        <v>1596</v>
      </c>
      <c r="B1543" s="46">
        <v>62244.797999999995</v>
      </c>
      <c r="C1543" s="60">
        <v>0.21</v>
      </c>
      <c r="D1543" s="47" t="s">
        <v>1839</v>
      </c>
      <c r="E1543" s="47" t="s">
        <v>1839</v>
      </c>
      <c r="F1543" s="47" t="s">
        <v>1839</v>
      </c>
      <c r="G1543" s="48">
        <v>0.15479999999999999</v>
      </c>
      <c r="H1543" s="48">
        <v>0.15479999999999999</v>
      </c>
      <c r="I1543" s="48">
        <v>0.20915025326366901</v>
      </c>
      <c r="K1543" s="62">
        <v>0</v>
      </c>
      <c r="M1543" s="64"/>
      <c r="N1543" s="64"/>
    </row>
    <row r="1544" spans="1:14" x14ac:dyDescent="0.25">
      <c r="A1544" s="45" t="s">
        <v>58</v>
      </c>
      <c r="B1544" s="46">
        <v>226368.69799999997</v>
      </c>
      <c r="C1544" s="60">
        <v>0.21</v>
      </c>
      <c r="D1544" s="47" t="s">
        <v>1839</v>
      </c>
      <c r="E1544" s="47" t="s">
        <v>1839</v>
      </c>
      <c r="F1544" s="47" t="s">
        <v>1839</v>
      </c>
      <c r="G1544" s="48">
        <v>0.1128</v>
      </c>
      <c r="H1544" s="48">
        <v>0.1128</v>
      </c>
      <c r="I1544" s="48">
        <v>0.1519091397095754</v>
      </c>
      <c r="K1544" s="62">
        <v>0</v>
      </c>
      <c r="M1544" s="64"/>
      <c r="N1544" s="64"/>
    </row>
    <row r="1545" spans="1:14" x14ac:dyDescent="0.25">
      <c r="A1545" s="45" t="s">
        <v>1597</v>
      </c>
      <c r="B1545" s="46">
        <v>8144.1884999999993</v>
      </c>
      <c r="C1545" s="60">
        <v>0.21</v>
      </c>
      <c r="D1545" s="47">
        <v>16661.696234999999</v>
      </c>
      <c r="E1545" s="47">
        <v>22584.100109999999</v>
      </c>
      <c r="F1545" s="47">
        <v>15793.076999999999</v>
      </c>
      <c r="G1545" s="48">
        <v>0.10630000000000001</v>
      </c>
      <c r="H1545" s="48">
        <v>0.10630000000000001</v>
      </c>
      <c r="I1545" s="48">
        <v>0.17189109904044031</v>
      </c>
      <c r="K1545" s="62">
        <v>0</v>
      </c>
      <c r="M1545" s="64"/>
      <c r="N1545" s="64"/>
    </row>
    <row r="1546" spans="1:14" x14ac:dyDescent="0.25">
      <c r="A1546" s="45" t="s">
        <v>1598</v>
      </c>
      <c r="B1546" s="46">
        <v>11325.2255</v>
      </c>
      <c r="C1546" s="60">
        <v>0.21</v>
      </c>
      <c r="D1546" s="47">
        <v>23169.587169999999</v>
      </c>
      <c r="E1546" s="47">
        <v>31405.222419999998</v>
      </c>
      <c r="F1546" s="47">
        <v>21961.694</v>
      </c>
      <c r="G1546" s="48">
        <v>0.1232</v>
      </c>
      <c r="H1546" s="48">
        <v>0.1232</v>
      </c>
      <c r="I1546" s="48">
        <v>0.17189112818121541</v>
      </c>
      <c r="K1546" s="62">
        <v>0</v>
      </c>
      <c r="M1546" s="64"/>
      <c r="N1546" s="64"/>
    </row>
    <row r="1547" spans="1:14" x14ac:dyDescent="0.25">
      <c r="A1547" s="45" t="s">
        <v>1599</v>
      </c>
      <c r="B1547" s="46">
        <v>16978.305</v>
      </c>
      <c r="C1547" s="60">
        <v>0.21</v>
      </c>
      <c r="D1547" s="47">
        <v>34734.900179999997</v>
      </c>
      <c r="E1547" s="47">
        <v>47081.428679999997</v>
      </c>
      <c r="F1547" s="47">
        <v>32924.076000000001</v>
      </c>
      <c r="G1547" s="48">
        <v>0.13769999999999999</v>
      </c>
      <c r="H1547" s="48">
        <v>0.13769999999999999</v>
      </c>
      <c r="I1547" s="48">
        <v>0.17189130314607309</v>
      </c>
      <c r="K1547" s="62">
        <v>0</v>
      </c>
      <c r="M1547" s="64"/>
      <c r="N1547" s="64"/>
    </row>
    <row r="1548" spans="1:14" x14ac:dyDescent="0.25">
      <c r="A1548" s="45" t="s">
        <v>1600</v>
      </c>
      <c r="B1548" s="46">
        <v>31617.377499999995</v>
      </c>
      <c r="C1548" s="60">
        <v>0.21</v>
      </c>
      <c r="D1548" s="47" t="s">
        <v>1839</v>
      </c>
      <c r="E1548" s="47" t="s">
        <v>1839</v>
      </c>
      <c r="F1548" s="47" t="s">
        <v>1839</v>
      </c>
      <c r="G1548" s="48">
        <v>3.8100000000000002E-2</v>
      </c>
      <c r="H1548" s="48">
        <v>3.8100000000000002E-2</v>
      </c>
      <c r="I1548" s="48">
        <v>5.5354676352988838E-2</v>
      </c>
      <c r="K1548" s="62">
        <v>0</v>
      </c>
      <c r="M1548" s="64"/>
      <c r="N1548" s="64"/>
    </row>
    <row r="1549" spans="1:14" x14ac:dyDescent="0.25">
      <c r="A1549" s="45" t="s">
        <v>1601</v>
      </c>
      <c r="B1549" s="46">
        <v>52762.733999999997</v>
      </c>
      <c r="C1549" s="60">
        <v>0.21</v>
      </c>
      <c r="D1549" s="47" t="s">
        <v>1839</v>
      </c>
      <c r="E1549" s="47" t="s">
        <v>1839</v>
      </c>
      <c r="F1549" s="47" t="s">
        <v>1839</v>
      </c>
      <c r="G1549" s="48">
        <v>3.44E-2</v>
      </c>
      <c r="H1549" s="48">
        <v>3.44E-2</v>
      </c>
      <c r="I1549" s="48">
        <v>4.9722739001942302E-2</v>
      </c>
      <c r="K1549" s="62">
        <v>0</v>
      </c>
      <c r="M1549" s="64"/>
      <c r="N1549" s="64"/>
    </row>
    <row r="1550" spans="1:14" x14ac:dyDescent="0.25">
      <c r="A1550" s="45" t="s">
        <v>1602</v>
      </c>
      <c r="B1550" s="46">
        <v>89023.68299999999</v>
      </c>
      <c r="C1550" s="60">
        <v>0.21</v>
      </c>
      <c r="D1550" s="47">
        <v>175847.87685999999</v>
      </c>
      <c r="E1550" s="47">
        <v>238353.04635999998</v>
      </c>
      <c r="F1550" s="47">
        <v>166680.45199999999</v>
      </c>
      <c r="G1550" s="48">
        <v>0.14630000000000001</v>
      </c>
      <c r="H1550" s="48">
        <v>0.14630000000000001</v>
      </c>
      <c r="I1550" s="48">
        <v>0.15942834427069641</v>
      </c>
      <c r="K1550" s="62">
        <v>0</v>
      </c>
      <c r="M1550" s="64"/>
      <c r="N1550" s="64"/>
    </row>
    <row r="1551" spans="1:14" x14ac:dyDescent="0.25">
      <c r="A1551" s="45" t="s">
        <v>1603</v>
      </c>
      <c r="B1551" s="46">
        <v>89023.68299999999</v>
      </c>
      <c r="C1551" s="60">
        <v>0.21</v>
      </c>
      <c r="D1551" s="47">
        <v>175847.87685999999</v>
      </c>
      <c r="E1551" s="47">
        <v>238353.04635999998</v>
      </c>
      <c r="F1551" s="47">
        <v>166680.45199999999</v>
      </c>
      <c r="G1551" s="48">
        <v>0.1492</v>
      </c>
      <c r="H1551" s="48">
        <v>0.1492</v>
      </c>
      <c r="I1551" s="48">
        <v>0.15942834427069641</v>
      </c>
      <c r="K1551" s="62">
        <v>0</v>
      </c>
      <c r="M1551" s="64"/>
      <c r="N1551" s="64"/>
    </row>
    <row r="1552" spans="1:14" x14ac:dyDescent="0.25">
      <c r="A1552" s="45" t="s">
        <v>1604</v>
      </c>
      <c r="B1552" s="46">
        <v>89023.68299999999</v>
      </c>
      <c r="C1552" s="60">
        <v>0.21</v>
      </c>
      <c r="D1552" s="47">
        <v>175847.87685999999</v>
      </c>
      <c r="E1552" s="47">
        <v>238353.04635999998</v>
      </c>
      <c r="F1552" s="47">
        <v>166680.45199999999</v>
      </c>
      <c r="G1552" s="48">
        <v>0.14799999999999999</v>
      </c>
      <c r="H1552" s="48">
        <v>0.14799999999999999</v>
      </c>
      <c r="I1552" s="48">
        <v>0.15606478296298101</v>
      </c>
      <c r="K1552" s="62">
        <v>0</v>
      </c>
      <c r="M1552" s="64"/>
      <c r="N1552" s="64"/>
    </row>
    <row r="1553" spans="1:14" x14ac:dyDescent="0.25">
      <c r="A1553" s="45" t="s">
        <v>1605</v>
      </c>
      <c r="B1553" s="46">
        <v>89023.68299999999</v>
      </c>
      <c r="C1553" s="60">
        <v>0.21</v>
      </c>
      <c r="D1553" s="47">
        <v>175847.87685999999</v>
      </c>
      <c r="E1553" s="47">
        <v>238353.04635999998</v>
      </c>
      <c r="F1553" s="47">
        <v>166680.45199999999</v>
      </c>
      <c r="G1553" s="48">
        <v>0.1492</v>
      </c>
      <c r="H1553" s="48">
        <v>0.1492</v>
      </c>
      <c r="I1553" s="48">
        <v>0.15255335847886919</v>
      </c>
      <c r="K1553" s="62">
        <v>0</v>
      </c>
      <c r="M1553" s="64"/>
      <c r="N1553" s="64"/>
    </row>
    <row r="1554" spans="1:14" x14ac:dyDescent="0.25">
      <c r="A1554" s="45" t="s">
        <v>1606</v>
      </c>
      <c r="B1554" s="46">
        <v>15640.096999999998</v>
      </c>
      <c r="C1554" s="60">
        <v>0.21</v>
      </c>
      <c r="D1554" s="47" t="s">
        <v>1839</v>
      </c>
      <c r="E1554" s="47" t="s">
        <v>1839</v>
      </c>
      <c r="F1554" s="47" t="s">
        <v>1839</v>
      </c>
      <c r="G1554" s="48">
        <v>3.5299999999999998E-2</v>
      </c>
      <c r="H1554" s="48">
        <v>3.5299999999999998E-2</v>
      </c>
      <c r="I1554" s="48">
        <v>5.971029094137445E-2</v>
      </c>
      <c r="K1554" s="62">
        <v>0</v>
      </c>
      <c r="M1554" s="64"/>
      <c r="N1554" s="64"/>
    </row>
    <row r="1555" spans="1:14" x14ac:dyDescent="0.25">
      <c r="A1555" s="45" t="s">
        <v>1607</v>
      </c>
      <c r="B1555" s="46">
        <v>141598.4405</v>
      </c>
      <c r="C1555" s="60">
        <v>0.21</v>
      </c>
      <c r="D1555" s="47" t="s">
        <v>1839</v>
      </c>
      <c r="E1555" s="47" t="s">
        <v>1839</v>
      </c>
      <c r="F1555" s="47" t="s">
        <v>1839</v>
      </c>
      <c r="G1555" s="48">
        <v>0.15640000000000001</v>
      </c>
      <c r="H1555" s="48">
        <v>0.15640000000000001</v>
      </c>
      <c r="I1555" s="48">
        <v>0.2137110880233912</v>
      </c>
      <c r="K1555" s="62">
        <v>0</v>
      </c>
      <c r="M1555" s="64"/>
      <c r="N1555" s="64"/>
    </row>
    <row r="1556" spans="1:14" x14ac:dyDescent="0.25">
      <c r="A1556" s="45" t="s">
        <v>1608</v>
      </c>
      <c r="B1556" s="46">
        <v>12083.0785</v>
      </c>
      <c r="C1556" s="60">
        <v>0.21</v>
      </c>
      <c r="D1556" s="47" t="s">
        <v>1839</v>
      </c>
      <c r="E1556" s="47" t="s">
        <v>1839</v>
      </c>
      <c r="F1556" s="47" t="s">
        <v>1839</v>
      </c>
      <c r="G1556" s="48">
        <v>6.9599999999999995E-2</v>
      </c>
      <c r="H1556" s="48">
        <v>6.9599999999999995E-2</v>
      </c>
      <c r="I1556" s="48">
        <v>0.1040905481343874</v>
      </c>
      <c r="K1556" s="62">
        <v>0</v>
      </c>
      <c r="M1556" s="64"/>
      <c r="N1556" s="64"/>
    </row>
    <row r="1557" spans="1:14" x14ac:dyDescent="0.25">
      <c r="A1557" s="45" t="s">
        <v>1609</v>
      </c>
      <c r="B1557" s="46">
        <v>130161.7895</v>
      </c>
      <c r="C1557" s="60">
        <v>0.21</v>
      </c>
      <c r="D1557" s="47">
        <v>266290.10450999998</v>
      </c>
      <c r="E1557" s="47">
        <v>360942.98525999999</v>
      </c>
      <c r="F1557" s="47">
        <v>252407.682</v>
      </c>
      <c r="G1557" s="48">
        <v>0.1396</v>
      </c>
      <c r="H1557" s="48">
        <v>0.1396</v>
      </c>
      <c r="I1557" s="48">
        <v>0.18594887781571931</v>
      </c>
      <c r="K1557" s="62">
        <v>0</v>
      </c>
      <c r="M1557" s="64"/>
      <c r="N1557" s="64"/>
    </row>
    <row r="1558" spans="1:14" x14ac:dyDescent="0.25">
      <c r="A1558" s="45" t="s">
        <v>1610</v>
      </c>
      <c r="B1558" s="46">
        <v>67059.112999999998</v>
      </c>
      <c r="C1558" s="60">
        <v>0.21</v>
      </c>
      <c r="D1558" s="47">
        <v>137192.18206499997</v>
      </c>
      <c r="E1558" s="47">
        <v>185957.17568999997</v>
      </c>
      <c r="F1558" s="47">
        <v>130039.98299999999</v>
      </c>
      <c r="G1558" s="48">
        <v>0.16350000000000001</v>
      </c>
      <c r="H1558" s="48">
        <v>0.16350000000000001</v>
      </c>
      <c r="I1558" s="48">
        <v>0.18318636056403059</v>
      </c>
      <c r="K1558" s="62">
        <v>0</v>
      </c>
      <c r="M1558" s="64"/>
      <c r="N1558" s="64"/>
    </row>
    <row r="1559" spans="1:14" x14ac:dyDescent="0.25">
      <c r="A1559" s="45" t="s">
        <v>1611</v>
      </c>
      <c r="B1559" s="46">
        <v>16168.762499999999</v>
      </c>
      <c r="C1559" s="60">
        <v>0.21</v>
      </c>
      <c r="D1559" s="47" t="s">
        <v>1839</v>
      </c>
      <c r="E1559" s="47" t="s">
        <v>1839</v>
      </c>
      <c r="F1559" s="47" t="s">
        <v>1839</v>
      </c>
      <c r="G1559" s="48">
        <v>0.16830000000000001</v>
      </c>
      <c r="H1559" s="48">
        <v>0.16830000000000001</v>
      </c>
      <c r="I1559" s="48">
        <v>0.23547570116280081</v>
      </c>
      <c r="K1559" s="62">
        <v>0</v>
      </c>
      <c r="M1559" s="64"/>
      <c r="N1559" s="64"/>
    </row>
    <row r="1560" spans="1:14" x14ac:dyDescent="0.25">
      <c r="A1560" s="45" t="s">
        <v>1612</v>
      </c>
      <c r="B1560" s="46">
        <v>11040.026</v>
      </c>
      <c r="C1560" s="60">
        <v>0.21</v>
      </c>
      <c r="D1560" s="47">
        <v>22586.114145</v>
      </c>
      <c r="E1560" s="47">
        <v>30614.353769999998</v>
      </c>
      <c r="F1560" s="47">
        <v>21408.638999999999</v>
      </c>
      <c r="G1560" s="48">
        <v>0.1303</v>
      </c>
      <c r="H1560" s="48">
        <v>0.1303</v>
      </c>
      <c r="K1560" s="62">
        <v>0</v>
      </c>
      <c r="M1560" s="64"/>
      <c r="N1560" s="64"/>
    </row>
    <row r="1561" spans="1:14" x14ac:dyDescent="0.25">
      <c r="A1561" s="45" t="s">
        <v>1613</v>
      </c>
      <c r="B1561" s="46">
        <v>11040.026</v>
      </c>
      <c r="C1561" s="60">
        <v>0.21</v>
      </c>
      <c r="D1561" s="47">
        <v>22586.114145</v>
      </c>
      <c r="E1561" s="47">
        <v>30614.353769999998</v>
      </c>
      <c r="F1561" s="47">
        <v>21408.638999999999</v>
      </c>
      <c r="G1561" s="48">
        <v>0.1303</v>
      </c>
      <c r="H1561" s="48">
        <v>0.1303</v>
      </c>
      <c r="K1561" s="62">
        <v>0</v>
      </c>
      <c r="M1561" s="64"/>
      <c r="N1561" s="64"/>
    </row>
    <row r="1562" spans="1:14" x14ac:dyDescent="0.25">
      <c r="A1562" s="45" t="s">
        <v>1614</v>
      </c>
      <c r="B1562" s="46">
        <v>13604.778999999999</v>
      </c>
      <c r="C1562" s="60">
        <v>0.21</v>
      </c>
      <c r="D1562" s="47">
        <v>27833.194624999996</v>
      </c>
      <c r="E1562" s="47">
        <v>37726.510249999999</v>
      </c>
      <c r="F1562" s="47">
        <v>26382.174999999999</v>
      </c>
      <c r="G1562" s="48">
        <v>0.13789999999999999</v>
      </c>
      <c r="H1562" s="48">
        <v>0.13789999999999999</v>
      </c>
      <c r="K1562" s="62">
        <v>0</v>
      </c>
      <c r="M1562" s="64"/>
      <c r="N1562" s="64"/>
    </row>
    <row r="1563" spans="1:14" x14ac:dyDescent="0.25">
      <c r="A1563" s="45" t="s">
        <v>1615</v>
      </c>
      <c r="B1563" s="46">
        <v>13604.778999999999</v>
      </c>
      <c r="C1563" s="60">
        <v>0.21</v>
      </c>
      <c r="D1563" s="47">
        <v>27833.194624999996</v>
      </c>
      <c r="E1563" s="47">
        <v>37726.510249999999</v>
      </c>
      <c r="F1563" s="47">
        <v>26382.174999999999</v>
      </c>
      <c r="G1563" s="48">
        <v>0.13789999999999999</v>
      </c>
      <c r="H1563" s="48">
        <v>0.13789999999999999</v>
      </c>
      <c r="K1563" s="62">
        <v>0</v>
      </c>
      <c r="M1563" s="64"/>
      <c r="N1563" s="64"/>
    </row>
    <row r="1564" spans="1:14" x14ac:dyDescent="0.25">
      <c r="A1564" s="45" t="s">
        <v>1616</v>
      </c>
      <c r="B1564" s="46">
        <v>7191.3099999999995</v>
      </c>
      <c r="C1564" s="60">
        <v>0.21</v>
      </c>
      <c r="D1564" s="47">
        <v>14712.264069999999</v>
      </c>
      <c r="E1564" s="47">
        <v>19941.741819999999</v>
      </c>
      <c r="F1564" s="47">
        <v>13945.273999999999</v>
      </c>
      <c r="G1564" s="48">
        <v>0.1024</v>
      </c>
      <c r="H1564" s="48">
        <v>0.1024</v>
      </c>
      <c r="I1564" s="48">
        <v>0.17189134714734131</v>
      </c>
      <c r="K1564" s="62">
        <v>0</v>
      </c>
      <c r="M1564" s="64"/>
      <c r="N1564" s="64"/>
    </row>
    <row r="1565" spans="1:14" x14ac:dyDescent="0.25">
      <c r="A1565" s="45" t="s">
        <v>1617</v>
      </c>
      <c r="B1565" s="46">
        <v>8984.3114999999998</v>
      </c>
      <c r="C1565" s="60">
        <v>0.21</v>
      </c>
      <c r="D1565" s="47">
        <v>18380.455814999998</v>
      </c>
      <c r="E1565" s="47">
        <v>24913.79319</v>
      </c>
      <c r="F1565" s="47">
        <v>17422.233</v>
      </c>
      <c r="G1565" s="48">
        <v>0.11600000000000001</v>
      </c>
      <c r="H1565" s="48">
        <v>0.11600000000000001</v>
      </c>
      <c r="I1565" s="48">
        <v>0.17189157982625461</v>
      </c>
      <c r="K1565" s="62">
        <v>0</v>
      </c>
      <c r="M1565" s="64"/>
      <c r="N1565" s="64"/>
    </row>
    <row r="1566" spans="1:14" x14ac:dyDescent="0.25">
      <c r="A1566" s="45" t="s">
        <v>1618</v>
      </c>
      <c r="B1566" s="46">
        <v>9803.6769999999997</v>
      </c>
      <c r="C1566" s="60">
        <v>0.21</v>
      </c>
      <c r="D1566" s="47">
        <v>20056.745315</v>
      </c>
      <c r="E1566" s="47">
        <v>27185.920190000001</v>
      </c>
      <c r="F1566" s="47">
        <v>19011.133000000002</v>
      </c>
      <c r="G1566" s="48">
        <v>0.1206</v>
      </c>
      <c r="H1566" s="48">
        <v>0.1206</v>
      </c>
      <c r="I1566" s="48">
        <v>0.1718912910984251</v>
      </c>
      <c r="K1566" s="62">
        <v>0</v>
      </c>
      <c r="M1566" s="64"/>
      <c r="N1566" s="64"/>
    </row>
    <row r="1567" spans="1:14" x14ac:dyDescent="0.25">
      <c r="A1567" s="45" t="s">
        <v>1619</v>
      </c>
      <c r="B1567" s="46">
        <v>9803.6769999999997</v>
      </c>
      <c r="C1567" s="60">
        <v>0.21</v>
      </c>
      <c r="D1567" s="47">
        <v>20056.745315</v>
      </c>
      <c r="E1567" s="47">
        <v>27185.920190000001</v>
      </c>
      <c r="F1567" s="47">
        <v>19011.133000000002</v>
      </c>
      <c r="G1567" s="48">
        <v>0.12520000000000001</v>
      </c>
      <c r="H1567" s="48">
        <v>0.12520000000000001</v>
      </c>
      <c r="K1567" s="62">
        <v>0</v>
      </c>
      <c r="M1567" s="64"/>
      <c r="N1567" s="64"/>
    </row>
    <row r="1568" spans="1:14" x14ac:dyDescent="0.25">
      <c r="A1568" s="45" t="s">
        <v>1620</v>
      </c>
      <c r="B1568" s="46">
        <v>10931.545499999998</v>
      </c>
      <c r="C1568" s="60">
        <v>0.21</v>
      </c>
      <c r="D1568" s="47">
        <v>22364.172739999998</v>
      </c>
      <c r="E1568" s="47">
        <v>30313.523239999999</v>
      </c>
      <c r="F1568" s="47">
        <v>21198.268</v>
      </c>
      <c r="G1568" s="48">
        <v>0.1258</v>
      </c>
      <c r="H1568" s="48">
        <v>0.1258</v>
      </c>
      <c r="I1568" s="48">
        <v>0.17189111478471611</v>
      </c>
      <c r="K1568" s="62">
        <v>0</v>
      </c>
      <c r="M1568" s="64"/>
      <c r="N1568" s="64"/>
    </row>
    <row r="1569" spans="1:14" x14ac:dyDescent="0.25">
      <c r="A1569" s="45" t="s">
        <v>1621</v>
      </c>
      <c r="B1569" s="46">
        <v>13129.4275</v>
      </c>
      <c r="C1569" s="60">
        <v>0.21</v>
      </c>
      <c r="D1569" s="47">
        <v>26860.692459999998</v>
      </c>
      <c r="E1569" s="47">
        <v>36408.331959999996</v>
      </c>
      <c r="F1569" s="47">
        <v>25460.371999999999</v>
      </c>
      <c r="G1569" s="48">
        <v>0.1333</v>
      </c>
      <c r="H1569" s="48">
        <v>0.1333</v>
      </c>
      <c r="I1569" s="48">
        <v>0.17189119173885051</v>
      </c>
      <c r="K1569" s="62">
        <v>0</v>
      </c>
      <c r="M1569" s="64"/>
      <c r="N1569" s="64"/>
    </row>
    <row r="1570" spans="1:14" x14ac:dyDescent="0.25">
      <c r="A1570" s="45" t="s">
        <v>1622</v>
      </c>
      <c r="B1570" s="46">
        <v>13129.4275</v>
      </c>
      <c r="C1570" s="60">
        <v>0.21</v>
      </c>
      <c r="D1570" s="47">
        <v>26860.692459999998</v>
      </c>
      <c r="E1570" s="47">
        <v>36408.331959999996</v>
      </c>
      <c r="F1570" s="47">
        <v>25460.371999999999</v>
      </c>
      <c r="G1570" s="48">
        <v>0.1333</v>
      </c>
      <c r="H1570" s="48">
        <v>0.1333</v>
      </c>
      <c r="I1570" s="48">
        <v>0.17189119173885051</v>
      </c>
      <c r="K1570" s="62">
        <v>0</v>
      </c>
      <c r="M1570" s="64"/>
      <c r="N1570" s="64"/>
    </row>
    <row r="1571" spans="1:14" x14ac:dyDescent="0.25">
      <c r="A1571" s="45" t="s">
        <v>1623</v>
      </c>
      <c r="B1571" s="46">
        <v>4281.3269999999993</v>
      </c>
      <c r="C1571" s="60">
        <v>0.21</v>
      </c>
      <c r="D1571" s="47" t="s">
        <v>1839</v>
      </c>
      <c r="E1571" s="47" t="s">
        <v>1839</v>
      </c>
      <c r="F1571" s="47" t="s">
        <v>1839</v>
      </c>
      <c r="G1571" s="48">
        <v>0.124</v>
      </c>
      <c r="H1571" s="48">
        <v>0.124</v>
      </c>
      <c r="I1571" s="48">
        <v>0.170015828696543</v>
      </c>
      <c r="K1571" s="62">
        <v>0</v>
      </c>
      <c r="M1571" s="64"/>
      <c r="N1571" s="64"/>
    </row>
    <row r="1572" spans="1:14" x14ac:dyDescent="0.25">
      <c r="A1572" s="45" t="s">
        <v>1624</v>
      </c>
      <c r="B1572" s="46">
        <v>26547.1895</v>
      </c>
      <c r="C1572" s="60">
        <v>0.21</v>
      </c>
      <c r="D1572" s="47">
        <v>54311.279729999995</v>
      </c>
      <c r="E1572" s="47">
        <v>73616.236980000001</v>
      </c>
      <c r="F1572" s="47">
        <v>51479.885999999999</v>
      </c>
      <c r="G1572" s="48">
        <v>0.1106</v>
      </c>
      <c r="H1572" s="48">
        <v>0.1106</v>
      </c>
      <c r="I1572" s="48">
        <v>0.17189128199652881</v>
      </c>
      <c r="K1572" s="62">
        <v>0</v>
      </c>
      <c r="M1572" s="64"/>
      <c r="N1572" s="64"/>
    </row>
    <row r="1573" spans="1:14" x14ac:dyDescent="0.25">
      <c r="A1573" s="45" t="s">
        <v>1625</v>
      </c>
      <c r="B1573" s="46">
        <v>26547.1895</v>
      </c>
      <c r="C1573" s="60">
        <v>0.21</v>
      </c>
      <c r="D1573" s="47">
        <v>54311.279729999995</v>
      </c>
      <c r="E1573" s="47">
        <v>73616.236980000001</v>
      </c>
      <c r="F1573" s="47">
        <v>51479.885999999999</v>
      </c>
      <c r="G1573" s="48">
        <v>0.1106</v>
      </c>
      <c r="H1573" s="48">
        <v>0.1106</v>
      </c>
      <c r="I1573" s="48">
        <v>0.17189128199652881</v>
      </c>
      <c r="K1573" s="62">
        <v>0</v>
      </c>
      <c r="M1573" s="64"/>
      <c r="N1573" s="64"/>
    </row>
    <row r="1574" spans="1:14" x14ac:dyDescent="0.25">
      <c r="A1574" s="45" t="s">
        <v>1626</v>
      </c>
      <c r="B1574" s="46">
        <v>27111.926499999998</v>
      </c>
      <c r="C1574" s="60">
        <v>0.21</v>
      </c>
      <c r="D1574" s="47">
        <v>55466.633439999998</v>
      </c>
      <c r="E1574" s="47">
        <v>75182.261440000002</v>
      </c>
      <c r="F1574" s="47">
        <v>52575.008000000002</v>
      </c>
      <c r="G1574" s="48">
        <v>0.14119999999999999</v>
      </c>
      <c r="H1574" s="48">
        <v>0.14119999999999999</v>
      </c>
      <c r="I1574" s="48">
        <v>0.17189126602255639</v>
      </c>
      <c r="K1574" s="62">
        <v>0</v>
      </c>
      <c r="M1574" s="64"/>
      <c r="N1574" s="64"/>
    </row>
    <row r="1575" spans="1:14" x14ac:dyDescent="0.25">
      <c r="A1575" s="45" t="s">
        <v>1627</v>
      </c>
      <c r="B1575" s="46">
        <v>27111.926499999998</v>
      </c>
      <c r="C1575" s="60">
        <v>0.21</v>
      </c>
      <c r="D1575" s="47">
        <v>55466.633439999998</v>
      </c>
      <c r="E1575" s="47">
        <v>75182.261440000002</v>
      </c>
      <c r="F1575" s="47">
        <v>52575.008000000002</v>
      </c>
      <c r="G1575" s="48">
        <v>0.1361</v>
      </c>
      <c r="H1575" s="48">
        <v>0.1361</v>
      </c>
      <c r="I1575" s="48">
        <v>0.17189126602255639</v>
      </c>
      <c r="K1575" s="62">
        <v>0</v>
      </c>
      <c r="M1575" s="64"/>
      <c r="N1575" s="64"/>
    </row>
    <row r="1576" spans="1:14" x14ac:dyDescent="0.25">
      <c r="A1576" s="45" t="s">
        <v>1628</v>
      </c>
      <c r="B1576" s="46">
        <v>3171.8409999999999</v>
      </c>
      <c r="C1576" s="60">
        <v>0.21</v>
      </c>
      <c r="D1576" s="47">
        <v>6489.0739549999998</v>
      </c>
      <c r="E1576" s="47">
        <v>8795.616829999999</v>
      </c>
      <c r="F1576" s="47">
        <v>6150.7809999999999</v>
      </c>
      <c r="G1576" s="48">
        <v>0.1173</v>
      </c>
      <c r="H1576" s="48">
        <v>0.1173</v>
      </c>
      <c r="I1576" s="48">
        <v>0.17189138235974211</v>
      </c>
      <c r="K1576" s="62">
        <v>0</v>
      </c>
      <c r="M1576" s="64"/>
      <c r="N1576" s="64"/>
    </row>
    <row r="1577" spans="1:14" x14ac:dyDescent="0.25">
      <c r="A1577" s="45" t="s">
        <v>1629</v>
      </c>
      <c r="B1577" s="46">
        <v>1002.9929</v>
      </c>
      <c r="C1577" s="60">
        <v>0.21</v>
      </c>
      <c r="D1577" s="47">
        <v>2051.9648719999996</v>
      </c>
      <c r="E1577" s="47">
        <v>2781.3362719999996</v>
      </c>
      <c r="F1577" s="47">
        <v>1944.9903999999999</v>
      </c>
      <c r="G1577" s="48">
        <v>0.104</v>
      </c>
      <c r="H1577" s="48">
        <v>0.104</v>
      </c>
      <c r="K1577" s="62">
        <v>0</v>
      </c>
      <c r="M1577" s="64"/>
      <c r="N1577" s="64"/>
    </row>
    <row r="1578" spans="1:14" x14ac:dyDescent="0.25">
      <c r="A1578" s="45" t="s">
        <v>1630</v>
      </c>
      <c r="B1578" s="46">
        <v>3761.2209999999995</v>
      </c>
      <c r="C1578" s="60">
        <v>0.21</v>
      </c>
      <c r="D1578" s="47">
        <v>7694.8524449999995</v>
      </c>
      <c r="E1578" s="47">
        <v>10429.98957</v>
      </c>
      <c r="F1578" s="47">
        <v>7293.6989999999996</v>
      </c>
      <c r="G1578" s="48">
        <v>0.15</v>
      </c>
      <c r="H1578" s="48">
        <v>0.15</v>
      </c>
      <c r="I1578" s="48">
        <v>0.17189139307067969</v>
      </c>
      <c r="K1578" s="62">
        <v>0</v>
      </c>
      <c r="M1578" s="64"/>
      <c r="N1578" s="64"/>
    </row>
    <row r="1579" spans="1:14" x14ac:dyDescent="0.25">
      <c r="A1579" s="45" t="s">
        <v>1631</v>
      </c>
      <c r="B1579" s="46">
        <v>162282.89499999999</v>
      </c>
      <c r="C1579" s="60">
        <v>0.21</v>
      </c>
      <c r="D1579" s="47">
        <v>332004.74103499996</v>
      </c>
      <c r="E1579" s="47">
        <v>450015.90490999992</v>
      </c>
      <c r="F1579" s="47">
        <v>314696.43699999998</v>
      </c>
      <c r="G1579" s="48">
        <v>0.13120000000000001</v>
      </c>
      <c r="H1579" s="48">
        <v>0.13120000000000001</v>
      </c>
      <c r="I1579" s="48">
        <v>0.1775816788884669</v>
      </c>
      <c r="K1579" s="62">
        <v>0</v>
      </c>
      <c r="M1579" s="64"/>
      <c r="N1579" s="64"/>
    </row>
    <row r="1580" spans="1:14" x14ac:dyDescent="0.25">
      <c r="A1580" s="45" t="s">
        <v>1632</v>
      </c>
      <c r="B1580" s="46">
        <v>200363.95849999998</v>
      </c>
      <c r="C1580" s="60">
        <v>0.21</v>
      </c>
      <c r="D1580" s="47">
        <v>409912.47253999999</v>
      </c>
      <c r="E1580" s="47">
        <v>555615.95804000006</v>
      </c>
      <c r="F1580" s="47">
        <v>388542.62800000003</v>
      </c>
      <c r="G1580" s="48">
        <v>0.13830000000000001</v>
      </c>
      <c r="H1580" s="48">
        <v>0.13830000000000001</v>
      </c>
      <c r="I1580" s="48">
        <v>0.18461015136798539</v>
      </c>
      <c r="K1580" s="62">
        <v>0</v>
      </c>
      <c r="M1580" s="64"/>
      <c r="N1580" s="64"/>
    </row>
    <row r="1581" spans="1:14" x14ac:dyDescent="0.25">
      <c r="A1581" s="45" t="s">
        <v>1633</v>
      </c>
      <c r="B1581" s="46">
        <v>165361.17050000001</v>
      </c>
      <c r="C1581" s="60">
        <v>0.21</v>
      </c>
      <c r="D1581" s="47">
        <v>338302.38312999997</v>
      </c>
      <c r="E1581" s="47">
        <v>458552.04537999997</v>
      </c>
      <c r="F1581" s="47">
        <v>320665.766</v>
      </c>
      <c r="G1581" s="48">
        <v>0.13439999999999999</v>
      </c>
      <c r="H1581" s="48">
        <v>0.13439999999999999</v>
      </c>
      <c r="I1581" s="48">
        <v>0.18078781083029019</v>
      </c>
      <c r="K1581" s="62">
        <v>0</v>
      </c>
      <c r="M1581" s="64"/>
      <c r="N1581" s="64"/>
    </row>
    <row r="1582" spans="1:14" x14ac:dyDescent="0.25">
      <c r="A1582" s="45" t="s">
        <v>1634</v>
      </c>
      <c r="B1582" s="46">
        <v>144679.55649999998</v>
      </c>
      <c r="C1582" s="60">
        <v>0.105</v>
      </c>
      <c r="D1582" s="47">
        <v>270305.94091</v>
      </c>
      <c r="E1582" s="47">
        <v>366386.25166000001</v>
      </c>
      <c r="F1582" s="47">
        <v>256214.16200000001</v>
      </c>
      <c r="G1582" s="48">
        <v>0.19819999999999999</v>
      </c>
      <c r="H1582" s="48">
        <v>0.19819999999999999</v>
      </c>
      <c r="I1582" s="48">
        <v>0.21573046491419701</v>
      </c>
      <c r="K1582" s="62">
        <v>0</v>
      </c>
      <c r="M1582" s="64"/>
      <c r="N1582" s="64"/>
    </row>
    <row r="1583" spans="1:14" x14ac:dyDescent="0.25">
      <c r="A1583" s="45" t="s">
        <v>1635</v>
      </c>
      <c r="B1583" s="46">
        <v>127769.3665</v>
      </c>
      <c r="C1583" s="60">
        <v>0.21</v>
      </c>
      <c r="D1583" s="47" t="s">
        <v>1839</v>
      </c>
      <c r="E1583" s="47" t="s">
        <v>1839</v>
      </c>
      <c r="F1583" s="47" t="s">
        <v>1839</v>
      </c>
      <c r="G1583" s="48">
        <v>3.5299999999999998E-2</v>
      </c>
      <c r="H1583" s="48">
        <v>3.5299999999999998E-2</v>
      </c>
      <c r="I1583" s="48">
        <v>4.9285880505421563E-2</v>
      </c>
      <c r="K1583" s="62">
        <v>0</v>
      </c>
      <c r="M1583" s="64"/>
      <c r="N1583" s="64"/>
    </row>
    <row r="1584" spans="1:14" x14ac:dyDescent="0.25">
      <c r="A1584" s="45" t="s">
        <v>1636</v>
      </c>
      <c r="B1584" s="46">
        <v>245575.43699999998</v>
      </c>
      <c r="C1584" s="60">
        <v>0.21</v>
      </c>
      <c r="D1584" s="47" t="s">
        <v>1839</v>
      </c>
      <c r="E1584" s="47" t="s">
        <v>1839</v>
      </c>
      <c r="F1584" s="47" t="s">
        <v>1839</v>
      </c>
      <c r="G1584" s="48">
        <v>0.1105</v>
      </c>
      <c r="H1584" s="48">
        <v>0.1105</v>
      </c>
      <c r="I1584" s="48">
        <v>0.16045634519289859</v>
      </c>
      <c r="K1584" s="62">
        <v>0</v>
      </c>
      <c r="M1584" s="64"/>
      <c r="N1584" s="64"/>
    </row>
    <row r="1585" spans="1:14" x14ac:dyDescent="0.25">
      <c r="A1585" s="45" t="s">
        <v>1637</v>
      </c>
      <c r="B1585" s="46">
        <v>54326.224999999999</v>
      </c>
      <c r="C1585" s="60">
        <v>0.21</v>
      </c>
      <c r="D1585" s="47">
        <v>105850.224</v>
      </c>
      <c r="E1585" s="47">
        <v>143474.71100000001</v>
      </c>
      <c r="F1585" s="47">
        <v>100331.966</v>
      </c>
      <c r="G1585" s="48">
        <v>0.15390000000000001</v>
      </c>
      <c r="H1585" s="48">
        <v>0.15390000000000001</v>
      </c>
      <c r="I1585" s="48">
        <v>0.17189143478840979</v>
      </c>
      <c r="K1585" s="62">
        <v>0</v>
      </c>
      <c r="M1585" s="64"/>
      <c r="N1585" s="64"/>
    </row>
    <row r="1586" spans="1:14" x14ac:dyDescent="0.25">
      <c r="A1586" s="45" t="s">
        <v>1638</v>
      </c>
      <c r="B1586" s="46">
        <v>136382.94999999998</v>
      </c>
      <c r="C1586" s="60">
        <v>0.21</v>
      </c>
      <c r="D1586" s="47" t="s">
        <v>1839</v>
      </c>
      <c r="E1586" s="47" t="s">
        <v>1839</v>
      </c>
      <c r="F1586" s="47" t="s">
        <v>1839</v>
      </c>
      <c r="G1586" s="48">
        <v>0.22559999999999999</v>
      </c>
      <c r="H1586" s="48">
        <v>0.22559999999999999</v>
      </c>
      <c r="I1586" s="48">
        <v>0.28093468766408353</v>
      </c>
      <c r="K1586" s="62">
        <v>0</v>
      </c>
      <c r="M1586" s="64"/>
      <c r="N1586" s="64"/>
    </row>
    <row r="1587" spans="1:14" x14ac:dyDescent="0.25">
      <c r="A1587" s="45" t="s">
        <v>1639</v>
      </c>
      <c r="B1587" s="46">
        <v>11594</v>
      </c>
      <c r="C1587" s="60">
        <v>0.21</v>
      </c>
      <c r="D1587" s="47">
        <v>20781.317184651642</v>
      </c>
      <c r="E1587" s="47" t="s">
        <v>1839</v>
      </c>
      <c r="F1587" s="47" t="s">
        <v>1839</v>
      </c>
      <c r="G1587" s="48">
        <v>0.15540000000000001</v>
      </c>
      <c r="H1587" s="48">
        <v>0.15540000000000001</v>
      </c>
      <c r="I1587" s="48">
        <v>0.21641501179996819</v>
      </c>
      <c r="K1587" s="62">
        <v>0</v>
      </c>
      <c r="M1587" s="64"/>
      <c r="N1587" s="64"/>
    </row>
    <row r="1588" spans="1:14" x14ac:dyDescent="0.25">
      <c r="A1588" s="45" t="s">
        <v>1640</v>
      </c>
      <c r="B1588" s="46">
        <v>11594</v>
      </c>
      <c r="C1588" s="60">
        <v>0.21</v>
      </c>
      <c r="D1588" s="47">
        <v>20781.317184651642</v>
      </c>
      <c r="E1588" s="47" t="s">
        <v>1839</v>
      </c>
      <c r="F1588" s="47" t="s">
        <v>1839</v>
      </c>
      <c r="G1588" s="48">
        <v>0.15540000000000001</v>
      </c>
      <c r="H1588" s="48">
        <v>0.15540000000000001</v>
      </c>
      <c r="I1588" s="48">
        <v>0.22368127170930879</v>
      </c>
      <c r="K1588" s="62">
        <v>0</v>
      </c>
      <c r="M1588" s="64"/>
      <c r="N1588" s="64"/>
    </row>
    <row r="1589" spans="1:14" x14ac:dyDescent="0.25">
      <c r="A1589" s="45" t="s">
        <v>1641</v>
      </c>
      <c r="B1589" s="46">
        <v>11594</v>
      </c>
      <c r="C1589" s="60">
        <v>0.21</v>
      </c>
      <c r="D1589" s="47">
        <v>20634.019012049263</v>
      </c>
      <c r="E1589" s="47" t="s">
        <v>1839</v>
      </c>
      <c r="F1589" s="47" t="s">
        <v>1839</v>
      </c>
      <c r="G1589" s="48">
        <v>0.15540000000000001</v>
      </c>
      <c r="H1589" s="48">
        <v>0.15540000000000001</v>
      </c>
      <c r="I1589" s="48">
        <v>0.22368127170930879</v>
      </c>
      <c r="K1589" s="62">
        <v>0</v>
      </c>
      <c r="M1589" s="64"/>
      <c r="N1589" s="64"/>
    </row>
    <row r="1590" spans="1:14" x14ac:dyDescent="0.25">
      <c r="A1590" s="45" t="s">
        <v>1642</v>
      </c>
      <c r="B1590" s="46">
        <v>100595</v>
      </c>
      <c r="C1590" s="60">
        <v>0.21</v>
      </c>
      <c r="D1590" s="47">
        <v>171594.41809656672</v>
      </c>
      <c r="E1590" s="47" t="s">
        <v>1839</v>
      </c>
      <c r="F1590" s="47" t="s">
        <v>1839</v>
      </c>
      <c r="G1590" s="48">
        <v>0.16020000000000001</v>
      </c>
      <c r="H1590" s="48">
        <v>0.16020000000000001</v>
      </c>
      <c r="I1590" s="48">
        <v>0.21524904298887171</v>
      </c>
      <c r="K1590" s="62">
        <v>0</v>
      </c>
      <c r="M1590" s="64"/>
      <c r="N1590" s="64"/>
    </row>
    <row r="1591" spans="1:14" x14ac:dyDescent="0.25">
      <c r="A1591" s="45" t="s">
        <v>1643</v>
      </c>
      <c r="B1591" s="46">
        <v>37578.199999999997</v>
      </c>
      <c r="C1591" s="60">
        <v>0.21</v>
      </c>
      <c r="D1591" s="47" t="s">
        <v>1839</v>
      </c>
      <c r="E1591" s="47" t="s">
        <v>1839</v>
      </c>
      <c r="F1591" s="47" t="s">
        <v>1839</v>
      </c>
      <c r="G1591" s="48">
        <v>0.2087</v>
      </c>
      <c r="H1591" s="48">
        <v>0.2087</v>
      </c>
      <c r="I1591" s="48">
        <v>0.27372953640999259</v>
      </c>
      <c r="K1591" s="62">
        <v>0</v>
      </c>
      <c r="M1591" s="64"/>
      <c r="N1591" s="64"/>
    </row>
    <row r="1592" spans="1:14" x14ac:dyDescent="0.25">
      <c r="A1592" s="45" t="s">
        <v>1644</v>
      </c>
      <c r="B1592" s="46">
        <v>55242</v>
      </c>
      <c r="C1592" s="60">
        <v>0.21</v>
      </c>
      <c r="D1592" s="47">
        <v>97953.284780578906</v>
      </c>
      <c r="E1592" s="47" t="s">
        <v>1839</v>
      </c>
      <c r="F1592" s="47" t="s">
        <v>1839</v>
      </c>
      <c r="G1592" s="48">
        <v>7.7799999999999994E-2</v>
      </c>
      <c r="H1592" s="48">
        <v>7.7799999999999994E-2</v>
      </c>
      <c r="I1592" s="48">
        <v>0.1218049779446054</v>
      </c>
      <c r="K1592" s="62">
        <v>0</v>
      </c>
      <c r="M1592" s="64"/>
      <c r="N1592" s="64"/>
    </row>
    <row r="1593" spans="1:14" x14ac:dyDescent="0.25">
      <c r="A1593" s="45" t="s">
        <v>1645</v>
      </c>
      <c r="B1593" s="46">
        <v>78089</v>
      </c>
      <c r="C1593" s="60">
        <v>0.21</v>
      </c>
      <c r="D1593" s="47">
        <v>138448.00739851495</v>
      </c>
      <c r="E1593" s="47" t="s">
        <v>1839</v>
      </c>
      <c r="F1593" s="47" t="s">
        <v>1839</v>
      </c>
      <c r="G1593" s="48">
        <v>9.2799999999999994E-2</v>
      </c>
      <c r="H1593" s="48">
        <v>9.2799999999999994E-2</v>
      </c>
      <c r="I1593" s="48">
        <v>0.12679198347201609</v>
      </c>
      <c r="K1593" s="62">
        <v>0</v>
      </c>
      <c r="M1593" s="64"/>
      <c r="N1593" s="64"/>
    </row>
    <row r="1594" spans="1:14" x14ac:dyDescent="0.25">
      <c r="A1594" s="45" t="s">
        <v>1646</v>
      </c>
      <c r="B1594" s="46">
        <v>146971</v>
      </c>
      <c r="C1594" s="60">
        <v>0.21</v>
      </c>
      <c r="D1594" s="47">
        <v>260386.34461784706</v>
      </c>
      <c r="E1594" s="47" t="s">
        <v>1839</v>
      </c>
      <c r="F1594" s="47" t="s">
        <v>1839</v>
      </c>
      <c r="G1594" s="48">
        <v>9.7000000000000003E-2</v>
      </c>
      <c r="H1594" s="48">
        <v>9.7000000000000003E-2</v>
      </c>
      <c r="I1594" s="48">
        <v>0.1319915405136626</v>
      </c>
      <c r="K1594" s="62">
        <v>0</v>
      </c>
      <c r="M1594" s="64"/>
      <c r="N1594" s="64"/>
    </row>
    <row r="1595" spans="1:14" x14ac:dyDescent="0.25">
      <c r="A1595" s="45" t="s">
        <v>1647</v>
      </c>
      <c r="B1595" s="46">
        <v>13299</v>
      </c>
      <c r="C1595" s="60">
        <v>0.21</v>
      </c>
      <c r="D1595" s="47">
        <v>23690.456093548528</v>
      </c>
      <c r="E1595" s="47" t="s">
        <v>1839</v>
      </c>
      <c r="F1595" s="47" t="s">
        <v>1839</v>
      </c>
      <c r="G1595" s="48">
        <v>6.1199999999999997E-2</v>
      </c>
      <c r="H1595" s="48">
        <v>6.1199999999999997E-2</v>
      </c>
      <c r="I1595" s="48">
        <v>8.9249171591187351E-2</v>
      </c>
      <c r="K1595" s="62">
        <v>0</v>
      </c>
      <c r="M1595" s="64"/>
      <c r="N1595" s="64"/>
    </row>
    <row r="1596" spans="1:14" x14ac:dyDescent="0.25">
      <c r="A1596" s="45" t="s">
        <v>1648</v>
      </c>
      <c r="B1596" s="46">
        <v>13299</v>
      </c>
      <c r="C1596" s="60">
        <v>0.21</v>
      </c>
      <c r="D1596" s="47">
        <v>23530.883073229299</v>
      </c>
      <c r="E1596" s="47" t="s">
        <v>1839</v>
      </c>
      <c r="F1596" s="47" t="s">
        <v>1839</v>
      </c>
      <c r="G1596" s="48">
        <v>4.5699999999999998E-2</v>
      </c>
      <c r="H1596" s="48">
        <v>4.5699999999999998E-2</v>
      </c>
      <c r="I1596" s="48">
        <v>9.2053397149408578E-2</v>
      </c>
      <c r="K1596" s="62">
        <v>0</v>
      </c>
      <c r="M1596" s="64"/>
      <c r="N1596" s="64"/>
    </row>
    <row r="1597" spans="1:14" x14ac:dyDescent="0.25">
      <c r="A1597" s="45" t="s">
        <v>1649</v>
      </c>
      <c r="B1597" s="46">
        <v>13299</v>
      </c>
      <c r="C1597" s="60">
        <v>0.21</v>
      </c>
      <c r="D1597" s="47">
        <v>23530.883073229299</v>
      </c>
      <c r="E1597" s="47" t="s">
        <v>1839</v>
      </c>
      <c r="F1597" s="47" t="s">
        <v>1839</v>
      </c>
      <c r="G1597" s="48">
        <v>0.1555</v>
      </c>
      <c r="H1597" s="48">
        <v>0.1555</v>
      </c>
      <c r="I1597" s="48">
        <v>0.21548991253004671</v>
      </c>
      <c r="K1597" s="62">
        <v>0</v>
      </c>
      <c r="M1597" s="64"/>
      <c r="N1597" s="64"/>
    </row>
    <row r="1598" spans="1:14" x14ac:dyDescent="0.25">
      <c r="A1598" s="45" t="s">
        <v>1650</v>
      </c>
      <c r="B1598" s="46">
        <v>17050</v>
      </c>
      <c r="C1598" s="60">
        <v>0.21</v>
      </c>
      <c r="D1598" s="47">
        <v>29142.034021871201</v>
      </c>
      <c r="E1598" s="47" t="s">
        <v>1839</v>
      </c>
      <c r="F1598" s="47" t="s">
        <v>1839</v>
      </c>
      <c r="G1598" s="48">
        <v>0.1656</v>
      </c>
      <c r="H1598" s="48">
        <v>0.1656</v>
      </c>
      <c r="I1598" s="48">
        <v>0.2245864180156418</v>
      </c>
      <c r="K1598" s="62">
        <v>0</v>
      </c>
      <c r="M1598" s="64"/>
      <c r="N1598" s="64"/>
    </row>
    <row r="1599" spans="1:14" x14ac:dyDescent="0.25">
      <c r="A1599" s="45" t="s">
        <v>1651</v>
      </c>
      <c r="B1599" s="46">
        <v>17050</v>
      </c>
      <c r="C1599" s="60">
        <v>0.21</v>
      </c>
      <c r="D1599" s="47">
        <v>29142.034021871201</v>
      </c>
      <c r="E1599" s="47" t="s">
        <v>1839</v>
      </c>
      <c r="F1599" s="47" t="s">
        <v>1839</v>
      </c>
      <c r="G1599" s="48">
        <v>0.16109999999999999</v>
      </c>
      <c r="H1599" s="48">
        <v>0.16109999999999999</v>
      </c>
      <c r="I1599" s="48">
        <v>0.23002390539065021</v>
      </c>
      <c r="K1599" s="62">
        <v>0</v>
      </c>
      <c r="M1599" s="64"/>
      <c r="N1599" s="64"/>
    </row>
    <row r="1600" spans="1:14" x14ac:dyDescent="0.25">
      <c r="A1600" s="45" t="s">
        <v>1652</v>
      </c>
      <c r="B1600" s="46">
        <v>21142</v>
      </c>
      <c r="C1600" s="60">
        <v>0.21</v>
      </c>
      <c r="D1600" s="47">
        <v>36107.236398001885</v>
      </c>
      <c r="E1600" s="47" t="s">
        <v>1839</v>
      </c>
      <c r="F1600" s="47" t="s">
        <v>1839</v>
      </c>
      <c r="G1600" s="48">
        <v>0.16270000000000001</v>
      </c>
      <c r="H1600" s="48">
        <v>0.16270000000000001</v>
      </c>
      <c r="I1600" s="48">
        <v>0.21966852823475869</v>
      </c>
      <c r="K1600" s="62">
        <v>0</v>
      </c>
      <c r="M1600" s="64"/>
      <c r="N1600" s="64"/>
    </row>
    <row r="1601" spans="1:14" x14ac:dyDescent="0.25">
      <c r="A1601" s="45" t="s">
        <v>1653</v>
      </c>
      <c r="B1601" s="46">
        <v>62403</v>
      </c>
      <c r="C1601" s="60">
        <v>0.21</v>
      </c>
      <c r="D1601" s="47">
        <v>110326.33127917831</v>
      </c>
      <c r="E1601" s="47" t="s">
        <v>1839</v>
      </c>
      <c r="F1601" s="47" t="s">
        <v>1839</v>
      </c>
      <c r="G1601" s="48">
        <v>9.2200000000000004E-2</v>
      </c>
      <c r="H1601" s="48">
        <v>9.2200000000000004E-2</v>
      </c>
      <c r="I1601" s="48">
        <v>0.1262171684497703</v>
      </c>
      <c r="K1601" s="62">
        <v>0</v>
      </c>
      <c r="M1601" s="64"/>
      <c r="N1601" s="64"/>
    </row>
    <row r="1602" spans="1:14" x14ac:dyDescent="0.25">
      <c r="A1602" s="45" t="s">
        <v>1654</v>
      </c>
      <c r="B1602" s="46">
        <v>11662.199999999999</v>
      </c>
      <c r="C1602" s="60">
        <v>0.21</v>
      </c>
      <c r="D1602" s="47" t="s">
        <v>1839</v>
      </c>
      <c r="E1602" s="47" t="s">
        <v>1839</v>
      </c>
      <c r="F1602" s="47" t="s">
        <v>1839</v>
      </c>
      <c r="G1602" s="48">
        <v>0.1583</v>
      </c>
      <c r="H1602" s="48">
        <v>0.1583</v>
      </c>
      <c r="I1602" s="48">
        <v>0.2217771137370482</v>
      </c>
      <c r="K1602" s="62">
        <v>0</v>
      </c>
      <c r="M1602" s="64"/>
      <c r="N1602" s="64"/>
    </row>
    <row r="1603" spans="1:14" x14ac:dyDescent="0.25">
      <c r="A1603" s="45" t="s">
        <v>1655</v>
      </c>
      <c r="B1603" s="46">
        <v>18789.099999999999</v>
      </c>
      <c r="C1603" s="60">
        <v>0.21</v>
      </c>
      <c r="D1603" s="47" t="s">
        <v>1839</v>
      </c>
      <c r="E1603" s="47" t="s">
        <v>1839</v>
      </c>
      <c r="F1603" s="47" t="s">
        <v>1839</v>
      </c>
      <c r="G1603" s="48">
        <v>0.1575</v>
      </c>
      <c r="H1603" s="48">
        <v>0.1575</v>
      </c>
      <c r="I1603" s="48">
        <v>0.21581785328471151</v>
      </c>
      <c r="K1603" s="62">
        <v>0</v>
      </c>
      <c r="M1603" s="64"/>
      <c r="N1603" s="64"/>
    </row>
    <row r="1604" spans="1:14" x14ac:dyDescent="0.25">
      <c r="A1604" s="45" t="s">
        <v>1656</v>
      </c>
      <c r="B1604" s="46">
        <v>131285</v>
      </c>
      <c r="C1604" s="60">
        <v>0.21</v>
      </c>
      <c r="D1604" s="47">
        <v>232479.38243630779</v>
      </c>
      <c r="E1604" s="47" t="s">
        <v>1839</v>
      </c>
      <c r="F1604" s="47" t="s">
        <v>1839</v>
      </c>
      <c r="G1604" s="48">
        <v>8.5800000000000001E-2</v>
      </c>
      <c r="H1604" s="48">
        <v>8.5800000000000001E-2</v>
      </c>
      <c r="I1604" s="48">
        <v>0.12979414676899881</v>
      </c>
      <c r="K1604" s="62">
        <v>0</v>
      </c>
      <c r="M1604" s="64"/>
      <c r="N1604" s="64"/>
    </row>
    <row r="1605" spans="1:14" x14ac:dyDescent="0.25">
      <c r="A1605" s="45" t="s">
        <v>1657</v>
      </c>
      <c r="B1605" s="46">
        <v>10741.65</v>
      </c>
      <c r="C1605" s="60">
        <v>0.21</v>
      </c>
      <c r="D1605" s="47" t="s">
        <v>1839</v>
      </c>
      <c r="E1605" s="47" t="s">
        <v>1839</v>
      </c>
      <c r="F1605" s="47" t="s">
        <v>1839</v>
      </c>
      <c r="G1605" s="48">
        <v>0.16200000000000001</v>
      </c>
      <c r="H1605" s="48">
        <v>0.16200000000000001</v>
      </c>
      <c r="I1605" s="48">
        <v>0.228058096407037</v>
      </c>
      <c r="K1605" s="62">
        <v>0</v>
      </c>
      <c r="M1605" s="64"/>
      <c r="N1605" s="64"/>
    </row>
    <row r="1606" spans="1:14" x14ac:dyDescent="0.25">
      <c r="A1606" s="45" t="s">
        <v>1658</v>
      </c>
      <c r="B1606" s="46">
        <v>111439</v>
      </c>
      <c r="C1606" s="60">
        <v>0.21</v>
      </c>
      <c r="D1606" s="47">
        <v>192822.51407229557</v>
      </c>
      <c r="E1606" s="47" t="s">
        <v>1839</v>
      </c>
      <c r="F1606" s="47" t="s">
        <v>1839</v>
      </c>
      <c r="G1606" s="48">
        <v>8.4599999999999995E-2</v>
      </c>
      <c r="H1606" s="48">
        <v>8.4599999999999995E-2</v>
      </c>
      <c r="I1606" s="48">
        <v>0.1156463392606974</v>
      </c>
      <c r="K1606" s="62">
        <v>0</v>
      </c>
      <c r="M1606" s="64"/>
      <c r="N1606" s="64"/>
    </row>
    <row r="1607" spans="1:14" x14ac:dyDescent="0.25">
      <c r="A1607" s="45" t="s">
        <v>1659</v>
      </c>
      <c r="B1607" s="46">
        <v>49786</v>
      </c>
      <c r="C1607" s="60">
        <v>0.21</v>
      </c>
      <c r="D1607" s="47">
        <v>88170.231150237872</v>
      </c>
      <c r="E1607" s="47" t="s">
        <v>1839</v>
      </c>
      <c r="F1607" s="47" t="s">
        <v>1839</v>
      </c>
      <c r="G1607" s="48">
        <v>9.1999999999999998E-2</v>
      </c>
      <c r="H1607" s="48">
        <v>9.1999999999999998E-2</v>
      </c>
      <c r="I1607" s="48">
        <v>0.12598753918787731</v>
      </c>
      <c r="K1607" s="62">
        <v>0</v>
      </c>
      <c r="M1607" s="64"/>
      <c r="N1607" s="64"/>
    </row>
    <row r="1608" spans="1:14" x14ac:dyDescent="0.25">
      <c r="A1608" s="45" t="s">
        <v>1660</v>
      </c>
      <c r="B1608" s="46">
        <v>176638</v>
      </c>
      <c r="C1608" s="60">
        <v>0.21</v>
      </c>
      <c r="D1608" s="47">
        <v>301993.6779022846</v>
      </c>
      <c r="E1608" s="47" t="s">
        <v>1839</v>
      </c>
      <c r="F1608" s="47" t="s">
        <v>1839</v>
      </c>
      <c r="G1608" s="48">
        <v>6.7500000000000004E-2</v>
      </c>
      <c r="H1608" s="48">
        <v>6.7500000000000004E-2</v>
      </c>
      <c r="I1608" s="48">
        <v>0.1075376198670191</v>
      </c>
      <c r="K1608" s="62">
        <v>0</v>
      </c>
      <c r="M1608" s="64"/>
      <c r="N1608" s="64"/>
    </row>
    <row r="1609" spans="1:14" x14ac:dyDescent="0.25">
      <c r="A1609" s="45" t="s">
        <v>1661</v>
      </c>
      <c r="B1609" s="46">
        <v>47296.7</v>
      </c>
      <c r="C1609" s="60">
        <v>0.21</v>
      </c>
      <c r="D1609" s="47" t="s">
        <v>1839</v>
      </c>
      <c r="E1609" s="47" t="s">
        <v>1839</v>
      </c>
      <c r="F1609" s="47" t="s">
        <v>1839</v>
      </c>
      <c r="G1609" s="48">
        <v>0.16259999999999999</v>
      </c>
      <c r="H1609" s="48">
        <v>0.16259999999999999</v>
      </c>
      <c r="I1609" s="48">
        <v>0.22924061878492891</v>
      </c>
      <c r="K1609" s="62">
        <v>0</v>
      </c>
      <c r="M1609" s="64"/>
      <c r="N1609" s="64"/>
    </row>
    <row r="1610" spans="1:14" x14ac:dyDescent="0.25">
      <c r="A1610" s="45" t="s">
        <v>1662</v>
      </c>
      <c r="B1610" s="46">
        <v>11618.5</v>
      </c>
      <c r="C1610" s="60">
        <v>0.21</v>
      </c>
      <c r="D1610" s="47" t="s">
        <v>1839</v>
      </c>
      <c r="E1610" s="47" t="s">
        <v>1839</v>
      </c>
      <c r="F1610" s="47" t="s">
        <v>1839</v>
      </c>
      <c r="G1610" s="48">
        <v>3.5299999999999998E-2</v>
      </c>
      <c r="H1610" s="48">
        <v>3.5299999999999998E-2</v>
      </c>
      <c r="I1610" s="48">
        <v>4.9285099213777619E-2</v>
      </c>
      <c r="K1610" s="62">
        <v>0</v>
      </c>
      <c r="M1610" s="64"/>
      <c r="N1610" s="64"/>
    </row>
    <row r="1611" spans="1:14" x14ac:dyDescent="0.25">
      <c r="A1611" s="45" t="s">
        <v>1663</v>
      </c>
      <c r="B1611" s="46">
        <v>53398.1</v>
      </c>
      <c r="C1611" s="60">
        <v>0.105</v>
      </c>
      <c r="D1611" s="47" t="s">
        <v>1839</v>
      </c>
      <c r="E1611" s="47" t="s">
        <v>1839</v>
      </c>
      <c r="F1611" s="47" t="s">
        <v>1839</v>
      </c>
      <c r="G1611" s="48">
        <v>0.158</v>
      </c>
      <c r="H1611" s="48">
        <v>0.158</v>
      </c>
      <c r="I1611" s="48">
        <v>0.20923617639365441</v>
      </c>
      <c r="K1611" s="62">
        <v>0</v>
      </c>
      <c r="M1611" s="64"/>
      <c r="N1611" s="64"/>
    </row>
    <row r="1612" spans="1:14" x14ac:dyDescent="0.25">
      <c r="A1612" s="45" t="s">
        <v>1664</v>
      </c>
      <c r="B1612" s="46">
        <v>88384.7</v>
      </c>
      <c r="C1612" s="60">
        <v>0.105</v>
      </c>
      <c r="D1612" s="47" t="s">
        <v>1839</v>
      </c>
      <c r="E1612" s="47" t="s">
        <v>1839</v>
      </c>
      <c r="F1612" s="47" t="s">
        <v>1839</v>
      </c>
      <c r="G1612" s="48">
        <v>0.1598</v>
      </c>
      <c r="H1612" s="48">
        <v>0.1598</v>
      </c>
      <c r="I1612" s="48">
        <v>0.2114472951593476</v>
      </c>
      <c r="K1612" s="62">
        <v>0</v>
      </c>
      <c r="M1612" s="64"/>
      <c r="N1612" s="64"/>
    </row>
    <row r="1613" spans="1:14" x14ac:dyDescent="0.25">
      <c r="A1613" s="45" t="s">
        <v>1665</v>
      </c>
      <c r="B1613" s="46">
        <v>138002.69999999998</v>
      </c>
      <c r="C1613" s="60">
        <v>0.105</v>
      </c>
      <c r="D1613" s="47" t="s">
        <v>1839</v>
      </c>
      <c r="E1613" s="47" t="s">
        <v>1839</v>
      </c>
      <c r="F1613" s="47" t="s">
        <v>1839</v>
      </c>
      <c r="G1613" s="48">
        <v>0.15790000000000001</v>
      </c>
      <c r="H1613" s="48">
        <v>0.15790000000000001</v>
      </c>
      <c r="I1613" s="48">
        <v>0.21438508662700939</v>
      </c>
      <c r="K1613" s="62">
        <v>0</v>
      </c>
      <c r="M1613" s="64"/>
      <c r="N1613" s="64"/>
    </row>
    <row r="1614" spans="1:14" x14ac:dyDescent="0.25">
      <c r="A1614" s="45" t="s">
        <v>1666</v>
      </c>
      <c r="B1614" s="46">
        <v>192102.34999999998</v>
      </c>
      <c r="C1614" s="60">
        <v>0.105</v>
      </c>
      <c r="D1614" s="47" t="s">
        <v>1839</v>
      </c>
      <c r="E1614" s="47" t="s">
        <v>1839</v>
      </c>
      <c r="F1614" s="47" t="s">
        <v>1839</v>
      </c>
      <c r="G1614" s="48">
        <v>0.15770000000000001</v>
      </c>
      <c r="H1614" s="48">
        <v>0.15770000000000001</v>
      </c>
      <c r="I1614" s="48">
        <v>0.2079001328459292</v>
      </c>
      <c r="K1614" s="62">
        <v>0</v>
      </c>
      <c r="M1614" s="64"/>
      <c r="N1614" s="64"/>
    </row>
    <row r="1615" spans="1:14" x14ac:dyDescent="0.25">
      <c r="A1615" s="45" t="s">
        <v>1667</v>
      </c>
      <c r="B1615" s="46">
        <v>271027</v>
      </c>
      <c r="C1615" s="60">
        <v>0.21</v>
      </c>
      <c r="D1615" s="47">
        <v>441595.52789646416</v>
      </c>
      <c r="E1615" s="47" t="s">
        <v>1839</v>
      </c>
      <c r="F1615" s="47" t="s">
        <v>1839</v>
      </c>
      <c r="G1615" s="48">
        <v>0.1138</v>
      </c>
      <c r="H1615" s="48">
        <v>0.1138</v>
      </c>
      <c r="I1615" s="48">
        <v>0.1648454822739521</v>
      </c>
      <c r="K1615" s="62">
        <v>0</v>
      </c>
      <c r="M1615" s="64"/>
      <c r="N1615" s="64"/>
    </row>
    <row r="1616" spans="1:14" x14ac:dyDescent="0.25">
      <c r="A1616" s="45" t="s">
        <v>1668</v>
      </c>
      <c r="B1616" s="46">
        <v>144175</v>
      </c>
      <c r="C1616" s="60">
        <v>0.21</v>
      </c>
      <c r="D1616" s="47">
        <v>250993.78458049882</v>
      </c>
      <c r="E1616" s="47" t="s">
        <v>1839</v>
      </c>
      <c r="F1616" s="47" t="s">
        <v>1839</v>
      </c>
      <c r="G1616" s="48">
        <v>9.64E-2</v>
      </c>
      <c r="H1616" s="48">
        <v>9.64E-2</v>
      </c>
      <c r="I1616" s="48">
        <v>0.1294071940095618</v>
      </c>
      <c r="K1616" s="62">
        <v>0</v>
      </c>
      <c r="M1616" s="64"/>
      <c r="N1616" s="64"/>
    </row>
    <row r="1617" spans="1:14" x14ac:dyDescent="0.25">
      <c r="A1617" s="45" t="s">
        <v>1669</v>
      </c>
      <c r="B1617" s="46">
        <v>231812</v>
      </c>
      <c r="C1617" s="60">
        <v>0.21</v>
      </c>
      <c r="D1617" s="47">
        <v>405702.89649193012</v>
      </c>
      <c r="E1617" s="47" t="s">
        <v>1839</v>
      </c>
      <c r="F1617" s="47" t="s">
        <v>1839</v>
      </c>
      <c r="G1617" s="48">
        <v>9.8799999999999999E-2</v>
      </c>
      <c r="H1617" s="48">
        <v>9.8799999999999999E-2</v>
      </c>
      <c r="I1617" s="48">
        <v>0.13276255430548789</v>
      </c>
      <c r="K1617" s="62">
        <v>0</v>
      </c>
      <c r="M1617" s="64"/>
      <c r="N1617" s="64"/>
    </row>
    <row r="1618" spans="1:14" x14ac:dyDescent="0.25">
      <c r="A1618" s="45" t="s">
        <v>1670</v>
      </c>
      <c r="B1618" s="46">
        <v>280916</v>
      </c>
      <c r="C1618" s="60">
        <v>0.21</v>
      </c>
      <c r="D1618" s="47">
        <v>493080.63278644788</v>
      </c>
      <c r="E1618" s="47" t="s">
        <v>1839</v>
      </c>
      <c r="F1618" s="47" t="s">
        <v>1839</v>
      </c>
      <c r="G1618" s="48">
        <v>0.1002</v>
      </c>
      <c r="H1618" s="48">
        <v>0.1002</v>
      </c>
      <c r="I1618" s="48">
        <v>0.1342352471643895</v>
      </c>
      <c r="K1618" s="62">
        <v>0</v>
      </c>
      <c r="M1618" s="64"/>
      <c r="N1618" s="64"/>
    </row>
    <row r="1619" spans="1:14" x14ac:dyDescent="0.25">
      <c r="A1619" s="45" t="s">
        <v>1671</v>
      </c>
      <c r="B1619" s="46">
        <v>21824</v>
      </c>
      <c r="C1619" s="60">
        <v>0.21</v>
      </c>
      <c r="D1619" s="47">
        <v>37118.16506479284</v>
      </c>
      <c r="E1619" s="47" t="s">
        <v>1839</v>
      </c>
      <c r="F1619" s="47" t="s">
        <v>1839</v>
      </c>
      <c r="G1619" s="48">
        <v>4.0300000000000002E-2</v>
      </c>
      <c r="H1619" s="48">
        <v>4.0300000000000002E-2</v>
      </c>
      <c r="I1619" s="48">
        <v>7.362221522262076E-2</v>
      </c>
      <c r="K1619" s="62">
        <v>0</v>
      </c>
      <c r="M1619" s="64"/>
      <c r="N1619" s="64"/>
    </row>
    <row r="1620" spans="1:14" x14ac:dyDescent="0.25">
      <c r="A1620" s="45" t="s">
        <v>1672</v>
      </c>
      <c r="B1620" s="46">
        <v>26257</v>
      </c>
      <c r="C1620" s="60">
        <v>0.21</v>
      </c>
      <c r="D1620" s="47">
        <v>45069.522069428094</v>
      </c>
      <c r="E1620" s="47" t="s">
        <v>1839</v>
      </c>
      <c r="F1620" s="47" t="s">
        <v>1839</v>
      </c>
      <c r="G1620" s="48">
        <v>0.12429999999999999</v>
      </c>
      <c r="H1620" s="48">
        <v>0.12429999999999999</v>
      </c>
      <c r="I1620" s="48">
        <v>0.18231146525795061</v>
      </c>
      <c r="K1620" s="62">
        <v>0</v>
      </c>
      <c r="M1620" s="64"/>
      <c r="N1620" s="64"/>
    </row>
    <row r="1621" spans="1:14" x14ac:dyDescent="0.25">
      <c r="A1621" s="45" t="s">
        <v>1673</v>
      </c>
      <c r="B1621" s="46">
        <v>191915</v>
      </c>
      <c r="C1621" s="60">
        <v>0.21</v>
      </c>
      <c r="D1621" s="47">
        <v>335218.41936774709</v>
      </c>
      <c r="E1621" s="47" t="s">
        <v>1839</v>
      </c>
      <c r="F1621" s="47" t="s">
        <v>1839</v>
      </c>
      <c r="G1621" s="48">
        <v>7.9500000000000001E-2</v>
      </c>
      <c r="H1621" s="48">
        <v>7.9500000000000001E-2</v>
      </c>
      <c r="I1621" s="48">
        <v>0.12494975831717769</v>
      </c>
      <c r="K1621" s="62">
        <v>0</v>
      </c>
      <c r="M1621" s="64"/>
      <c r="N1621" s="64"/>
    </row>
    <row r="1622" spans="1:14" x14ac:dyDescent="0.25">
      <c r="A1622" s="45" t="s">
        <v>1674</v>
      </c>
      <c r="B1622" s="46">
        <v>86494.65</v>
      </c>
      <c r="C1622" s="60">
        <v>0.21</v>
      </c>
      <c r="D1622" s="47" t="s">
        <v>1839</v>
      </c>
      <c r="E1622" s="47" t="s">
        <v>1839</v>
      </c>
      <c r="F1622" s="47" t="s">
        <v>1839</v>
      </c>
      <c r="G1622" s="48">
        <v>0.15939999999999999</v>
      </c>
      <c r="H1622" s="48">
        <v>0.15939999999999999</v>
      </c>
      <c r="I1622" s="48">
        <v>0.21144615098427011</v>
      </c>
      <c r="K1622" s="62">
        <v>0</v>
      </c>
      <c r="M1622" s="64"/>
      <c r="N1622" s="64"/>
    </row>
    <row r="1623" spans="1:14" x14ac:dyDescent="0.25">
      <c r="A1623" s="45" t="s">
        <v>1675</v>
      </c>
      <c r="B1623" s="46">
        <v>86494.65</v>
      </c>
      <c r="C1623" s="60">
        <v>0.21</v>
      </c>
      <c r="D1623" s="47" t="s">
        <v>1839</v>
      </c>
      <c r="E1623" s="47" t="s">
        <v>1839</v>
      </c>
      <c r="F1623" s="47" t="s">
        <v>1839</v>
      </c>
      <c r="G1623" s="48">
        <v>0.15890000000000001</v>
      </c>
      <c r="H1623" s="48">
        <v>0.15890000000000001</v>
      </c>
      <c r="I1623" s="48">
        <v>0.21144615098427011</v>
      </c>
      <c r="K1623" s="62">
        <v>0</v>
      </c>
      <c r="M1623" s="64"/>
      <c r="N1623" s="64"/>
    </row>
    <row r="1624" spans="1:14" x14ac:dyDescent="0.25">
      <c r="A1624" s="45" t="s">
        <v>1676</v>
      </c>
      <c r="B1624" s="46">
        <v>86494.65</v>
      </c>
      <c r="C1624" s="60">
        <v>0.21</v>
      </c>
      <c r="D1624" s="47" t="s">
        <v>1839</v>
      </c>
      <c r="E1624" s="47" t="s">
        <v>1839</v>
      </c>
      <c r="F1624" s="47" t="s">
        <v>1839</v>
      </c>
      <c r="G1624" s="48">
        <v>0.13170000000000001</v>
      </c>
      <c r="H1624" s="48">
        <v>0.13170000000000001</v>
      </c>
      <c r="I1624" s="48">
        <v>0.18969610157587069</v>
      </c>
      <c r="K1624" s="62">
        <v>0</v>
      </c>
      <c r="M1624" s="64"/>
      <c r="N1624" s="64"/>
    </row>
    <row r="1625" spans="1:14" x14ac:dyDescent="0.25">
      <c r="A1625" s="45" t="s">
        <v>1677</v>
      </c>
      <c r="B1625" s="46">
        <v>130551.84999999999</v>
      </c>
      <c r="C1625" s="60">
        <v>0.21</v>
      </c>
      <c r="D1625" s="47" t="s">
        <v>1839</v>
      </c>
      <c r="E1625" s="47" t="s">
        <v>1839</v>
      </c>
      <c r="F1625" s="47" t="s">
        <v>1839</v>
      </c>
      <c r="G1625" s="48">
        <v>0.15770000000000001</v>
      </c>
      <c r="H1625" s="48">
        <v>0.15770000000000001</v>
      </c>
      <c r="I1625" s="48">
        <v>0.2079212381416238</v>
      </c>
      <c r="K1625" s="62">
        <v>0</v>
      </c>
      <c r="M1625" s="64"/>
      <c r="N1625" s="64"/>
    </row>
    <row r="1626" spans="1:14" x14ac:dyDescent="0.25">
      <c r="A1626" s="45" t="s">
        <v>1678</v>
      </c>
      <c r="B1626" s="46">
        <v>79314.099999999991</v>
      </c>
      <c r="C1626" s="60">
        <v>0.21</v>
      </c>
      <c r="D1626" s="47" t="s">
        <v>1839</v>
      </c>
      <c r="E1626" s="47" t="s">
        <v>1839</v>
      </c>
      <c r="F1626" s="47" t="s">
        <v>1839</v>
      </c>
      <c r="G1626" s="48">
        <v>7.3999999999999996E-2</v>
      </c>
      <c r="H1626" s="48">
        <v>7.3999999999999996E-2</v>
      </c>
      <c r="I1626" s="48">
        <v>0.1039852198520903</v>
      </c>
      <c r="K1626" s="62">
        <v>0</v>
      </c>
      <c r="M1626" s="64"/>
      <c r="N1626" s="64"/>
    </row>
    <row r="1627" spans="1:14" x14ac:dyDescent="0.25">
      <c r="A1627" s="45" t="s">
        <v>1679</v>
      </c>
      <c r="B1627" s="46">
        <v>114549</v>
      </c>
      <c r="C1627" s="60">
        <v>0.21</v>
      </c>
      <c r="D1627" s="47">
        <v>192822.51407229557</v>
      </c>
      <c r="E1627" s="47" t="s">
        <v>1839</v>
      </c>
      <c r="F1627" s="47" t="s">
        <v>1839</v>
      </c>
      <c r="G1627" s="48">
        <v>6.9699999999999998E-2</v>
      </c>
      <c r="H1627" s="48">
        <v>6.9699999999999998E-2</v>
      </c>
      <c r="I1627" s="48">
        <v>9.6695370031841338E-2</v>
      </c>
      <c r="K1627" s="62">
        <v>0</v>
      </c>
      <c r="M1627" s="64"/>
      <c r="N1627" s="64"/>
    </row>
    <row r="1628" spans="1:14" x14ac:dyDescent="0.25">
      <c r="A1628" s="45" t="s">
        <v>1680</v>
      </c>
      <c r="B1628" s="46">
        <v>45626</v>
      </c>
      <c r="C1628" s="60">
        <v>0.21</v>
      </c>
      <c r="D1628" s="47">
        <v>75927.604908630121</v>
      </c>
      <c r="E1628" s="47" t="s">
        <v>1839</v>
      </c>
      <c r="F1628" s="47" t="s">
        <v>1839</v>
      </c>
      <c r="G1628" s="48">
        <v>0.161</v>
      </c>
      <c r="H1628" s="48">
        <v>0.161</v>
      </c>
      <c r="I1628" s="48">
        <v>0.2153586738750233</v>
      </c>
      <c r="K1628" s="62">
        <v>0</v>
      </c>
      <c r="M1628" s="64"/>
      <c r="N1628" s="64"/>
    </row>
    <row r="1629" spans="1:14" x14ac:dyDescent="0.25">
      <c r="A1629" s="45" t="s">
        <v>1681</v>
      </c>
      <c r="B1629" s="46">
        <v>261888</v>
      </c>
      <c r="C1629" s="60">
        <v>0.21</v>
      </c>
      <c r="D1629" s="47">
        <v>464150.35107376281</v>
      </c>
      <c r="E1629" s="47" t="s">
        <v>1839</v>
      </c>
      <c r="F1629" s="47" t="s">
        <v>1839</v>
      </c>
      <c r="G1629" s="48">
        <v>0.1012</v>
      </c>
      <c r="H1629" s="48">
        <v>0.1012</v>
      </c>
      <c r="I1629" s="48">
        <v>0.13617060326807859</v>
      </c>
      <c r="K1629" s="62">
        <v>0</v>
      </c>
      <c r="M1629" s="64"/>
      <c r="N1629" s="64"/>
    </row>
    <row r="1630" spans="1:14" x14ac:dyDescent="0.25">
      <c r="A1630" s="45" t="s">
        <v>1682</v>
      </c>
      <c r="B1630" s="46">
        <v>110707.29999999999</v>
      </c>
      <c r="C1630" s="60">
        <v>0.21</v>
      </c>
      <c r="D1630" s="47" t="s">
        <v>1839</v>
      </c>
      <c r="E1630" s="47" t="s">
        <v>1839</v>
      </c>
      <c r="F1630" s="47" t="s">
        <v>1839</v>
      </c>
      <c r="G1630" s="48">
        <v>0.1633</v>
      </c>
      <c r="H1630" s="48">
        <v>0.1633</v>
      </c>
      <c r="I1630" s="48">
        <v>0.21567472967280191</v>
      </c>
      <c r="K1630" s="62">
        <v>0</v>
      </c>
      <c r="M1630" s="64"/>
      <c r="N1630" s="64"/>
    </row>
    <row r="1631" spans="1:14" x14ac:dyDescent="0.25">
      <c r="A1631" s="45" t="s">
        <v>1683</v>
      </c>
      <c r="B1631" s="46">
        <v>38533</v>
      </c>
      <c r="C1631" s="60">
        <v>0.21</v>
      </c>
      <c r="D1631" s="47">
        <v>65540.457810179563</v>
      </c>
      <c r="E1631" s="47" t="s">
        <v>1839</v>
      </c>
      <c r="F1631" s="47" t="s">
        <v>1839</v>
      </c>
      <c r="G1631" s="48">
        <v>0.16139999999999999</v>
      </c>
      <c r="H1631" s="48">
        <v>0.16139999999999999</v>
      </c>
      <c r="I1631" s="48">
        <v>0.21563892891895789</v>
      </c>
      <c r="K1631" s="62">
        <v>0</v>
      </c>
      <c r="M1631" s="64"/>
      <c r="N1631" s="64"/>
    </row>
    <row r="1632" spans="1:14" x14ac:dyDescent="0.25">
      <c r="A1632" s="45" t="s">
        <v>1684</v>
      </c>
      <c r="B1632" s="46">
        <v>63108.5</v>
      </c>
      <c r="C1632" s="60">
        <v>0.21</v>
      </c>
      <c r="D1632" s="47" t="s">
        <v>1839</v>
      </c>
      <c r="E1632" s="47" t="s">
        <v>1839</v>
      </c>
      <c r="F1632" s="47" t="s">
        <v>1839</v>
      </c>
      <c r="G1632" s="48">
        <v>0.18</v>
      </c>
      <c r="H1632" s="48">
        <v>0.18</v>
      </c>
      <c r="I1632" s="48">
        <v>0.23748729869896529</v>
      </c>
      <c r="K1632" s="62">
        <v>0</v>
      </c>
      <c r="M1632" s="64"/>
      <c r="N1632" s="64"/>
    </row>
    <row r="1633" spans="1:14" x14ac:dyDescent="0.25">
      <c r="A1633" s="45" t="s">
        <v>1685</v>
      </c>
      <c r="B1633" s="46">
        <v>19096</v>
      </c>
      <c r="C1633" s="60">
        <v>0.21</v>
      </c>
      <c r="D1633" s="47">
        <v>34074.977262015913</v>
      </c>
      <c r="E1633" s="47" t="s">
        <v>1839</v>
      </c>
      <c r="F1633" s="47" t="s">
        <v>1839</v>
      </c>
      <c r="G1633" s="48">
        <v>7.6399999999999996E-2</v>
      </c>
      <c r="H1633" s="48">
        <v>7.6399999999999996E-2</v>
      </c>
      <c r="I1633" s="48">
        <v>0.108353577974099</v>
      </c>
      <c r="K1633" s="62">
        <v>0</v>
      </c>
      <c r="M1633" s="64"/>
      <c r="N1633" s="64"/>
    </row>
    <row r="1634" spans="1:14" x14ac:dyDescent="0.25">
      <c r="A1634" s="45" t="s">
        <v>1686</v>
      </c>
      <c r="B1634" s="46">
        <v>18755</v>
      </c>
      <c r="C1634" s="60">
        <v>0.21</v>
      </c>
      <c r="D1634" s="47">
        <v>33461.234876172697</v>
      </c>
      <c r="E1634" s="47" t="s">
        <v>1839</v>
      </c>
      <c r="F1634" s="47" t="s">
        <v>1839</v>
      </c>
      <c r="G1634" s="48">
        <v>7.5700000000000003E-2</v>
      </c>
      <c r="H1634" s="48">
        <v>7.5700000000000003E-2</v>
      </c>
      <c r="I1634" s="48">
        <v>0.1076737078841693</v>
      </c>
      <c r="K1634" s="62">
        <v>0</v>
      </c>
      <c r="M1634" s="64"/>
      <c r="N1634" s="64"/>
    </row>
    <row r="1635" spans="1:14" x14ac:dyDescent="0.25">
      <c r="A1635" s="45" t="s">
        <v>1687</v>
      </c>
      <c r="B1635" s="46">
        <v>108438</v>
      </c>
      <c r="C1635" s="60">
        <v>0.21</v>
      </c>
      <c r="D1635" s="47">
        <v>192140.68464052284</v>
      </c>
      <c r="E1635" s="47" t="s">
        <v>1839</v>
      </c>
      <c r="F1635" s="47" t="s">
        <v>1839</v>
      </c>
      <c r="G1635" s="48">
        <v>9.5899999999999999E-2</v>
      </c>
      <c r="H1635" s="48">
        <v>9.5899999999999999E-2</v>
      </c>
      <c r="I1635" s="48">
        <v>0.13087206073600219</v>
      </c>
      <c r="K1635" s="62">
        <v>0</v>
      </c>
      <c r="M1635" s="64"/>
      <c r="N1635" s="64"/>
    </row>
    <row r="1636" spans="1:14" x14ac:dyDescent="0.25">
      <c r="A1636" s="45" t="s">
        <v>1688</v>
      </c>
      <c r="B1636" s="46">
        <v>103016.09999999999</v>
      </c>
      <c r="C1636" s="60">
        <v>0.21</v>
      </c>
      <c r="D1636" s="47" t="s">
        <v>1839</v>
      </c>
      <c r="E1636" s="47" t="s">
        <v>1839</v>
      </c>
      <c r="F1636" s="47" t="s">
        <v>1839</v>
      </c>
      <c r="G1636" s="48">
        <v>0.15859999999999999</v>
      </c>
      <c r="H1636" s="48">
        <v>0.15859999999999999</v>
      </c>
      <c r="I1636" s="48">
        <v>0.20957133045552029</v>
      </c>
      <c r="K1636" s="62">
        <v>0</v>
      </c>
      <c r="M1636" s="64"/>
      <c r="N1636" s="64"/>
    </row>
    <row r="1637" spans="1:14" x14ac:dyDescent="0.25">
      <c r="A1637" s="45" t="s">
        <v>1689</v>
      </c>
      <c r="B1637" s="46">
        <v>137354.79999999999</v>
      </c>
      <c r="C1637" s="60">
        <v>0.21</v>
      </c>
      <c r="D1637" s="47" t="s">
        <v>1839</v>
      </c>
      <c r="E1637" s="47" t="s">
        <v>1839</v>
      </c>
      <c r="F1637" s="47" t="s">
        <v>1839</v>
      </c>
      <c r="G1637" s="48">
        <v>0.1366</v>
      </c>
      <c r="H1637" s="48">
        <v>0.1366</v>
      </c>
      <c r="I1637" s="48">
        <v>0.19463531452099869</v>
      </c>
      <c r="K1637" s="62">
        <v>0</v>
      </c>
      <c r="M1637" s="64"/>
      <c r="N1637" s="64"/>
    </row>
    <row r="1638" spans="1:14" x14ac:dyDescent="0.25">
      <c r="A1638" s="45" t="s">
        <v>1690</v>
      </c>
      <c r="B1638" s="46">
        <v>174285.1</v>
      </c>
      <c r="C1638" s="60">
        <v>0.21</v>
      </c>
      <c r="D1638" s="47" t="s">
        <v>1839</v>
      </c>
      <c r="E1638" s="47" t="s">
        <v>1839</v>
      </c>
      <c r="F1638" s="47" t="s">
        <v>1839</v>
      </c>
      <c r="G1638" s="48">
        <v>0.15720000000000001</v>
      </c>
      <c r="H1638" s="48">
        <v>0.15720000000000001</v>
      </c>
      <c r="I1638" s="48">
        <v>0.20642320338071959</v>
      </c>
      <c r="K1638" s="62">
        <v>0</v>
      </c>
      <c r="M1638" s="64"/>
      <c r="N1638" s="64"/>
    </row>
    <row r="1639" spans="1:14" x14ac:dyDescent="0.25">
      <c r="A1639" s="45" t="s">
        <v>1691</v>
      </c>
      <c r="B1639" s="46">
        <v>204736.4</v>
      </c>
      <c r="C1639" s="60">
        <v>0.21</v>
      </c>
      <c r="D1639" s="47" t="s">
        <v>1839</v>
      </c>
      <c r="E1639" s="47" t="s">
        <v>1839</v>
      </c>
      <c r="F1639" s="47" t="s">
        <v>1839</v>
      </c>
      <c r="G1639" s="48">
        <v>0.15759999999999999</v>
      </c>
      <c r="H1639" s="48">
        <v>0.15759999999999999</v>
      </c>
      <c r="I1639" s="48">
        <v>0.20756255034105031</v>
      </c>
      <c r="K1639" s="62">
        <v>0</v>
      </c>
      <c r="M1639" s="64"/>
      <c r="N1639" s="64"/>
    </row>
    <row r="1640" spans="1:14" x14ac:dyDescent="0.25">
      <c r="A1640" s="45" t="s">
        <v>1692</v>
      </c>
      <c r="B1640" s="46">
        <v>204736.4</v>
      </c>
      <c r="C1640" s="60">
        <v>0.21</v>
      </c>
      <c r="D1640" s="47" t="s">
        <v>1839</v>
      </c>
      <c r="E1640" s="47" t="s">
        <v>1839</v>
      </c>
      <c r="F1640" s="47" t="s">
        <v>1839</v>
      </c>
      <c r="G1640" s="48">
        <v>0.13780000000000001</v>
      </c>
      <c r="H1640" s="48">
        <v>0.13780000000000001</v>
      </c>
      <c r="I1640" s="48">
        <v>0.19484788448253501</v>
      </c>
      <c r="K1640" s="62">
        <v>0</v>
      </c>
      <c r="M1640" s="64"/>
      <c r="N1640" s="64"/>
    </row>
    <row r="1641" spans="1:14" x14ac:dyDescent="0.25">
      <c r="A1641" s="45" t="s">
        <v>1693</v>
      </c>
      <c r="B1641" s="46">
        <v>12617</v>
      </c>
      <c r="C1641" s="60">
        <v>0.21</v>
      </c>
      <c r="D1641" s="47">
        <v>22462.971321862075</v>
      </c>
      <c r="E1641" s="47" t="s">
        <v>1839</v>
      </c>
      <c r="F1641" s="47" t="s">
        <v>1839</v>
      </c>
      <c r="G1641" s="48">
        <v>0.1555</v>
      </c>
      <c r="H1641" s="48">
        <v>0.1555</v>
      </c>
      <c r="I1641" s="48">
        <v>0.21551653045902791</v>
      </c>
      <c r="K1641" s="62">
        <v>0</v>
      </c>
      <c r="M1641" s="64"/>
      <c r="N1641" s="64"/>
    </row>
    <row r="1642" spans="1:14" x14ac:dyDescent="0.25">
      <c r="A1642" s="45" t="s">
        <v>1694</v>
      </c>
      <c r="B1642" s="46">
        <v>12617</v>
      </c>
      <c r="C1642" s="60">
        <v>0.21</v>
      </c>
      <c r="D1642" s="47">
        <v>22315.673149259699</v>
      </c>
      <c r="E1642" s="47" t="s">
        <v>1839</v>
      </c>
      <c r="F1642" s="47" t="s">
        <v>1839</v>
      </c>
      <c r="G1642" s="48">
        <v>0.1555</v>
      </c>
      <c r="H1642" s="48">
        <v>0.1555</v>
      </c>
      <c r="I1642" s="48">
        <v>0.21551653045902791</v>
      </c>
      <c r="K1642" s="62">
        <v>0</v>
      </c>
      <c r="M1642" s="64"/>
      <c r="N1642" s="64"/>
    </row>
    <row r="1643" spans="1:14" x14ac:dyDescent="0.25">
      <c r="A1643" s="45" t="s">
        <v>1695</v>
      </c>
      <c r="B1643" s="46">
        <v>12617</v>
      </c>
      <c r="C1643" s="60">
        <v>0.21</v>
      </c>
      <c r="D1643" s="47">
        <v>22622.544342181314</v>
      </c>
      <c r="E1643" s="47" t="s">
        <v>1839</v>
      </c>
      <c r="F1643" s="47" t="s">
        <v>1839</v>
      </c>
      <c r="G1643" s="48">
        <v>5.0700000000000002E-2</v>
      </c>
      <c r="H1643" s="48">
        <v>5.0700000000000002E-2</v>
      </c>
      <c r="I1643" s="48">
        <v>7.4705417947327199E-2</v>
      </c>
      <c r="K1643" s="62">
        <v>0</v>
      </c>
      <c r="M1643" s="64"/>
      <c r="N1643" s="64"/>
    </row>
    <row r="1644" spans="1:14" x14ac:dyDescent="0.25">
      <c r="A1644" s="45" t="s">
        <v>1696</v>
      </c>
      <c r="B1644" s="46">
        <v>24114.799999999999</v>
      </c>
      <c r="C1644" s="60">
        <v>0.21</v>
      </c>
      <c r="D1644" s="47" t="s">
        <v>1839</v>
      </c>
      <c r="E1644" s="47" t="s">
        <v>1839</v>
      </c>
      <c r="F1644" s="47" t="s">
        <v>1839</v>
      </c>
      <c r="G1644" s="48">
        <v>0.16039999999999999</v>
      </c>
      <c r="H1644" s="48">
        <v>0.16039999999999999</v>
      </c>
      <c r="I1644" s="48">
        <v>0.21539211868358399</v>
      </c>
      <c r="K1644" s="62">
        <v>0</v>
      </c>
      <c r="M1644" s="64"/>
      <c r="N1644" s="64"/>
    </row>
    <row r="1645" spans="1:14" x14ac:dyDescent="0.25">
      <c r="A1645" s="45" t="s">
        <v>1697</v>
      </c>
      <c r="B1645" s="46">
        <v>23347.199999999997</v>
      </c>
      <c r="C1645" s="60">
        <v>0.21</v>
      </c>
      <c r="D1645" s="47" t="s">
        <v>1839</v>
      </c>
      <c r="E1645" s="47" t="s">
        <v>1839</v>
      </c>
      <c r="F1645" s="47" t="s">
        <v>1839</v>
      </c>
      <c r="G1645" s="48">
        <v>7.1499999999999994E-2</v>
      </c>
      <c r="H1645" s="48">
        <v>7.1499999999999994E-2</v>
      </c>
      <c r="I1645" s="48">
        <v>0.1024878974005783</v>
      </c>
      <c r="K1645" s="62">
        <v>0</v>
      </c>
      <c r="M1645" s="64"/>
      <c r="N1645" s="64"/>
    </row>
    <row r="1646" spans="1:14" x14ac:dyDescent="0.25">
      <c r="A1646" s="45" t="s">
        <v>1698</v>
      </c>
      <c r="B1646" s="46">
        <v>548669</v>
      </c>
      <c r="C1646" s="60">
        <v>0.21</v>
      </c>
      <c r="D1646" s="47">
        <v>936816.57661457092</v>
      </c>
      <c r="E1646" s="47" t="s">
        <v>1839</v>
      </c>
      <c r="F1646" s="47" t="s">
        <v>1839</v>
      </c>
      <c r="G1646" s="48">
        <v>7.1599999999999997E-2</v>
      </c>
      <c r="H1646" s="48">
        <v>7.1599999999999997E-2</v>
      </c>
      <c r="I1646" s="48">
        <v>0.1105669808645557</v>
      </c>
      <c r="K1646" s="62">
        <v>0</v>
      </c>
      <c r="M1646" s="64"/>
      <c r="N1646" s="64"/>
    </row>
    <row r="1647" spans="1:14" x14ac:dyDescent="0.25">
      <c r="A1647" s="45" t="s">
        <v>1699</v>
      </c>
      <c r="B1647" s="46">
        <v>245179</v>
      </c>
      <c r="C1647" s="60">
        <v>0.21</v>
      </c>
      <c r="D1647" s="47">
        <v>418771.46891078999</v>
      </c>
      <c r="E1647" s="47" t="s">
        <v>1839</v>
      </c>
      <c r="F1647" s="47" t="s">
        <v>1839</v>
      </c>
      <c r="G1647" s="48">
        <v>7.0599999999999996E-2</v>
      </c>
      <c r="H1647" s="48">
        <v>7.0599999999999996E-2</v>
      </c>
      <c r="I1647" s="48">
        <v>0.1096226930822559</v>
      </c>
      <c r="K1647" s="62">
        <v>0</v>
      </c>
      <c r="M1647" s="64"/>
      <c r="N1647" s="64"/>
    </row>
    <row r="1648" spans="1:14" x14ac:dyDescent="0.25">
      <c r="A1648" s="45" t="s">
        <v>1700</v>
      </c>
      <c r="B1648" s="46">
        <v>273482</v>
      </c>
      <c r="C1648" s="60">
        <v>0.21</v>
      </c>
      <c r="D1648" s="47">
        <v>466799.0851039663</v>
      </c>
      <c r="E1648" s="47" t="s">
        <v>1839</v>
      </c>
      <c r="F1648" s="47" t="s">
        <v>1839</v>
      </c>
      <c r="G1648" s="48">
        <v>8.0799999999999997E-2</v>
      </c>
      <c r="H1648" s="48">
        <v>8.0799999999999997E-2</v>
      </c>
      <c r="I1648" s="48">
        <v>0.1098381360690172</v>
      </c>
      <c r="K1648" s="62">
        <v>0</v>
      </c>
      <c r="M1648" s="64"/>
      <c r="N1648" s="64"/>
    </row>
    <row r="1649" spans="1:14" x14ac:dyDescent="0.25">
      <c r="A1649" s="45" t="s">
        <v>1701</v>
      </c>
      <c r="B1649" s="46">
        <v>3751</v>
      </c>
      <c r="C1649" s="60">
        <v>0.21</v>
      </c>
      <c r="D1649" s="47">
        <v>7592.0239999999985</v>
      </c>
      <c r="E1649" s="47" t="s">
        <v>1839</v>
      </c>
      <c r="F1649" s="47" t="s">
        <v>1839</v>
      </c>
      <c r="G1649" s="48">
        <v>0.14399999999999999</v>
      </c>
      <c r="H1649" s="48">
        <v>0.14399999999999999</v>
      </c>
      <c r="I1649" s="48">
        <v>0.2072038077424096</v>
      </c>
      <c r="K1649" s="62">
        <v>0</v>
      </c>
      <c r="M1649" s="64"/>
      <c r="N1649" s="64"/>
    </row>
    <row r="1650" spans="1:14" x14ac:dyDescent="0.25">
      <c r="A1650" s="45" t="s">
        <v>1702</v>
      </c>
      <c r="B1650" s="46">
        <v>2915.5499999999997</v>
      </c>
      <c r="C1650" s="60">
        <v>0.21</v>
      </c>
      <c r="D1650" s="47" t="s">
        <v>1839</v>
      </c>
      <c r="E1650" s="47" t="s">
        <v>1839</v>
      </c>
      <c r="F1650" s="47" t="s">
        <v>1839</v>
      </c>
      <c r="G1650" s="48">
        <v>3.8300000000000001E-2</v>
      </c>
      <c r="H1650" s="48">
        <v>3.8300000000000001E-2</v>
      </c>
      <c r="I1650" s="48">
        <v>5.6284339138622429E-2</v>
      </c>
      <c r="K1650" s="62">
        <v>0</v>
      </c>
      <c r="M1650" s="64"/>
      <c r="N1650" s="64"/>
    </row>
    <row r="1651" spans="1:14" x14ac:dyDescent="0.25">
      <c r="A1651" s="45" t="s">
        <v>1703</v>
      </c>
      <c r="B1651" s="46">
        <v>2915.5499999999997</v>
      </c>
      <c r="C1651" s="60">
        <v>0.21</v>
      </c>
      <c r="D1651" s="47" t="s">
        <v>1839</v>
      </c>
      <c r="E1651" s="47" t="s">
        <v>1839</v>
      </c>
      <c r="F1651" s="47" t="s">
        <v>1839</v>
      </c>
      <c r="G1651" s="48">
        <v>0.1263</v>
      </c>
      <c r="H1651" s="48">
        <v>0.1263</v>
      </c>
      <c r="I1651" s="48">
        <v>0.1743256916358947</v>
      </c>
      <c r="K1651" s="62">
        <v>0</v>
      </c>
      <c r="M1651" s="64"/>
      <c r="N1651" s="64"/>
    </row>
    <row r="1652" spans="1:14" x14ac:dyDescent="0.25">
      <c r="A1652" s="45" t="s">
        <v>3664</v>
      </c>
      <c r="B1652" s="46">
        <v>2046</v>
      </c>
      <c r="C1652" s="60">
        <v>0.21</v>
      </c>
      <c r="D1652" s="47">
        <v>4141.1039999999994</v>
      </c>
      <c r="E1652" s="47" t="s">
        <v>1839</v>
      </c>
      <c r="F1652" s="47" t="s">
        <v>1839</v>
      </c>
      <c r="G1652" s="48">
        <v>0.17</v>
      </c>
      <c r="H1652" s="48">
        <v>0.17</v>
      </c>
      <c r="I1652" s="48">
        <v>0.25700142509849938</v>
      </c>
      <c r="K1652" s="62">
        <v>0</v>
      </c>
      <c r="M1652" s="64"/>
      <c r="N1652" s="64"/>
    </row>
    <row r="1653" spans="1:14" x14ac:dyDescent="0.25">
      <c r="A1653" s="45" t="s">
        <v>1704</v>
      </c>
      <c r="B1653" s="46">
        <v>248930</v>
      </c>
      <c r="C1653" s="60">
        <v>0.21</v>
      </c>
      <c r="D1653" s="47">
        <v>425397.59974798607</v>
      </c>
      <c r="E1653" s="47" t="s">
        <v>1839</v>
      </c>
      <c r="F1653" s="47" t="s">
        <v>1839</v>
      </c>
      <c r="G1653" s="48">
        <v>7.0400000000000004E-2</v>
      </c>
      <c r="H1653" s="48">
        <v>7.0400000000000004E-2</v>
      </c>
      <c r="I1653" s="48">
        <v>0.10944213611913239</v>
      </c>
      <c r="K1653" s="62">
        <v>0</v>
      </c>
      <c r="M1653" s="64"/>
      <c r="N1653" s="64"/>
    </row>
    <row r="1654" spans="1:14" x14ac:dyDescent="0.25">
      <c r="A1654" s="45" t="s">
        <v>1705</v>
      </c>
      <c r="B1654" s="46">
        <v>37851</v>
      </c>
      <c r="C1654" s="60">
        <v>0.21</v>
      </c>
      <c r="D1654" s="47">
        <v>64663.937545136403</v>
      </c>
      <c r="E1654" s="47" t="s">
        <v>1839</v>
      </c>
      <c r="F1654" s="47" t="s">
        <v>1839</v>
      </c>
      <c r="G1654" s="48">
        <v>6.6799999999999998E-2</v>
      </c>
      <c r="H1654" s="48">
        <v>6.6799999999999998E-2</v>
      </c>
      <c r="I1654" s="48">
        <v>9.3786616051937471E-2</v>
      </c>
      <c r="K1654" s="62">
        <v>0</v>
      </c>
      <c r="M1654" s="64"/>
      <c r="N1654" s="64"/>
    </row>
    <row r="1655" spans="1:14" x14ac:dyDescent="0.25">
      <c r="A1655" s="45" t="s">
        <v>1706</v>
      </c>
      <c r="B1655" s="46">
        <v>20070</v>
      </c>
      <c r="C1655" s="60">
        <v>0.21</v>
      </c>
      <c r="D1655" s="47">
        <v>36427.050000000003</v>
      </c>
      <c r="E1655" s="47" t="s">
        <v>1839</v>
      </c>
      <c r="F1655" s="47" t="s">
        <v>1839</v>
      </c>
      <c r="G1655" s="48">
        <v>6.1499999999999999E-2</v>
      </c>
      <c r="H1655" s="48">
        <v>6.1499999999999999E-2</v>
      </c>
      <c r="I1655" s="48">
        <v>9.0461785988729518E-2</v>
      </c>
      <c r="K1655" s="62">
        <v>0</v>
      </c>
      <c r="M1655" s="64"/>
      <c r="N1655" s="64"/>
    </row>
    <row r="1656" spans="1:14" x14ac:dyDescent="0.25">
      <c r="A1656" s="45" t="s">
        <v>1707</v>
      </c>
      <c r="B1656" s="46">
        <v>24535</v>
      </c>
      <c r="C1656" s="60">
        <v>0.21</v>
      </c>
      <c r="D1656" s="47">
        <v>44531.024999999994</v>
      </c>
      <c r="E1656" s="47" t="s">
        <v>1839</v>
      </c>
      <c r="F1656" s="47" t="s">
        <v>1839</v>
      </c>
      <c r="G1656" s="48">
        <v>6.3399999999999998E-2</v>
      </c>
      <c r="H1656" s="48">
        <v>6.3399999999999998E-2</v>
      </c>
      <c r="I1656" s="48">
        <v>9.2373082631863307E-2</v>
      </c>
      <c r="K1656" s="62">
        <v>0</v>
      </c>
      <c r="M1656" s="64"/>
      <c r="N1656" s="64"/>
    </row>
    <row r="1657" spans="1:14" x14ac:dyDescent="0.25">
      <c r="A1657" s="45" t="s">
        <v>1708</v>
      </c>
      <c r="B1657" s="46">
        <v>38056.5</v>
      </c>
      <c r="C1657" s="60">
        <v>0.21</v>
      </c>
      <c r="D1657" s="47">
        <v>69072.547500000001</v>
      </c>
      <c r="E1657" s="47" t="s">
        <v>1839</v>
      </c>
      <c r="F1657" s="47" t="s">
        <v>1839</v>
      </c>
      <c r="G1657" s="48">
        <v>7.9399999999999998E-2</v>
      </c>
      <c r="H1657" s="48">
        <v>7.9399999999999998E-2</v>
      </c>
      <c r="I1657" s="48">
        <v>0.112380441930168</v>
      </c>
      <c r="K1657" s="62">
        <v>0</v>
      </c>
      <c r="M1657" s="64"/>
      <c r="N1657" s="64"/>
    </row>
    <row r="1658" spans="1:14" x14ac:dyDescent="0.25">
      <c r="A1658" s="45" t="s">
        <v>1709</v>
      </c>
      <c r="B1658" s="46">
        <v>22081.5</v>
      </c>
      <c r="C1658" s="60">
        <v>0.21</v>
      </c>
      <c r="D1658" s="47">
        <v>40077.922500000001</v>
      </c>
      <c r="E1658" s="47" t="s">
        <v>1839</v>
      </c>
      <c r="F1658" s="47" t="s">
        <v>1839</v>
      </c>
      <c r="G1658" s="48">
        <v>5.8400000000000001E-2</v>
      </c>
      <c r="H1658" s="48">
        <v>5.8400000000000001E-2</v>
      </c>
      <c r="I1658" s="48">
        <v>8.6367650795206738E-2</v>
      </c>
      <c r="K1658" s="62">
        <v>0</v>
      </c>
      <c r="M1658" s="64"/>
      <c r="N1658" s="64"/>
    </row>
    <row r="1659" spans="1:14" x14ac:dyDescent="0.25">
      <c r="A1659" s="45" t="s">
        <v>1710</v>
      </c>
      <c r="B1659" s="46">
        <v>104000</v>
      </c>
      <c r="C1659" s="60">
        <v>0.21</v>
      </c>
      <c r="D1659" s="47">
        <v>188760</v>
      </c>
      <c r="E1659" s="47" t="s">
        <v>1839</v>
      </c>
      <c r="F1659" s="47" t="s">
        <v>1839</v>
      </c>
      <c r="G1659" s="48">
        <v>9.9400000000000002E-2</v>
      </c>
      <c r="H1659" s="48">
        <v>9.9400000000000002E-2</v>
      </c>
      <c r="I1659" s="48">
        <v>0.13536198796359639</v>
      </c>
      <c r="K1659" s="62">
        <v>0</v>
      </c>
      <c r="M1659" s="64"/>
      <c r="N1659" s="64"/>
    </row>
    <row r="1660" spans="1:14" x14ac:dyDescent="0.25">
      <c r="A1660" s="45" t="s">
        <v>1711</v>
      </c>
      <c r="B1660" s="46">
        <v>48870</v>
      </c>
      <c r="C1660" s="60">
        <v>0.21</v>
      </c>
      <c r="D1660" s="47">
        <v>88699.049999999988</v>
      </c>
      <c r="E1660" s="47" t="s">
        <v>1839</v>
      </c>
      <c r="F1660" s="47" t="s">
        <v>1839</v>
      </c>
      <c r="G1660" s="48">
        <v>8.5800000000000001E-2</v>
      </c>
      <c r="H1660" s="48">
        <v>8.5800000000000001E-2</v>
      </c>
      <c r="I1660" s="48">
        <v>0.1198070312772853</v>
      </c>
      <c r="K1660" s="62">
        <v>0</v>
      </c>
      <c r="M1660" s="64"/>
      <c r="N1660" s="64"/>
    </row>
    <row r="1661" spans="1:14" x14ac:dyDescent="0.25">
      <c r="A1661" s="45" t="s">
        <v>1712</v>
      </c>
      <c r="B1661" s="46">
        <v>48205</v>
      </c>
      <c r="C1661" s="60">
        <v>0.21</v>
      </c>
      <c r="D1661" s="47">
        <v>87492.074999999997</v>
      </c>
      <c r="E1661" s="47" t="s">
        <v>1839</v>
      </c>
      <c r="F1661" s="47" t="s">
        <v>1839</v>
      </c>
      <c r="G1661" s="48">
        <v>8.8900000000000007E-2</v>
      </c>
      <c r="H1661" s="48">
        <v>8.8900000000000007E-2</v>
      </c>
      <c r="I1661" s="48">
        <v>0.12287215096535931</v>
      </c>
      <c r="K1661" s="62">
        <v>0</v>
      </c>
      <c r="M1661" s="64"/>
      <c r="N1661" s="64"/>
    </row>
    <row r="1662" spans="1:14" x14ac:dyDescent="0.25">
      <c r="A1662" s="45" t="s">
        <v>1713</v>
      </c>
      <c r="B1662" s="46">
        <v>63320</v>
      </c>
      <c r="C1662" s="60">
        <v>0.21</v>
      </c>
      <c r="D1662" s="47">
        <v>114925.79999999999</v>
      </c>
      <c r="E1662" s="47" t="s">
        <v>1839</v>
      </c>
      <c r="F1662" s="47" t="s">
        <v>1839</v>
      </c>
      <c r="G1662" s="48">
        <v>9.0999999999999998E-2</v>
      </c>
      <c r="H1662" s="48">
        <v>9.0999999999999998E-2</v>
      </c>
      <c r="I1662" s="48">
        <v>0.12596859687550729</v>
      </c>
      <c r="K1662" s="62">
        <v>0</v>
      </c>
      <c r="M1662" s="64"/>
      <c r="N1662" s="64"/>
    </row>
    <row r="1663" spans="1:14" x14ac:dyDescent="0.25">
      <c r="A1663" s="45" t="s">
        <v>1714</v>
      </c>
      <c r="B1663" s="46">
        <v>47345</v>
      </c>
      <c r="C1663" s="60">
        <v>0.21</v>
      </c>
      <c r="D1663" s="47">
        <v>85931.174999999988</v>
      </c>
      <c r="E1663" s="47" t="s">
        <v>1839</v>
      </c>
      <c r="F1663" s="47" t="s">
        <v>1839</v>
      </c>
      <c r="G1663" s="48">
        <v>8.5099999999999995E-2</v>
      </c>
      <c r="H1663" s="48">
        <v>8.5099999999999995E-2</v>
      </c>
      <c r="I1663" s="48">
        <v>0.11907872706616141</v>
      </c>
      <c r="K1663" s="62">
        <v>0</v>
      </c>
      <c r="M1663" s="64"/>
      <c r="N1663" s="64"/>
    </row>
    <row r="1664" spans="1:14" x14ac:dyDescent="0.25">
      <c r="A1664" s="45" t="s">
        <v>1715</v>
      </c>
      <c r="B1664" s="46">
        <v>63320</v>
      </c>
      <c r="C1664" s="60">
        <v>0.21</v>
      </c>
      <c r="D1664" s="47">
        <v>114925.79999999999</v>
      </c>
      <c r="E1664" s="47" t="s">
        <v>1839</v>
      </c>
      <c r="F1664" s="47" t="s">
        <v>1839</v>
      </c>
      <c r="G1664" s="48">
        <v>9.35E-2</v>
      </c>
      <c r="H1664" s="48">
        <v>9.35E-2</v>
      </c>
      <c r="I1664" s="48">
        <v>0.1285394718082451</v>
      </c>
      <c r="K1664" s="62">
        <v>0</v>
      </c>
      <c r="M1664" s="64"/>
      <c r="N1664" s="64"/>
    </row>
    <row r="1665" spans="1:14" x14ac:dyDescent="0.25">
      <c r="A1665" s="45" t="s">
        <v>63</v>
      </c>
      <c r="B1665" s="46">
        <v>51720</v>
      </c>
      <c r="C1665" s="60">
        <v>0.21</v>
      </c>
      <c r="D1665" s="47">
        <v>93871.799999999988</v>
      </c>
      <c r="E1665" s="47" t="s">
        <v>1839</v>
      </c>
      <c r="F1665" s="47" t="s">
        <v>1839</v>
      </c>
      <c r="G1665" s="48">
        <v>8.1900000000000001E-2</v>
      </c>
      <c r="H1665" s="48">
        <v>8.1900000000000001E-2</v>
      </c>
      <c r="I1665" s="48">
        <v>0.10884244357708921</v>
      </c>
      <c r="K1665" s="62">
        <v>0</v>
      </c>
      <c r="M1665" s="64"/>
      <c r="N1665" s="64"/>
    </row>
    <row r="1666" spans="1:14" x14ac:dyDescent="0.25">
      <c r="A1666" s="45" t="s">
        <v>1716</v>
      </c>
      <c r="B1666" s="46">
        <v>46548</v>
      </c>
      <c r="C1666" s="60">
        <v>0.21</v>
      </c>
      <c r="D1666" s="47">
        <v>84484.62</v>
      </c>
      <c r="E1666" s="47" t="s">
        <v>1839</v>
      </c>
      <c r="F1666" s="47" t="s">
        <v>1839</v>
      </c>
      <c r="G1666" s="48">
        <v>8.4699999999999998E-2</v>
      </c>
      <c r="H1666" s="48">
        <v>8.4699999999999998E-2</v>
      </c>
      <c r="I1666" s="48">
        <v>0.1186786285348285</v>
      </c>
      <c r="K1666" s="62">
        <v>0</v>
      </c>
      <c r="M1666" s="64"/>
      <c r="N1666" s="64"/>
    </row>
    <row r="1667" spans="1:14" x14ac:dyDescent="0.25">
      <c r="A1667" s="45" t="s">
        <v>1717</v>
      </c>
      <c r="B1667" s="46">
        <v>57085.2</v>
      </c>
      <c r="C1667" s="60">
        <v>0.21</v>
      </c>
      <c r="D1667" s="47">
        <v>103609.63799999998</v>
      </c>
      <c r="E1667" s="47" t="s">
        <v>1839</v>
      </c>
      <c r="F1667" s="47" t="s">
        <v>1839</v>
      </c>
      <c r="G1667" s="48">
        <v>8.9099999999999999E-2</v>
      </c>
      <c r="H1667" s="48">
        <v>8.9099999999999999E-2</v>
      </c>
      <c r="I1667" s="48">
        <v>0.1230620836067892</v>
      </c>
      <c r="K1667" s="62">
        <v>0</v>
      </c>
      <c r="M1667" s="64"/>
      <c r="N1667" s="64"/>
    </row>
    <row r="1668" spans="1:14" x14ac:dyDescent="0.25">
      <c r="A1668" s="45" t="s">
        <v>1718</v>
      </c>
      <c r="B1668" s="46">
        <v>138270</v>
      </c>
      <c r="C1668" s="60">
        <v>0.21</v>
      </c>
      <c r="D1668" s="47">
        <v>250960.05</v>
      </c>
      <c r="E1668" s="47" t="s">
        <v>1839</v>
      </c>
      <c r="F1668" s="47" t="s">
        <v>1839</v>
      </c>
      <c r="G1668" s="48">
        <v>9.8500000000000004E-2</v>
      </c>
      <c r="H1668" s="48">
        <v>9.8500000000000004E-2</v>
      </c>
      <c r="I1668" s="48">
        <v>0.13643096926697329</v>
      </c>
      <c r="K1668" s="62">
        <v>0</v>
      </c>
      <c r="M1668" s="64"/>
      <c r="N1668" s="64"/>
    </row>
    <row r="1669" spans="1:14" x14ac:dyDescent="0.25">
      <c r="A1669" s="45" t="s">
        <v>1719</v>
      </c>
      <c r="B1669" s="46">
        <v>52808</v>
      </c>
      <c r="C1669" s="60">
        <v>0.21</v>
      </c>
      <c r="D1669" s="47">
        <v>95846</v>
      </c>
      <c r="E1669" s="47" t="s">
        <v>1839</v>
      </c>
      <c r="F1669" s="47">
        <v>89456</v>
      </c>
      <c r="G1669" s="48">
        <v>8.7499999999999994E-2</v>
      </c>
      <c r="H1669" s="48">
        <v>8.7499999999999994E-2</v>
      </c>
      <c r="I1669" s="48">
        <v>0.1230324214385311</v>
      </c>
      <c r="K1669" s="62">
        <v>0</v>
      </c>
      <c r="M1669" s="64"/>
      <c r="N1669" s="64"/>
    </row>
    <row r="1670" spans="1:14" x14ac:dyDescent="0.25">
      <c r="A1670" s="45" t="s">
        <v>1720</v>
      </c>
      <c r="B1670" s="46">
        <v>29271.465</v>
      </c>
      <c r="C1670" s="60">
        <v>0.105</v>
      </c>
      <c r="D1670" s="47">
        <v>53906.84</v>
      </c>
      <c r="E1670" s="47" t="s">
        <v>1839</v>
      </c>
      <c r="F1670" s="47" t="s">
        <v>1839</v>
      </c>
      <c r="G1670" s="48">
        <v>0.17199999999999999</v>
      </c>
      <c r="H1670" s="48">
        <v>0.17199999999999999</v>
      </c>
      <c r="I1670" s="48">
        <v>0.2299936195808118</v>
      </c>
      <c r="K1670" s="62">
        <v>0</v>
      </c>
      <c r="M1670" s="64"/>
      <c r="N1670" s="64"/>
    </row>
    <row r="1671" spans="1:14" x14ac:dyDescent="0.25">
      <c r="A1671" s="45" t="s">
        <v>1721</v>
      </c>
      <c r="B1671" s="46">
        <v>4591.43</v>
      </c>
      <c r="C1671" s="60">
        <v>0.21</v>
      </c>
      <c r="D1671" s="47" t="s">
        <v>1839</v>
      </c>
      <c r="E1671" s="47" t="s">
        <v>1839</v>
      </c>
      <c r="F1671" s="47" t="s">
        <v>1839</v>
      </c>
      <c r="G1671" s="48">
        <v>3.5000000000000003E-2</v>
      </c>
      <c r="H1671" s="48">
        <v>3.5000000000000003E-2</v>
      </c>
      <c r="I1671" s="48">
        <v>5.0020110219777092E-2</v>
      </c>
      <c r="K1671" s="62">
        <v>0</v>
      </c>
      <c r="M1671" s="64"/>
      <c r="N1671" s="64"/>
    </row>
    <row r="1672" spans="1:14" x14ac:dyDescent="0.25">
      <c r="A1672" s="45" t="s">
        <v>1722</v>
      </c>
      <c r="B1672" s="46">
        <v>63834.765499999994</v>
      </c>
      <c r="C1672" s="60">
        <v>0.21</v>
      </c>
      <c r="D1672" s="47">
        <v>122339.30548499999</v>
      </c>
      <c r="E1672" s="47">
        <v>165824.84060999998</v>
      </c>
      <c r="F1672" s="47">
        <v>115961.427</v>
      </c>
      <c r="G1672" s="48">
        <v>0.13370000000000001</v>
      </c>
      <c r="H1672" s="48">
        <v>0.13370000000000001</v>
      </c>
      <c r="I1672" s="48">
        <v>0.1353493127883014</v>
      </c>
      <c r="K1672" s="62">
        <v>0</v>
      </c>
      <c r="M1672" s="64"/>
      <c r="N1672" s="64"/>
    </row>
    <row r="1673" spans="1:14" x14ac:dyDescent="0.25">
      <c r="A1673" s="45" t="s">
        <v>1723</v>
      </c>
      <c r="B1673" s="46">
        <v>108056.325</v>
      </c>
      <c r="C1673" s="60">
        <v>0.21</v>
      </c>
      <c r="D1673" s="47">
        <v>213442.92634999999</v>
      </c>
      <c r="E1673" s="47">
        <v>289311.26510000002</v>
      </c>
      <c r="F1673" s="47">
        <v>202315.57</v>
      </c>
      <c r="G1673" s="48">
        <v>0.15260000000000001</v>
      </c>
      <c r="H1673" s="48">
        <v>0.15260000000000001</v>
      </c>
      <c r="I1673" s="48">
        <v>0.15831189981671939</v>
      </c>
      <c r="K1673" s="62">
        <v>0</v>
      </c>
      <c r="M1673" s="64"/>
      <c r="N1673" s="64"/>
    </row>
    <row r="1674" spans="1:14" x14ac:dyDescent="0.25">
      <c r="A1674" s="45" t="s">
        <v>1724</v>
      </c>
      <c r="B1674" s="46">
        <v>103144.692</v>
      </c>
      <c r="C1674" s="60">
        <v>0.21</v>
      </c>
      <c r="D1674" s="47">
        <v>203741.00497999997</v>
      </c>
      <c r="E1674" s="47">
        <v>276160.79347999999</v>
      </c>
      <c r="F1674" s="47">
        <v>193119.43599999999</v>
      </c>
      <c r="G1674" s="48">
        <v>0.14779999999999999</v>
      </c>
      <c r="H1674" s="48">
        <v>0.14779999999999999</v>
      </c>
      <c r="I1674" s="48">
        <v>0.15781142084337771</v>
      </c>
      <c r="K1674" s="62">
        <v>0</v>
      </c>
      <c r="M1674" s="64"/>
      <c r="N1674" s="64"/>
    </row>
    <row r="1675" spans="1:14" x14ac:dyDescent="0.25">
      <c r="A1675" s="45" t="s">
        <v>1725</v>
      </c>
      <c r="B1675" s="46">
        <v>103144.692</v>
      </c>
      <c r="C1675" s="60">
        <v>0.21</v>
      </c>
      <c r="D1675" s="47">
        <v>203741.00497999997</v>
      </c>
      <c r="E1675" s="47">
        <v>276160.79347999999</v>
      </c>
      <c r="F1675" s="47">
        <v>193119.43599999999</v>
      </c>
      <c r="G1675" s="48">
        <v>0.14779999999999999</v>
      </c>
      <c r="H1675" s="48">
        <v>0.14779999999999999</v>
      </c>
      <c r="I1675" s="48">
        <v>0.15781142084337771</v>
      </c>
      <c r="K1675" s="62">
        <v>0</v>
      </c>
      <c r="M1675" s="64"/>
      <c r="N1675" s="64"/>
    </row>
    <row r="1676" spans="1:14" x14ac:dyDescent="0.25">
      <c r="A1676" s="45" t="s">
        <v>1726</v>
      </c>
      <c r="B1676" s="46">
        <v>111905.20249999998</v>
      </c>
      <c r="C1676" s="60">
        <v>0.21</v>
      </c>
      <c r="D1676" s="47">
        <v>221045.58551</v>
      </c>
      <c r="E1676" s="47">
        <v>299616.29126000003</v>
      </c>
      <c r="F1676" s="47">
        <v>209521.88200000001</v>
      </c>
      <c r="G1676" s="48">
        <v>0.15090000000000001</v>
      </c>
      <c r="H1676" s="48">
        <v>0.15090000000000001</v>
      </c>
      <c r="I1676" s="48">
        <v>0.16016810059438899</v>
      </c>
      <c r="K1676" s="62">
        <v>0</v>
      </c>
      <c r="M1676" s="64"/>
      <c r="N1676" s="64"/>
    </row>
    <row r="1677" spans="1:14" x14ac:dyDescent="0.25">
      <c r="A1677" s="45" t="s">
        <v>1727</v>
      </c>
      <c r="B1677" s="46">
        <v>42996.15</v>
      </c>
      <c r="C1677" s="60">
        <v>0.21</v>
      </c>
      <c r="D1677" s="47">
        <v>78289</v>
      </c>
      <c r="E1677" s="47">
        <v>113559</v>
      </c>
      <c r="F1677" s="47">
        <v>79407</v>
      </c>
      <c r="G1677" s="48">
        <v>0.1522</v>
      </c>
      <c r="H1677" s="48">
        <v>0.1522</v>
      </c>
      <c r="I1677" s="48">
        <v>0.17189372927411389</v>
      </c>
      <c r="K1677" s="62">
        <v>1</v>
      </c>
      <c r="M1677" s="64"/>
      <c r="N1677" s="64"/>
    </row>
    <row r="1678" spans="1:14" x14ac:dyDescent="0.25">
      <c r="A1678" s="45" t="s">
        <v>1728</v>
      </c>
      <c r="B1678" s="46">
        <v>108056.325</v>
      </c>
      <c r="C1678" s="60">
        <v>0.21</v>
      </c>
      <c r="D1678" s="47">
        <v>213442.92634999999</v>
      </c>
      <c r="E1678" s="47">
        <v>289311.26510000002</v>
      </c>
      <c r="F1678" s="47">
        <v>202315.57</v>
      </c>
      <c r="G1678" s="48">
        <v>0.15260000000000001</v>
      </c>
      <c r="H1678" s="48">
        <v>0.15260000000000001</v>
      </c>
      <c r="I1678" s="48">
        <v>0.16305954333597061</v>
      </c>
      <c r="K1678" s="62">
        <v>0</v>
      </c>
      <c r="M1678" s="64"/>
      <c r="N1678" s="64"/>
    </row>
    <row r="1679" spans="1:14" x14ac:dyDescent="0.25">
      <c r="A1679" s="45" t="s">
        <v>1729</v>
      </c>
      <c r="B1679" s="46">
        <v>200</v>
      </c>
      <c r="C1679" s="60">
        <v>0.21</v>
      </c>
      <c r="D1679" s="47" t="s">
        <v>1839</v>
      </c>
      <c r="E1679" s="47" t="s">
        <v>1839</v>
      </c>
      <c r="F1679" s="47" t="s">
        <v>1839</v>
      </c>
      <c r="G1679" s="48">
        <v>7.3999999999999996E-2</v>
      </c>
      <c r="H1679" s="48">
        <v>7.3999999999999996E-2</v>
      </c>
      <c r="I1679" s="48">
        <v>0.34403756125107021</v>
      </c>
      <c r="K1679" s="62">
        <v>0</v>
      </c>
      <c r="M1679" s="64"/>
      <c r="N1679" s="64"/>
    </row>
    <row r="1680" spans="1:14" x14ac:dyDescent="0.25">
      <c r="A1680" s="45" t="s">
        <v>1730</v>
      </c>
      <c r="B1680" s="46">
        <v>4645.87</v>
      </c>
      <c r="C1680" s="60">
        <v>0.21</v>
      </c>
      <c r="D1680" s="47">
        <v>8460</v>
      </c>
      <c r="E1680" s="47">
        <v>12270</v>
      </c>
      <c r="F1680" s="47">
        <v>8580</v>
      </c>
      <c r="G1680" s="48">
        <v>0.1193</v>
      </c>
      <c r="H1680" s="48">
        <v>0.1193</v>
      </c>
      <c r="I1680" s="48">
        <v>0.17192386111310709</v>
      </c>
      <c r="K1680" s="62">
        <v>1</v>
      </c>
      <c r="M1680" s="64"/>
      <c r="N1680" s="64"/>
    </row>
    <row r="1681" spans="1:14" x14ac:dyDescent="0.25">
      <c r="A1681" s="45" t="s">
        <v>1731</v>
      </c>
      <c r="B1681" s="46">
        <v>5735.16</v>
      </c>
      <c r="C1681" s="60">
        <v>0.21</v>
      </c>
      <c r="D1681" s="47">
        <v>10442</v>
      </c>
      <c r="E1681" s="47">
        <v>15148</v>
      </c>
      <c r="F1681" s="47">
        <v>10592</v>
      </c>
      <c r="G1681" s="48">
        <v>8.7800000000000003E-2</v>
      </c>
      <c r="H1681" s="48">
        <v>8.7800000000000003E-2</v>
      </c>
      <c r="I1681" s="48">
        <v>0.17186595993352141</v>
      </c>
      <c r="K1681" s="62">
        <v>1</v>
      </c>
      <c r="M1681" s="64"/>
      <c r="N1681" s="64"/>
    </row>
    <row r="1682" spans="1:14" x14ac:dyDescent="0.25">
      <c r="A1682" s="45" t="s">
        <v>1732</v>
      </c>
      <c r="B1682" s="46">
        <v>79031.009999999995</v>
      </c>
      <c r="C1682" s="60">
        <v>0.21</v>
      </c>
      <c r="D1682" s="47">
        <v>143903</v>
      </c>
      <c r="E1682" s="47">
        <v>208735</v>
      </c>
      <c r="F1682" s="47">
        <v>145958</v>
      </c>
      <c r="G1682" s="48">
        <v>0.1615</v>
      </c>
      <c r="H1682" s="48">
        <v>0.1615</v>
      </c>
      <c r="I1682" s="48">
        <v>0.17767125577136</v>
      </c>
      <c r="K1682" s="62">
        <v>1</v>
      </c>
      <c r="M1682" s="64"/>
      <c r="N1682" s="64"/>
    </row>
    <row r="1683" spans="1:14" x14ac:dyDescent="0.25">
      <c r="A1683" s="45" t="s">
        <v>1733</v>
      </c>
      <c r="B1683" s="46">
        <v>40035.83</v>
      </c>
      <c r="C1683" s="60">
        <v>0.21</v>
      </c>
      <c r="D1683" s="47">
        <v>72898</v>
      </c>
      <c r="E1683" s="47">
        <v>105742</v>
      </c>
      <c r="F1683" s="47">
        <v>73940</v>
      </c>
      <c r="G1683" s="48">
        <v>0.15240000000000001</v>
      </c>
      <c r="H1683" s="48">
        <v>0.15240000000000001</v>
      </c>
      <c r="I1683" s="48">
        <v>0.17189058786123321</v>
      </c>
      <c r="K1683" s="62">
        <v>1</v>
      </c>
      <c r="M1683" s="64"/>
      <c r="N1683" s="64"/>
    </row>
    <row r="1684" spans="1:14" x14ac:dyDescent="0.25">
      <c r="A1684" s="45" t="s">
        <v>1735</v>
      </c>
      <c r="B1684" s="46">
        <v>141371.856</v>
      </c>
      <c r="C1684" s="60">
        <v>0.21</v>
      </c>
      <c r="D1684" s="47" t="s">
        <v>1839</v>
      </c>
      <c r="E1684" s="47" t="s">
        <v>1839</v>
      </c>
      <c r="F1684" s="47" t="s">
        <v>1839</v>
      </c>
      <c r="G1684" s="48">
        <v>9.4500000000000001E-2</v>
      </c>
      <c r="H1684" s="48">
        <v>9.4500000000000001E-2</v>
      </c>
      <c r="I1684" s="48">
        <v>0.12860652271316489</v>
      </c>
      <c r="K1684" s="62">
        <v>0</v>
      </c>
      <c r="M1684" s="64"/>
      <c r="N1684" s="64"/>
    </row>
    <row r="1685" spans="1:14" x14ac:dyDescent="0.25">
      <c r="A1685" s="45" t="s">
        <v>1734</v>
      </c>
      <c r="B1685" s="46">
        <v>141371.856</v>
      </c>
      <c r="C1685" s="60">
        <v>0.21</v>
      </c>
      <c r="D1685" s="47" t="s">
        <v>1839</v>
      </c>
      <c r="E1685" s="47" t="s">
        <v>1839</v>
      </c>
      <c r="F1685" s="47" t="s">
        <v>1839</v>
      </c>
      <c r="G1685" s="48">
        <v>3.56E-2</v>
      </c>
      <c r="H1685" s="48">
        <v>3.56E-2</v>
      </c>
      <c r="I1685" s="48">
        <v>5.0664156134328509E-2</v>
      </c>
      <c r="K1685" s="62">
        <v>0</v>
      </c>
      <c r="M1685" s="64"/>
      <c r="N1685" s="64"/>
    </row>
    <row r="1686" spans="1:14" x14ac:dyDescent="0.25">
      <c r="A1686" s="45" t="s">
        <v>1736</v>
      </c>
      <c r="B1686" s="46">
        <v>90376.19</v>
      </c>
      <c r="C1686" s="60">
        <v>0.21</v>
      </c>
      <c r="D1686" s="47">
        <v>164560</v>
      </c>
      <c r="E1686" s="47">
        <v>238700</v>
      </c>
      <c r="F1686" s="47">
        <v>166911</v>
      </c>
      <c r="G1686" s="48">
        <v>0.16389999999999999</v>
      </c>
      <c r="H1686" s="48">
        <v>0.16389999999999999</v>
      </c>
      <c r="I1686" s="48">
        <v>0.18054012700115479</v>
      </c>
      <c r="K1686" s="62">
        <v>1</v>
      </c>
      <c r="M1686" s="64"/>
      <c r="N1686" s="64"/>
    </row>
    <row r="1687" spans="1:14" x14ac:dyDescent="0.25">
      <c r="A1687" s="45" t="s">
        <v>1737</v>
      </c>
      <c r="B1687" s="46">
        <v>1263.5</v>
      </c>
      <c r="C1687" s="60">
        <v>0</v>
      </c>
      <c r="D1687" s="47" t="s">
        <v>1839</v>
      </c>
      <c r="E1687" s="47" t="s">
        <v>1839</v>
      </c>
      <c r="F1687" s="47" t="s">
        <v>1839</v>
      </c>
      <c r="G1687" s="48">
        <v>4.5999999999999999E-2</v>
      </c>
      <c r="H1687" s="48">
        <v>4.5999999999999999E-2</v>
      </c>
      <c r="I1687" s="48">
        <v>7.1037167601176926E-2</v>
      </c>
      <c r="K1687" s="62">
        <v>0</v>
      </c>
      <c r="M1687" s="64"/>
      <c r="N1687" s="64"/>
    </row>
    <row r="1688" spans="1:14" x14ac:dyDescent="0.25">
      <c r="A1688" s="45" t="s">
        <v>1738</v>
      </c>
      <c r="B1688" s="46">
        <v>31906.842499999999</v>
      </c>
      <c r="C1688" s="60">
        <v>0.21</v>
      </c>
      <c r="D1688" s="47" t="s">
        <v>1839</v>
      </c>
      <c r="E1688" s="47" t="s">
        <v>1839</v>
      </c>
      <c r="F1688" s="47" t="s">
        <v>1839</v>
      </c>
      <c r="G1688" s="48">
        <v>3.5999999999999997E-2</v>
      </c>
      <c r="H1688" s="48">
        <v>3.5999999999999997E-2</v>
      </c>
      <c r="I1688" s="48">
        <v>5.2214178477684531E-2</v>
      </c>
      <c r="K1688" s="62">
        <v>0</v>
      </c>
      <c r="M1688" s="64"/>
      <c r="N1688" s="64"/>
    </row>
    <row r="1689" spans="1:14" x14ac:dyDescent="0.25">
      <c r="A1689" s="45" t="s">
        <v>1739</v>
      </c>
      <c r="B1689" s="46">
        <v>52296.996500000001</v>
      </c>
      <c r="C1689" s="60">
        <v>0.21</v>
      </c>
      <c r="D1689" s="47" t="s">
        <v>1839</v>
      </c>
      <c r="E1689" s="47" t="s">
        <v>1839</v>
      </c>
      <c r="F1689" s="47" t="s">
        <v>1839</v>
      </c>
      <c r="G1689" s="48">
        <v>6.2600000000000003E-2</v>
      </c>
      <c r="H1689" s="48">
        <v>6.2600000000000003E-2</v>
      </c>
      <c r="I1689" s="48">
        <v>8.7728115617304578E-2</v>
      </c>
      <c r="K1689" s="62">
        <v>0</v>
      </c>
      <c r="M1689" s="64"/>
      <c r="N1689" s="64"/>
    </row>
    <row r="1690" spans="1:14" x14ac:dyDescent="0.25">
      <c r="A1690" s="45" t="s">
        <v>1740</v>
      </c>
      <c r="B1690" s="46">
        <v>22950.204499999996</v>
      </c>
      <c r="C1690" s="60">
        <v>0.105</v>
      </c>
      <c r="D1690" s="47" t="s">
        <v>1839</v>
      </c>
      <c r="E1690" s="47" t="s">
        <v>1839</v>
      </c>
      <c r="F1690" s="47" t="s">
        <v>1839</v>
      </c>
      <c r="G1690" s="48">
        <v>0.1104</v>
      </c>
      <c r="H1690" s="48">
        <v>0.1104</v>
      </c>
      <c r="I1690" s="48">
        <v>0.15343821402504279</v>
      </c>
      <c r="K1690" s="62">
        <v>0</v>
      </c>
      <c r="M1690" s="64"/>
      <c r="N1690" s="64"/>
    </row>
    <row r="1691" spans="1:14" x14ac:dyDescent="0.25">
      <c r="A1691" s="45" t="s">
        <v>1741</v>
      </c>
      <c r="B1691" s="46">
        <v>56723.270000000004</v>
      </c>
      <c r="C1691" s="60">
        <v>0.21</v>
      </c>
      <c r="D1691" s="47" t="s">
        <v>1839</v>
      </c>
      <c r="E1691" s="47" t="s">
        <v>1839</v>
      </c>
      <c r="F1691" s="47" t="s">
        <v>1839</v>
      </c>
      <c r="G1691" s="48">
        <v>6.4799999999999996E-2</v>
      </c>
      <c r="H1691" s="48">
        <v>6.4799999999999996E-2</v>
      </c>
      <c r="I1691" s="48">
        <v>9.1654363149316159E-2</v>
      </c>
      <c r="K1691" s="62">
        <v>0</v>
      </c>
      <c r="M1691" s="64"/>
      <c r="N1691" s="64"/>
    </row>
    <row r="1692" spans="1:14" x14ac:dyDescent="0.25">
      <c r="A1692" s="45" t="s">
        <v>1742</v>
      </c>
      <c r="B1692" s="46">
        <v>27537.84</v>
      </c>
      <c r="C1692" s="60">
        <v>0.21</v>
      </c>
      <c r="D1692" s="47" t="s">
        <v>1839</v>
      </c>
      <c r="E1692" s="47" t="s">
        <v>1839</v>
      </c>
      <c r="F1692" s="47" t="s">
        <v>1839</v>
      </c>
      <c r="G1692" s="48">
        <v>0.13</v>
      </c>
      <c r="H1692" s="48">
        <v>0.13</v>
      </c>
      <c r="I1692" s="48">
        <v>0.17900025141572001</v>
      </c>
      <c r="K1692" s="62">
        <v>0</v>
      </c>
      <c r="M1692" s="64"/>
      <c r="N1692" s="64"/>
    </row>
    <row r="1693" spans="1:14" x14ac:dyDescent="0.25">
      <c r="A1693" s="45" t="s">
        <v>1743</v>
      </c>
      <c r="B1693" s="46">
        <v>60492.959999999999</v>
      </c>
      <c r="C1693" s="60">
        <v>0.21</v>
      </c>
      <c r="D1693" s="47" t="s">
        <v>1839</v>
      </c>
      <c r="E1693" s="47" t="s">
        <v>1839</v>
      </c>
      <c r="F1693" s="47" t="s">
        <v>1839</v>
      </c>
      <c r="G1693" s="48">
        <v>5.6599999999999998E-2</v>
      </c>
      <c r="H1693" s="48">
        <v>5.6599999999999998E-2</v>
      </c>
      <c r="I1693" s="48">
        <v>8.1144192852487099E-2</v>
      </c>
      <c r="K1693" s="62">
        <v>0</v>
      </c>
      <c r="M1693" s="64"/>
      <c r="N1693" s="64"/>
    </row>
    <row r="1694" spans="1:14" x14ac:dyDescent="0.25">
      <c r="A1694" s="45" t="s">
        <v>1744</v>
      </c>
      <c r="B1694" s="46">
        <v>30923.64</v>
      </c>
      <c r="C1694" s="60">
        <v>0.21</v>
      </c>
      <c r="D1694" s="47" t="s">
        <v>1839</v>
      </c>
      <c r="E1694" s="47" t="s">
        <v>1839</v>
      </c>
      <c r="F1694" s="47" t="s">
        <v>1839</v>
      </c>
      <c r="G1694" s="48">
        <v>9.8799999999999999E-2</v>
      </c>
      <c r="H1694" s="48">
        <v>9.8799999999999999E-2</v>
      </c>
      <c r="I1694" s="48">
        <v>0.13881910669125611</v>
      </c>
      <c r="K1694" s="62">
        <v>0</v>
      </c>
      <c r="M1694" s="64"/>
      <c r="N1694" s="64"/>
    </row>
    <row r="1695" spans="1:14" x14ac:dyDescent="0.25">
      <c r="A1695" s="45" t="s">
        <v>1745</v>
      </c>
      <c r="B1695" s="46">
        <v>49882.54</v>
      </c>
      <c r="C1695" s="60">
        <v>0.21</v>
      </c>
      <c r="D1695" s="47">
        <v>90828</v>
      </c>
      <c r="E1695" s="47">
        <v>131748</v>
      </c>
      <c r="F1695" s="47">
        <v>92125</v>
      </c>
      <c r="G1695" s="48">
        <v>0.1542</v>
      </c>
      <c r="H1695" s="48">
        <v>0.1542</v>
      </c>
      <c r="I1695" s="48">
        <v>0.17189435699920169</v>
      </c>
      <c r="K1695" s="62">
        <v>1</v>
      </c>
      <c r="M1695" s="64"/>
      <c r="N1695" s="64"/>
    </row>
    <row r="1696" spans="1:14" x14ac:dyDescent="0.25">
      <c r="A1696" s="45" t="s">
        <v>1746</v>
      </c>
      <c r="B1696" s="46">
        <v>21556.26</v>
      </c>
      <c r="C1696" s="60">
        <v>0.21</v>
      </c>
      <c r="D1696" s="47" t="s">
        <v>1839</v>
      </c>
      <c r="E1696" s="47" t="s">
        <v>1839</v>
      </c>
      <c r="F1696" s="47" t="s">
        <v>1839</v>
      </c>
      <c r="G1696" s="48">
        <v>7.3400000000000007E-2</v>
      </c>
      <c r="H1696" s="48">
        <v>7.3400000000000007E-2</v>
      </c>
      <c r="I1696" s="48">
        <v>0.10518173935820339</v>
      </c>
      <c r="K1696" s="62">
        <v>0</v>
      </c>
      <c r="M1696" s="64"/>
      <c r="N1696" s="64"/>
    </row>
    <row r="1697" spans="1:14" x14ac:dyDescent="0.25">
      <c r="A1697" s="45" t="s">
        <v>1747</v>
      </c>
      <c r="B1697" s="46">
        <v>20339.88</v>
      </c>
      <c r="C1697" s="60">
        <v>0.21</v>
      </c>
      <c r="D1697" s="47" t="s">
        <v>1839</v>
      </c>
      <c r="E1697" s="47" t="s">
        <v>1839</v>
      </c>
      <c r="F1697" s="47" t="s">
        <v>1839</v>
      </c>
      <c r="G1697" s="48">
        <v>5.0700000000000002E-2</v>
      </c>
      <c r="H1697" s="48">
        <v>5.0700000000000002E-2</v>
      </c>
      <c r="I1697" s="48">
        <v>7.7394929970933821E-2</v>
      </c>
      <c r="K1697" s="62">
        <v>0</v>
      </c>
      <c r="M1697" s="64"/>
      <c r="N1697" s="64"/>
    </row>
    <row r="1698" spans="1:14" x14ac:dyDescent="0.25">
      <c r="A1698" s="45" t="s">
        <v>1748</v>
      </c>
      <c r="B1698" s="46">
        <v>14220.36</v>
      </c>
      <c r="C1698" s="60">
        <v>0.21</v>
      </c>
      <c r="D1698" s="47" t="s">
        <v>1839</v>
      </c>
      <c r="E1698" s="47" t="s">
        <v>1839</v>
      </c>
      <c r="F1698" s="47" t="s">
        <v>1839</v>
      </c>
      <c r="G1698" s="48">
        <v>9.5100000000000004E-2</v>
      </c>
      <c r="H1698" s="48">
        <v>9.5100000000000004E-2</v>
      </c>
      <c r="I1698" s="48">
        <v>0.13823147390258189</v>
      </c>
      <c r="K1698" s="62">
        <v>0</v>
      </c>
      <c r="M1698" s="64"/>
      <c r="N1698" s="64"/>
    </row>
    <row r="1699" spans="1:14" x14ac:dyDescent="0.25">
      <c r="A1699" s="45" t="s">
        <v>1749</v>
      </c>
      <c r="B1699" s="46">
        <v>14220.36</v>
      </c>
      <c r="C1699" s="60">
        <v>0.21</v>
      </c>
      <c r="D1699" s="47" t="s">
        <v>1839</v>
      </c>
      <c r="E1699" s="47" t="s">
        <v>1839</v>
      </c>
      <c r="F1699" s="47" t="s">
        <v>1839</v>
      </c>
      <c r="G1699" s="48">
        <v>7.7299999999999994E-2</v>
      </c>
      <c r="H1699" s="48">
        <v>7.7299999999999994E-2</v>
      </c>
      <c r="I1699" s="48">
        <v>0.1134150620294065</v>
      </c>
      <c r="K1699" s="62">
        <v>0</v>
      </c>
      <c r="M1699" s="64"/>
      <c r="N1699" s="64"/>
    </row>
    <row r="1700" spans="1:14" x14ac:dyDescent="0.25">
      <c r="A1700" s="45" t="s">
        <v>1750</v>
      </c>
      <c r="B1700" s="46">
        <v>14220.36</v>
      </c>
      <c r="C1700" s="60">
        <v>0.21</v>
      </c>
      <c r="D1700" s="47" t="s">
        <v>1839</v>
      </c>
      <c r="E1700" s="47" t="s">
        <v>1839</v>
      </c>
      <c r="F1700" s="47" t="s">
        <v>1839</v>
      </c>
      <c r="G1700" s="48">
        <v>8.3199999999999996E-2</v>
      </c>
      <c r="H1700" s="48">
        <v>8.3199999999999996E-2</v>
      </c>
      <c r="I1700" s="48">
        <v>0.122323992250065</v>
      </c>
      <c r="K1700" s="62">
        <v>0</v>
      </c>
      <c r="M1700" s="64"/>
      <c r="N1700" s="64"/>
    </row>
    <row r="1701" spans="1:14" x14ac:dyDescent="0.25">
      <c r="A1701" s="45" t="s">
        <v>1751</v>
      </c>
      <c r="B1701" s="46">
        <v>14220.36</v>
      </c>
      <c r="C1701" s="60">
        <v>0.21</v>
      </c>
      <c r="D1701" s="47" t="s">
        <v>1839</v>
      </c>
      <c r="E1701" s="47" t="s">
        <v>1839</v>
      </c>
      <c r="F1701" s="47" t="s">
        <v>1839</v>
      </c>
      <c r="G1701" s="48">
        <v>9.5100000000000004E-2</v>
      </c>
      <c r="H1701" s="48">
        <v>9.5100000000000004E-2</v>
      </c>
      <c r="I1701" s="48">
        <v>0.13823147390258189</v>
      </c>
      <c r="K1701" s="62">
        <v>0</v>
      </c>
      <c r="M1701" s="64"/>
      <c r="N1701" s="64"/>
    </row>
    <row r="1702" spans="1:14" x14ac:dyDescent="0.25">
      <c r="A1702" s="45" t="s">
        <v>1752</v>
      </c>
      <c r="B1702" s="46">
        <v>14220.36</v>
      </c>
      <c r="C1702" s="60">
        <v>0.21</v>
      </c>
      <c r="D1702" s="47" t="s">
        <v>1839</v>
      </c>
      <c r="E1702" s="47" t="s">
        <v>1839</v>
      </c>
      <c r="F1702" s="47" t="s">
        <v>1839</v>
      </c>
      <c r="G1702" s="48">
        <v>8.0199999999999994E-2</v>
      </c>
      <c r="H1702" s="48">
        <v>8.0199999999999994E-2</v>
      </c>
      <c r="I1702" s="48">
        <v>0.1173547617589053</v>
      </c>
      <c r="K1702" s="62">
        <v>0</v>
      </c>
      <c r="M1702" s="64"/>
      <c r="N1702" s="64"/>
    </row>
    <row r="1703" spans="1:14" x14ac:dyDescent="0.25">
      <c r="A1703" s="45" t="s">
        <v>1753</v>
      </c>
      <c r="B1703" s="46">
        <v>14220.36</v>
      </c>
      <c r="C1703" s="60">
        <v>0.21</v>
      </c>
      <c r="D1703" s="47" t="s">
        <v>1839</v>
      </c>
      <c r="E1703" s="47" t="s">
        <v>1839</v>
      </c>
      <c r="F1703" s="47" t="s">
        <v>1839</v>
      </c>
      <c r="G1703" s="48">
        <v>6.2399999999999997E-2</v>
      </c>
      <c r="H1703" s="48">
        <v>6.2399999999999997E-2</v>
      </c>
      <c r="I1703" s="48">
        <v>9.3539315395864797E-2</v>
      </c>
      <c r="K1703" s="62">
        <v>0</v>
      </c>
      <c r="M1703" s="64"/>
      <c r="N1703" s="64"/>
    </row>
    <row r="1704" spans="1:14" x14ac:dyDescent="0.25">
      <c r="A1704" s="45" t="s">
        <v>1754</v>
      </c>
      <c r="B1704" s="46">
        <v>14220.36</v>
      </c>
      <c r="C1704" s="60">
        <v>0.21</v>
      </c>
      <c r="D1704" s="47" t="s">
        <v>1839</v>
      </c>
      <c r="E1704" s="47" t="s">
        <v>1839</v>
      </c>
      <c r="F1704" s="47" t="s">
        <v>1839</v>
      </c>
      <c r="G1704" s="48">
        <v>0.104</v>
      </c>
      <c r="H1704" s="48">
        <v>0.104</v>
      </c>
      <c r="I1704" s="48">
        <v>0.15013949802990231</v>
      </c>
      <c r="K1704" s="62">
        <v>0</v>
      </c>
      <c r="M1704" s="64"/>
      <c r="N1704" s="64"/>
    </row>
    <row r="1705" spans="1:14" x14ac:dyDescent="0.25">
      <c r="A1705" s="45" t="s">
        <v>1755</v>
      </c>
      <c r="B1705" s="46">
        <v>14220.36</v>
      </c>
      <c r="C1705" s="60">
        <v>0.21</v>
      </c>
      <c r="D1705" s="47" t="s">
        <v>1839</v>
      </c>
      <c r="E1705" s="47" t="s">
        <v>1839</v>
      </c>
      <c r="F1705" s="47" t="s">
        <v>1839</v>
      </c>
      <c r="G1705" s="48">
        <v>0.104</v>
      </c>
      <c r="H1705" s="48">
        <v>0.104</v>
      </c>
      <c r="I1705" s="48">
        <v>0.15013949802990231</v>
      </c>
      <c r="K1705" s="62">
        <v>0</v>
      </c>
      <c r="M1705" s="64"/>
      <c r="N1705" s="64"/>
    </row>
    <row r="1706" spans="1:14" x14ac:dyDescent="0.25">
      <c r="A1706" s="45" t="s">
        <v>1756</v>
      </c>
      <c r="B1706" s="46">
        <v>14220.36</v>
      </c>
      <c r="C1706" s="60">
        <v>0.21</v>
      </c>
      <c r="D1706" s="47" t="s">
        <v>1839</v>
      </c>
      <c r="E1706" s="47" t="s">
        <v>1839</v>
      </c>
      <c r="F1706" s="47" t="s">
        <v>1839</v>
      </c>
      <c r="G1706" s="48">
        <v>5.9400000000000001E-2</v>
      </c>
      <c r="H1706" s="48">
        <v>5.9400000000000001E-2</v>
      </c>
      <c r="I1706" s="48">
        <v>8.8539929952078766E-2</v>
      </c>
      <c r="K1706" s="62">
        <v>0</v>
      </c>
      <c r="M1706" s="64"/>
      <c r="N1706" s="64"/>
    </row>
    <row r="1707" spans="1:14" x14ac:dyDescent="0.25">
      <c r="A1707" s="45" t="s">
        <v>1757</v>
      </c>
      <c r="B1707" s="46">
        <v>14220.36</v>
      </c>
      <c r="C1707" s="60">
        <v>0.21</v>
      </c>
      <c r="D1707" s="47" t="s">
        <v>1839</v>
      </c>
      <c r="E1707" s="47" t="s">
        <v>1839</v>
      </c>
      <c r="F1707" s="47" t="s">
        <v>1839</v>
      </c>
      <c r="G1707" s="48">
        <v>8.0199999999999994E-2</v>
      </c>
      <c r="H1707" s="48">
        <v>8.0199999999999994E-2</v>
      </c>
      <c r="I1707" s="48">
        <v>0.11735421988804989</v>
      </c>
      <c r="K1707" s="62">
        <v>0</v>
      </c>
      <c r="M1707" s="64"/>
      <c r="N1707" s="64"/>
    </row>
    <row r="1708" spans="1:14" x14ac:dyDescent="0.25">
      <c r="A1708" s="45" t="s">
        <v>1758</v>
      </c>
      <c r="B1708" s="46">
        <v>14220.36</v>
      </c>
      <c r="C1708" s="60">
        <v>0.21</v>
      </c>
      <c r="D1708" s="47" t="s">
        <v>1839</v>
      </c>
      <c r="E1708" s="47" t="s">
        <v>1839</v>
      </c>
      <c r="F1708" s="47" t="s">
        <v>1839</v>
      </c>
      <c r="G1708" s="48">
        <v>9.5100000000000004E-2</v>
      </c>
      <c r="H1708" s="48">
        <v>9.5100000000000004E-2</v>
      </c>
      <c r="I1708" s="48">
        <v>0.13823147390258189</v>
      </c>
      <c r="K1708" s="62">
        <v>0</v>
      </c>
      <c r="M1708" s="64"/>
      <c r="N1708" s="64"/>
    </row>
    <row r="1709" spans="1:14" x14ac:dyDescent="0.25">
      <c r="A1709" s="45" t="s">
        <v>1759</v>
      </c>
      <c r="B1709" s="46">
        <v>14220.36</v>
      </c>
      <c r="C1709" s="60">
        <v>0.21</v>
      </c>
      <c r="D1709" s="47" t="s">
        <v>1839</v>
      </c>
      <c r="E1709" s="47" t="s">
        <v>1839</v>
      </c>
      <c r="F1709" s="47" t="s">
        <v>1839</v>
      </c>
      <c r="G1709" s="48">
        <v>0.1149</v>
      </c>
      <c r="H1709" s="48">
        <v>0.1149</v>
      </c>
      <c r="I1709" s="48">
        <v>0.16402492514582409</v>
      </c>
      <c r="K1709" s="62">
        <v>0</v>
      </c>
      <c r="M1709" s="64"/>
      <c r="N1709" s="64"/>
    </row>
    <row r="1710" spans="1:14" x14ac:dyDescent="0.25">
      <c r="A1710" s="45" t="s">
        <v>1760</v>
      </c>
      <c r="B1710" s="46">
        <v>6307</v>
      </c>
      <c r="C1710" s="60">
        <v>0.21</v>
      </c>
      <c r="D1710" s="47">
        <v>11067</v>
      </c>
      <c r="E1710" s="47" t="s">
        <v>1839</v>
      </c>
      <c r="F1710" s="47">
        <v>11067</v>
      </c>
      <c r="G1710" s="48">
        <v>3.6299999999999999E-2</v>
      </c>
      <c r="H1710" s="48">
        <v>3.6299999999999999E-2</v>
      </c>
      <c r="I1710" s="48">
        <v>0.14346368289367309</v>
      </c>
      <c r="K1710" s="62">
        <v>0</v>
      </c>
      <c r="M1710" s="64"/>
      <c r="N1710" s="64"/>
    </row>
    <row r="1711" spans="1:14" x14ac:dyDescent="0.25">
      <c r="A1711" s="45" t="s">
        <v>1761</v>
      </c>
      <c r="B1711" s="46">
        <v>6307</v>
      </c>
      <c r="C1711" s="60">
        <v>0.21</v>
      </c>
      <c r="D1711" s="47">
        <v>11067</v>
      </c>
      <c r="E1711" s="47" t="s">
        <v>1839</v>
      </c>
      <c r="F1711" s="47">
        <v>11067</v>
      </c>
      <c r="G1711" s="48">
        <v>3.5299999999999998E-2</v>
      </c>
      <c r="H1711" s="48">
        <v>3.5299999999999998E-2</v>
      </c>
      <c r="I1711" s="48">
        <v>0.14346368289367309</v>
      </c>
      <c r="K1711" s="62">
        <v>0</v>
      </c>
      <c r="M1711" s="64"/>
      <c r="N1711" s="64"/>
    </row>
    <row r="1712" spans="1:14" x14ac:dyDescent="0.25">
      <c r="A1712" s="45" t="s">
        <v>1762</v>
      </c>
      <c r="B1712" s="46">
        <v>6307</v>
      </c>
      <c r="C1712" s="60">
        <v>0.21</v>
      </c>
      <c r="D1712" s="47">
        <v>11067</v>
      </c>
      <c r="E1712" s="47" t="s">
        <v>1839</v>
      </c>
      <c r="F1712" s="47">
        <v>11067</v>
      </c>
      <c r="G1712" s="48">
        <v>3.5299999999999998E-2</v>
      </c>
      <c r="H1712" s="48">
        <v>3.5299999999999998E-2</v>
      </c>
      <c r="I1712" s="48">
        <v>0.14346368289367309</v>
      </c>
      <c r="K1712" s="62">
        <v>0</v>
      </c>
      <c r="M1712" s="64"/>
      <c r="N1712" s="64"/>
    </row>
    <row r="1713" spans="1:14" x14ac:dyDescent="0.25">
      <c r="A1713" s="45" t="s">
        <v>1763</v>
      </c>
      <c r="B1713" s="46">
        <v>5980</v>
      </c>
      <c r="C1713" s="60">
        <v>0.21</v>
      </c>
      <c r="D1713" s="47">
        <v>10493</v>
      </c>
      <c r="E1713" s="47" t="s">
        <v>1839</v>
      </c>
      <c r="F1713" s="47">
        <v>10493</v>
      </c>
      <c r="G1713" s="48">
        <v>3.8300000000000001E-2</v>
      </c>
      <c r="H1713" s="48">
        <v>3.8300000000000001E-2</v>
      </c>
      <c r="I1713" s="48">
        <v>0.14345241065790709</v>
      </c>
      <c r="K1713" s="62">
        <v>0</v>
      </c>
      <c r="M1713" s="64"/>
      <c r="N1713" s="64"/>
    </row>
    <row r="1714" spans="1:14" x14ac:dyDescent="0.25">
      <c r="A1714" s="45" t="s">
        <v>1764</v>
      </c>
      <c r="B1714" s="46">
        <v>6048</v>
      </c>
      <c r="C1714" s="60">
        <v>0.21</v>
      </c>
      <c r="D1714" s="47">
        <v>10612</v>
      </c>
      <c r="E1714" s="47" t="s">
        <v>1839</v>
      </c>
      <c r="F1714" s="47">
        <v>10612</v>
      </c>
      <c r="G1714" s="48">
        <v>3.6299999999999999E-2</v>
      </c>
      <c r="H1714" s="48">
        <v>3.6299999999999999E-2</v>
      </c>
      <c r="I1714" s="48">
        <v>0.143435311684776</v>
      </c>
      <c r="K1714" s="62">
        <v>0</v>
      </c>
      <c r="M1714" s="64"/>
      <c r="N1714" s="64"/>
    </row>
    <row r="1715" spans="1:14" x14ac:dyDescent="0.25">
      <c r="A1715" s="45" t="s">
        <v>1765</v>
      </c>
      <c r="B1715" s="46">
        <v>8576.02</v>
      </c>
      <c r="C1715" s="60">
        <v>0.21</v>
      </c>
      <c r="D1715" s="47" t="s">
        <v>1839</v>
      </c>
      <c r="E1715" s="47" t="s">
        <v>1839</v>
      </c>
      <c r="F1715" s="47" t="s">
        <v>1839</v>
      </c>
      <c r="G1715" s="48">
        <v>8.4099999999999994E-2</v>
      </c>
      <c r="H1715" s="48">
        <v>8.4099999999999994E-2</v>
      </c>
      <c r="I1715" s="48">
        <v>0.1271245943509951</v>
      </c>
      <c r="K1715" s="62">
        <v>0</v>
      </c>
      <c r="M1715" s="64"/>
      <c r="N1715" s="64"/>
    </row>
    <row r="1716" spans="1:14" x14ac:dyDescent="0.25">
      <c r="A1716" s="45" t="s">
        <v>1766</v>
      </c>
      <c r="B1716" s="46">
        <v>8576.02</v>
      </c>
      <c r="C1716" s="60">
        <v>0.21</v>
      </c>
      <c r="D1716" s="47" t="s">
        <v>1839</v>
      </c>
      <c r="E1716" s="47" t="s">
        <v>1839</v>
      </c>
      <c r="F1716" s="47" t="s">
        <v>1839</v>
      </c>
      <c r="G1716" s="48">
        <v>0.1129</v>
      </c>
      <c r="H1716" s="48">
        <v>0.1129</v>
      </c>
      <c r="I1716" s="48">
        <v>0.16693494926038141</v>
      </c>
      <c r="K1716" s="62">
        <v>0</v>
      </c>
      <c r="M1716" s="64"/>
      <c r="N1716" s="64"/>
    </row>
    <row r="1717" spans="1:14" x14ac:dyDescent="0.25">
      <c r="A1717" s="45" t="s">
        <v>1767</v>
      </c>
      <c r="B1717" s="46">
        <v>8576.02</v>
      </c>
      <c r="C1717" s="60">
        <v>0.21</v>
      </c>
      <c r="D1717" s="47" t="s">
        <v>1839</v>
      </c>
      <c r="E1717" s="47" t="s">
        <v>1839</v>
      </c>
      <c r="F1717" s="47" t="s">
        <v>1839</v>
      </c>
      <c r="G1717" s="48">
        <v>0.1023</v>
      </c>
      <c r="H1717" s="48">
        <v>0.1023</v>
      </c>
      <c r="I1717" s="48">
        <v>0.15300210418043811</v>
      </c>
      <c r="K1717" s="62">
        <v>0</v>
      </c>
      <c r="M1717" s="64"/>
      <c r="N1717" s="64"/>
    </row>
    <row r="1718" spans="1:14" x14ac:dyDescent="0.25">
      <c r="A1718" s="45" t="s">
        <v>1768</v>
      </c>
      <c r="B1718" s="46">
        <v>16251.84</v>
      </c>
      <c r="C1718" s="60">
        <v>0.21</v>
      </c>
      <c r="D1718" s="47" t="s">
        <v>1839</v>
      </c>
      <c r="E1718" s="47" t="s">
        <v>1839</v>
      </c>
      <c r="F1718" s="47" t="s">
        <v>1839</v>
      </c>
      <c r="G1718" s="48">
        <v>9.35E-2</v>
      </c>
      <c r="H1718" s="48">
        <v>9.35E-2</v>
      </c>
      <c r="I1718" s="48">
        <v>0.13451795050459031</v>
      </c>
      <c r="K1718" s="62">
        <v>0</v>
      </c>
      <c r="M1718" s="64"/>
      <c r="N1718" s="64"/>
    </row>
    <row r="1719" spans="1:14" x14ac:dyDescent="0.25">
      <c r="A1719" s="45" t="s">
        <v>1769</v>
      </c>
      <c r="B1719" s="46">
        <v>17944.740000000002</v>
      </c>
      <c r="C1719" s="60">
        <v>0.21</v>
      </c>
      <c r="D1719" s="47" t="s">
        <v>1839</v>
      </c>
      <c r="E1719" s="47" t="s">
        <v>1839</v>
      </c>
      <c r="F1719" s="47" t="s">
        <v>1839</v>
      </c>
      <c r="G1719" s="48">
        <v>7.8299999999999995E-2</v>
      </c>
      <c r="H1719" s="48">
        <v>7.8299999999999995E-2</v>
      </c>
      <c r="I1719" s="48">
        <v>0.1131636226718538</v>
      </c>
      <c r="K1719" s="62">
        <v>0</v>
      </c>
      <c r="M1719" s="64"/>
      <c r="N1719" s="64"/>
    </row>
    <row r="1720" spans="1:14" x14ac:dyDescent="0.25">
      <c r="A1720" s="45" t="s">
        <v>1770</v>
      </c>
      <c r="B1720" s="46">
        <v>3188</v>
      </c>
      <c r="C1720" s="60">
        <v>0.21</v>
      </c>
      <c r="D1720" s="47">
        <v>5784</v>
      </c>
      <c r="E1720" s="47" t="s">
        <v>1839</v>
      </c>
      <c r="F1720" s="47">
        <v>5784</v>
      </c>
      <c r="G1720" s="48">
        <v>7.2499999999999995E-2</v>
      </c>
      <c r="H1720" s="48">
        <v>7.2499999999999995E-2</v>
      </c>
      <c r="I1720" s="48">
        <v>0.16218049902716711</v>
      </c>
      <c r="K1720" s="62">
        <v>0</v>
      </c>
      <c r="M1720" s="64"/>
      <c r="N1720" s="64"/>
    </row>
    <row r="1721" spans="1:14" x14ac:dyDescent="0.25">
      <c r="A1721" s="45" t="s">
        <v>1771</v>
      </c>
      <c r="B1721" s="46">
        <v>3166</v>
      </c>
      <c r="C1721" s="60">
        <v>0.21</v>
      </c>
      <c r="D1721" s="47">
        <v>5746</v>
      </c>
      <c r="E1721" s="47" t="s">
        <v>1839</v>
      </c>
      <c r="F1721" s="47">
        <v>5746</v>
      </c>
      <c r="G1721" s="48">
        <v>7.7299999999999994E-2</v>
      </c>
      <c r="H1721" s="48">
        <v>7.7299999999999994E-2</v>
      </c>
      <c r="I1721" s="48">
        <v>0.16236416158104419</v>
      </c>
      <c r="K1721" s="62">
        <v>0</v>
      </c>
      <c r="M1721" s="64"/>
      <c r="N1721" s="64"/>
    </row>
    <row r="1722" spans="1:14" x14ac:dyDescent="0.25">
      <c r="A1722" s="45" t="s">
        <v>1772</v>
      </c>
      <c r="B1722" s="46">
        <v>3990</v>
      </c>
      <c r="C1722" s="60">
        <v>0.21</v>
      </c>
      <c r="D1722" s="47" t="s">
        <v>1839</v>
      </c>
      <c r="E1722" s="47" t="s">
        <v>1839</v>
      </c>
      <c r="F1722" s="47" t="s">
        <v>1839</v>
      </c>
      <c r="G1722" s="48">
        <v>7.4300000000000005E-2</v>
      </c>
      <c r="H1722" s="48">
        <v>7.4300000000000005E-2</v>
      </c>
      <c r="I1722" s="48">
        <v>0.1032853141713959</v>
      </c>
      <c r="K1722" s="62">
        <v>0</v>
      </c>
      <c r="M1722" s="64"/>
      <c r="N1722" s="64"/>
    </row>
    <row r="1723" spans="1:14" x14ac:dyDescent="0.25">
      <c r="A1723" s="45" t="s">
        <v>1773</v>
      </c>
      <c r="B1723" s="46">
        <v>2122.3692307692309</v>
      </c>
      <c r="C1723" s="60">
        <v>0.21</v>
      </c>
      <c r="D1723" s="47">
        <v>2999</v>
      </c>
      <c r="E1723" s="47" t="s">
        <v>1839</v>
      </c>
      <c r="F1723" s="47" t="s">
        <v>1839</v>
      </c>
      <c r="G1723" s="48">
        <v>0.10929999999999999</v>
      </c>
      <c r="H1723" s="48">
        <v>0.10929999999999999</v>
      </c>
      <c r="I1723" s="48">
        <v>0.15528136238077869</v>
      </c>
      <c r="K1723" s="62">
        <v>0</v>
      </c>
      <c r="M1723" s="64"/>
      <c r="N1723" s="64"/>
    </row>
    <row r="1724" spans="1:14" x14ac:dyDescent="0.25">
      <c r="A1724" s="45" t="s">
        <v>1774</v>
      </c>
      <c r="B1724" s="46">
        <v>2617.7538461538461</v>
      </c>
      <c r="C1724" s="60">
        <v>0.21</v>
      </c>
      <c r="D1724" s="47">
        <v>3699</v>
      </c>
      <c r="E1724" s="47" t="s">
        <v>1839</v>
      </c>
      <c r="F1724" s="47" t="s">
        <v>1839</v>
      </c>
      <c r="G1724" s="48">
        <v>0.104</v>
      </c>
      <c r="H1724" s="48">
        <v>0.104</v>
      </c>
      <c r="I1724" s="48">
        <v>0.1470267975271739</v>
      </c>
      <c r="K1724" s="62">
        <v>0</v>
      </c>
      <c r="M1724" s="64"/>
      <c r="N1724" s="64"/>
    </row>
    <row r="1725" spans="1:14" x14ac:dyDescent="0.25">
      <c r="A1725" s="45" t="s">
        <v>1775</v>
      </c>
      <c r="B1725" s="46">
        <v>3245.3</v>
      </c>
      <c r="C1725" s="60">
        <v>0.21</v>
      </c>
      <c r="D1725" s="47">
        <v>5909</v>
      </c>
      <c r="E1725" s="47">
        <v>8572</v>
      </c>
      <c r="F1725" s="47">
        <v>5994</v>
      </c>
      <c r="G1725" s="48">
        <v>0.1452</v>
      </c>
      <c r="H1725" s="48">
        <v>0.1452</v>
      </c>
      <c r="I1725" s="48">
        <v>0.17191514677243599</v>
      </c>
      <c r="K1725" s="62">
        <v>1</v>
      </c>
      <c r="M1725" s="64"/>
      <c r="N1725" s="64"/>
    </row>
    <row r="1726" spans="1:14" x14ac:dyDescent="0.25">
      <c r="A1726" s="45" t="s">
        <v>1776</v>
      </c>
      <c r="B1726" s="46">
        <v>3245.3</v>
      </c>
      <c r="C1726" s="60">
        <v>0.21</v>
      </c>
      <c r="D1726" s="47">
        <v>5909</v>
      </c>
      <c r="E1726" s="47">
        <v>8572</v>
      </c>
      <c r="F1726" s="47">
        <v>5994</v>
      </c>
      <c r="G1726" s="48">
        <v>0.1452</v>
      </c>
      <c r="H1726" s="48">
        <v>0.1452</v>
      </c>
      <c r="I1726" s="48">
        <v>0.17191514677243599</v>
      </c>
      <c r="K1726" s="62">
        <v>1</v>
      </c>
      <c r="M1726" s="64"/>
      <c r="N1726" s="64"/>
    </row>
    <row r="1727" spans="1:14" x14ac:dyDescent="0.25">
      <c r="A1727" s="45" t="s">
        <v>1777</v>
      </c>
      <c r="B1727" s="46">
        <v>3245.3</v>
      </c>
      <c r="C1727" s="60">
        <v>0.21</v>
      </c>
      <c r="D1727" s="47">
        <v>5909</v>
      </c>
      <c r="E1727" s="47">
        <v>8572</v>
      </c>
      <c r="F1727" s="47">
        <v>5994</v>
      </c>
      <c r="G1727" s="48">
        <v>0.1452</v>
      </c>
      <c r="H1727" s="48">
        <v>0.1452</v>
      </c>
      <c r="I1727" s="48">
        <v>0.17191514677243599</v>
      </c>
      <c r="K1727" s="62">
        <v>1</v>
      </c>
      <c r="M1727" s="64"/>
      <c r="N1727" s="64"/>
    </row>
    <row r="1728" spans="1:14" x14ac:dyDescent="0.25">
      <c r="A1728" s="45" t="s">
        <v>1778</v>
      </c>
      <c r="B1728" s="46">
        <v>6000</v>
      </c>
      <c r="C1728" s="60">
        <v>0.21</v>
      </c>
      <c r="D1728" s="47" t="s">
        <v>1839</v>
      </c>
      <c r="E1728" s="47" t="s">
        <v>1839</v>
      </c>
      <c r="F1728" s="47" t="s">
        <v>1839</v>
      </c>
      <c r="G1728" s="48">
        <v>4.82E-2</v>
      </c>
      <c r="H1728" s="48">
        <v>4.82E-2</v>
      </c>
      <c r="I1728" s="48">
        <v>0.10203954801118049</v>
      </c>
      <c r="K1728" s="62">
        <v>0</v>
      </c>
      <c r="M1728" s="64"/>
      <c r="N1728" s="64"/>
    </row>
    <row r="1729" spans="1:14" x14ac:dyDescent="0.25">
      <c r="A1729" s="45" t="s">
        <v>1779</v>
      </c>
      <c r="B1729" s="46">
        <v>6000</v>
      </c>
      <c r="C1729" s="60">
        <v>0.21</v>
      </c>
      <c r="D1729" s="47" t="s">
        <v>1839</v>
      </c>
      <c r="E1729" s="47" t="s">
        <v>1839</v>
      </c>
      <c r="F1729" s="47" t="s">
        <v>1839</v>
      </c>
      <c r="G1729" s="48">
        <v>4.82E-2</v>
      </c>
      <c r="H1729" s="48">
        <v>4.82E-2</v>
      </c>
      <c r="I1729" s="48">
        <v>0.10203954801118049</v>
      </c>
      <c r="K1729" s="62">
        <v>0</v>
      </c>
      <c r="M1729" s="64"/>
      <c r="N1729" s="64"/>
    </row>
    <row r="1730" spans="1:14" x14ac:dyDescent="0.25">
      <c r="A1730" s="45" t="s">
        <v>1780</v>
      </c>
      <c r="B1730" s="46">
        <v>6000</v>
      </c>
      <c r="C1730" s="60">
        <v>0.21</v>
      </c>
      <c r="D1730" s="47" t="s">
        <v>1839</v>
      </c>
      <c r="E1730" s="47" t="s">
        <v>1839</v>
      </c>
      <c r="F1730" s="47" t="s">
        <v>1839</v>
      </c>
      <c r="G1730" s="48">
        <v>4.82E-2</v>
      </c>
      <c r="H1730" s="48">
        <v>4.82E-2</v>
      </c>
      <c r="I1730" s="48">
        <v>0.10203954801118049</v>
      </c>
      <c r="K1730" s="62">
        <v>0</v>
      </c>
      <c r="M1730" s="64"/>
      <c r="N1730" s="64"/>
    </row>
    <row r="1731" spans="1:14" x14ac:dyDescent="0.25">
      <c r="A1731" s="45" t="s">
        <v>1781</v>
      </c>
      <c r="B1731" s="46">
        <v>3010</v>
      </c>
      <c r="C1731" s="60">
        <v>0.21</v>
      </c>
      <c r="D1731" s="47" t="s">
        <v>1839</v>
      </c>
      <c r="E1731" s="47" t="s">
        <v>1839</v>
      </c>
      <c r="F1731" s="47" t="s">
        <v>1839</v>
      </c>
      <c r="G1731" s="48">
        <v>4.2000000000000003E-2</v>
      </c>
      <c r="H1731" s="48">
        <v>4.2000000000000003E-2</v>
      </c>
      <c r="I1731" s="48">
        <v>6.102901358956879E-2</v>
      </c>
      <c r="K1731" s="62">
        <v>0</v>
      </c>
      <c r="M1731" s="64"/>
      <c r="N1731" s="64"/>
    </row>
    <row r="1732" spans="1:14" x14ac:dyDescent="0.25">
      <c r="A1732" s="45" t="s">
        <v>1782</v>
      </c>
      <c r="B1732" s="46">
        <v>3010</v>
      </c>
      <c r="C1732" s="60">
        <v>0.21</v>
      </c>
      <c r="D1732" s="47" t="s">
        <v>1839</v>
      </c>
      <c r="E1732" s="47" t="s">
        <v>1839</v>
      </c>
      <c r="F1732" s="47" t="s">
        <v>1839</v>
      </c>
      <c r="G1732" s="48">
        <v>4.2000000000000003E-2</v>
      </c>
      <c r="H1732" s="48">
        <v>4.2000000000000003E-2</v>
      </c>
      <c r="I1732" s="48">
        <v>6.102901358956879E-2</v>
      </c>
      <c r="K1732" s="62">
        <v>0</v>
      </c>
      <c r="M1732" s="64"/>
      <c r="N1732" s="64"/>
    </row>
    <row r="1733" spans="1:14" x14ac:dyDescent="0.25">
      <c r="A1733" s="45" t="s">
        <v>1783</v>
      </c>
      <c r="B1733" s="46">
        <v>3892</v>
      </c>
      <c r="C1733" s="60">
        <v>0.21</v>
      </c>
      <c r="D1733" s="47" t="s">
        <v>1839</v>
      </c>
      <c r="E1733" s="47" t="s">
        <v>1839</v>
      </c>
      <c r="F1733" s="47" t="s">
        <v>1839</v>
      </c>
      <c r="G1733" s="48">
        <v>7.8E-2</v>
      </c>
      <c r="H1733" s="48">
        <v>7.8E-2</v>
      </c>
      <c r="I1733" s="48">
        <v>0.1090253945619819</v>
      </c>
      <c r="K1733" s="62">
        <v>0</v>
      </c>
      <c r="M1733" s="64"/>
      <c r="N1733" s="64"/>
    </row>
    <row r="1734" spans="1:14" x14ac:dyDescent="0.25">
      <c r="A1734" s="45" t="s">
        <v>1784</v>
      </c>
      <c r="B1734" s="46">
        <v>3237.53</v>
      </c>
      <c r="C1734" s="60">
        <v>0.21</v>
      </c>
      <c r="D1734" s="47" t="s">
        <v>1839</v>
      </c>
      <c r="E1734" s="47" t="s">
        <v>1839</v>
      </c>
      <c r="F1734" s="47" t="s">
        <v>1839</v>
      </c>
      <c r="G1734" s="48">
        <v>0.06</v>
      </c>
      <c r="H1734" s="48">
        <v>0.06</v>
      </c>
      <c r="I1734" s="48">
        <v>8.6009913992729448E-2</v>
      </c>
      <c r="K1734" s="62">
        <v>0</v>
      </c>
      <c r="M1734" s="64"/>
      <c r="N1734" s="64"/>
    </row>
    <row r="1735" spans="1:14" x14ac:dyDescent="0.25">
      <c r="A1735" s="45" t="s">
        <v>1785</v>
      </c>
      <c r="B1735" s="46">
        <v>2268.85</v>
      </c>
      <c r="C1735" s="60">
        <v>0.21</v>
      </c>
      <c r="D1735" s="47">
        <v>4131</v>
      </c>
      <c r="E1735" s="47">
        <v>5993</v>
      </c>
      <c r="F1735" s="47">
        <v>4190</v>
      </c>
      <c r="G1735" s="48">
        <v>0.1341</v>
      </c>
      <c r="H1735" s="48">
        <v>0.1341</v>
      </c>
      <c r="I1735" s="48">
        <v>0.17182590690163241</v>
      </c>
      <c r="K1735" s="62">
        <v>1</v>
      </c>
      <c r="M1735" s="64"/>
      <c r="N1735" s="64"/>
    </row>
    <row r="1736" spans="1:14" x14ac:dyDescent="0.25">
      <c r="A1736" s="45" t="s">
        <v>1786</v>
      </c>
      <c r="B1736" s="46">
        <v>2563</v>
      </c>
      <c r="C1736" s="60">
        <v>0.21</v>
      </c>
      <c r="D1736" s="47">
        <v>4649</v>
      </c>
      <c r="E1736" s="47" t="s">
        <v>1839</v>
      </c>
      <c r="F1736" s="47">
        <v>4649</v>
      </c>
      <c r="G1736" s="48">
        <v>6.3600000000000004E-2</v>
      </c>
      <c r="H1736" s="48">
        <v>6.3600000000000004E-2</v>
      </c>
      <c r="I1736" s="48">
        <v>0.16205480088181731</v>
      </c>
      <c r="K1736" s="62">
        <v>0</v>
      </c>
      <c r="M1736" s="64"/>
      <c r="N1736" s="64"/>
    </row>
    <row r="1737" spans="1:14" x14ac:dyDescent="0.25">
      <c r="A1737" s="45" t="s">
        <v>1787</v>
      </c>
      <c r="B1737" s="46">
        <v>1610</v>
      </c>
      <c r="C1737" s="60">
        <v>0.21</v>
      </c>
      <c r="D1737" s="47" t="s">
        <v>1839</v>
      </c>
      <c r="E1737" s="47" t="s">
        <v>1839</v>
      </c>
      <c r="F1737" s="47" t="s">
        <v>1839</v>
      </c>
      <c r="G1737" s="48">
        <v>5.1999999999999998E-2</v>
      </c>
      <c r="H1737" s="48">
        <v>5.1999999999999998E-2</v>
      </c>
      <c r="I1737" s="48">
        <v>7.8029190793311484E-2</v>
      </c>
      <c r="K1737" s="62">
        <v>0</v>
      </c>
      <c r="M1737" s="64"/>
      <c r="N1737" s="64"/>
    </row>
    <row r="1738" spans="1:14" x14ac:dyDescent="0.25">
      <c r="A1738" s="45" t="s">
        <v>1788</v>
      </c>
      <c r="B1738" s="46">
        <v>1610</v>
      </c>
      <c r="C1738" s="60">
        <v>0.21</v>
      </c>
      <c r="D1738" s="47" t="s">
        <v>1839</v>
      </c>
      <c r="E1738" s="47" t="s">
        <v>1839</v>
      </c>
      <c r="F1738" s="47" t="s">
        <v>1839</v>
      </c>
      <c r="G1738" s="48">
        <v>5.8000000000000003E-2</v>
      </c>
      <c r="H1738" s="48">
        <v>5.8000000000000003E-2</v>
      </c>
      <c r="I1738" s="48">
        <v>8.7029595983374688E-2</v>
      </c>
      <c r="K1738" s="62">
        <v>0</v>
      </c>
      <c r="M1738" s="64"/>
      <c r="N1738" s="64"/>
    </row>
    <row r="1739" spans="1:14" x14ac:dyDescent="0.25">
      <c r="A1739" s="45" t="s">
        <v>1789</v>
      </c>
      <c r="B1739" s="46">
        <v>6560.4054999999989</v>
      </c>
      <c r="C1739" s="60">
        <v>0.21</v>
      </c>
      <c r="D1739" s="47">
        <v>13421.531704999999</v>
      </c>
      <c r="E1739" s="47">
        <v>18192.21833</v>
      </c>
      <c r="F1739" s="47">
        <v>12721.831</v>
      </c>
      <c r="G1739" s="48">
        <v>9.5799999999999996E-2</v>
      </c>
      <c r="H1739" s="48">
        <v>9.5799999999999996E-2</v>
      </c>
      <c r="I1739" s="48">
        <v>0.17189097512312551</v>
      </c>
      <c r="K1739" s="62">
        <v>0</v>
      </c>
      <c r="M1739" s="64"/>
      <c r="N1739" s="64"/>
    </row>
    <row r="1740" spans="1:14" x14ac:dyDescent="0.25">
      <c r="A1740" s="45" t="s">
        <v>1790</v>
      </c>
      <c r="B1740" s="46">
        <v>1912.04</v>
      </c>
      <c r="C1740" s="60">
        <v>0.21</v>
      </c>
      <c r="D1740" s="47">
        <v>3602</v>
      </c>
      <c r="E1740" s="47">
        <v>5225</v>
      </c>
      <c r="F1740" s="47">
        <v>3653</v>
      </c>
      <c r="G1740" s="48">
        <v>0.1414</v>
      </c>
      <c r="H1740" s="48">
        <v>0.1414</v>
      </c>
      <c r="I1740" s="48">
        <v>0.18993341548717141</v>
      </c>
      <c r="K1740" s="62">
        <v>1</v>
      </c>
      <c r="M1740" s="64"/>
      <c r="N1740" s="64"/>
    </row>
    <row r="1741" spans="1:14" x14ac:dyDescent="0.25">
      <c r="A1741" s="45" t="s">
        <v>1791</v>
      </c>
      <c r="B1741" s="46">
        <v>1894.9</v>
      </c>
      <c r="C1741" s="60">
        <v>0.21</v>
      </c>
      <c r="D1741" s="47">
        <v>3569</v>
      </c>
      <c r="E1741" s="47">
        <v>5177</v>
      </c>
      <c r="F1741" s="47">
        <v>3620</v>
      </c>
      <c r="G1741" s="48">
        <v>0.1368</v>
      </c>
      <c r="H1741" s="48">
        <v>0.1368</v>
      </c>
      <c r="I1741" s="48">
        <v>0.18989337284043159</v>
      </c>
      <c r="K1741" s="62">
        <v>1</v>
      </c>
      <c r="M1741" s="64"/>
      <c r="N1741" s="64"/>
    </row>
    <row r="1742" spans="1:14" x14ac:dyDescent="0.25">
      <c r="A1742" s="45" t="s">
        <v>1792</v>
      </c>
      <c r="B1742" s="46">
        <v>1612.53</v>
      </c>
      <c r="C1742" s="60">
        <v>0.21</v>
      </c>
      <c r="D1742" s="47" t="s">
        <v>1839</v>
      </c>
      <c r="E1742" s="47" t="s">
        <v>1839</v>
      </c>
      <c r="F1742" s="47" t="s">
        <v>1839</v>
      </c>
      <c r="G1742" s="48">
        <v>5.1999999999999998E-2</v>
      </c>
      <c r="H1742" s="48">
        <v>5.1999999999999998E-2</v>
      </c>
      <c r="I1742" s="48">
        <v>7.9023089671043031E-2</v>
      </c>
      <c r="K1742" s="62">
        <v>0</v>
      </c>
      <c r="M1742" s="64"/>
      <c r="N1742" s="64"/>
    </row>
    <row r="1743" spans="1:14" x14ac:dyDescent="0.25">
      <c r="A1743" s="45" t="s">
        <v>1793</v>
      </c>
      <c r="B1743" s="46">
        <v>1457.78</v>
      </c>
      <c r="C1743" s="60">
        <v>0.21</v>
      </c>
      <c r="D1743" s="47" t="s">
        <v>1839</v>
      </c>
      <c r="E1743" s="47" t="s">
        <v>1839</v>
      </c>
      <c r="F1743" s="47" t="s">
        <v>1839</v>
      </c>
      <c r="G1743" s="48">
        <v>5.1999999999999998E-2</v>
      </c>
      <c r="H1743" s="48">
        <v>5.1999999999999998E-2</v>
      </c>
      <c r="I1743" s="48">
        <v>7.9029994587871133E-2</v>
      </c>
      <c r="K1743" s="62">
        <v>0</v>
      </c>
      <c r="M1743" s="64"/>
      <c r="N1743" s="64"/>
    </row>
    <row r="1744" spans="1:14" x14ac:dyDescent="0.25">
      <c r="A1744" s="45" t="s">
        <v>1794</v>
      </c>
      <c r="B1744" s="46">
        <v>994.01</v>
      </c>
      <c r="C1744" s="60">
        <v>0.21</v>
      </c>
      <c r="D1744" s="47" t="s">
        <v>1839</v>
      </c>
      <c r="E1744" s="47" t="s">
        <v>1839</v>
      </c>
      <c r="F1744" s="47" t="s">
        <v>1839</v>
      </c>
      <c r="G1744" s="48">
        <v>8.5000000000000006E-2</v>
      </c>
      <c r="H1744" s="48">
        <v>8.5000000000000006E-2</v>
      </c>
      <c r="I1744" s="48">
        <v>0.1380236218982063</v>
      </c>
      <c r="K1744" s="62">
        <v>0</v>
      </c>
      <c r="M1744" s="64"/>
      <c r="N1744" s="64"/>
    </row>
    <row r="1745" spans="1:14" x14ac:dyDescent="0.25">
      <c r="A1745" s="45" t="s">
        <v>1795</v>
      </c>
      <c r="B1745" s="46">
        <v>875.75249999999994</v>
      </c>
      <c r="C1745" s="60">
        <v>0.21</v>
      </c>
      <c r="D1745" s="47" t="s">
        <v>1839</v>
      </c>
      <c r="E1745" s="47" t="s">
        <v>1839</v>
      </c>
      <c r="F1745" s="47" t="s">
        <v>1839</v>
      </c>
      <c r="G1745" s="48">
        <v>0.114</v>
      </c>
      <c r="H1745" s="48">
        <v>0.114</v>
      </c>
      <c r="I1745" s="48">
        <v>0.1740238440981586</v>
      </c>
      <c r="K1745" s="62">
        <v>0</v>
      </c>
      <c r="M1745" s="64"/>
      <c r="N1745" s="64"/>
    </row>
    <row r="1746" spans="1:14" x14ac:dyDescent="0.25">
      <c r="A1746" s="45" t="s">
        <v>1796</v>
      </c>
      <c r="B1746" s="46">
        <v>976.51049999999998</v>
      </c>
      <c r="C1746" s="60">
        <v>0.21</v>
      </c>
      <c r="D1746" s="47" t="s">
        <v>1839</v>
      </c>
      <c r="E1746" s="47" t="s">
        <v>1839</v>
      </c>
      <c r="F1746" s="47" t="s">
        <v>1839</v>
      </c>
      <c r="G1746" s="48">
        <v>0.114</v>
      </c>
      <c r="H1746" s="48">
        <v>0.114</v>
      </c>
      <c r="I1746" s="48">
        <v>0.17202478113294589</v>
      </c>
      <c r="K1746" s="62">
        <v>0</v>
      </c>
      <c r="M1746" s="64"/>
      <c r="N1746" s="64"/>
    </row>
    <row r="1747" spans="1:14" x14ac:dyDescent="0.25">
      <c r="A1747" s="45" t="s">
        <v>1797</v>
      </c>
      <c r="B1747" s="46">
        <v>848.63100000000009</v>
      </c>
      <c r="C1747" s="60">
        <v>0.21</v>
      </c>
      <c r="D1747" s="47" t="s">
        <v>1839</v>
      </c>
      <c r="E1747" s="47" t="s">
        <v>1839</v>
      </c>
      <c r="F1747" s="47" t="s">
        <v>1839</v>
      </c>
      <c r="G1747" s="48">
        <v>0.114</v>
      </c>
      <c r="H1747" s="48">
        <v>0.114</v>
      </c>
      <c r="I1747" s="48">
        <v>0.17601642233889739</v>
      </c>
      <c r="K1747" s="62">
        <v>0</v>
      </c>
      <c r="M1747" s="64"/>
      <c r="N1747" s="64"/>
    </row>
    <row r="1748" spans="1:14" x14ac:dyDescent="0.25">
      <c r="A1748" s="45" t="s">
        <v>1798</v>
      </c>
      <c r="B1748" s="46">
        <v>968.75100000000009</v>
      </c>
      <c r="C1748" s="60">
        <v>0.21</v>
      </c>
      <c r="D1748" s="47" t="s">
        <v>1839</v>
      </c>
      <c r="E1748" s="47" t="s">
        <v>1839</v>
      </c>
      <c r="F1748" s="47" t="s">
        <v>1839</v>
      </c>
      <c r="G1748" s="48">
        <v>0.35049999999999998</v>
      </c>
      <c r="H1748" s="48">
        <v>0.35049999999999998</v>
      </c>
      <c r="I1748" s="48">
        <v>0.4475189012503904</v>
      </c>
      <c r="K1748" s="62">
        <v>0</v>
      </c>
      <c r="M1748" s="64"/>
      <c r="N1748" s="64"/>
    </row>
    <row r="1749" spans="1:14" x14ac:dyDescent="0.25">
      <c r="A1749" s="45" t="s">
        <v>1799</v>
      </c>
      <c r="B1749" s="46">
        <v>1163.3509999999999</v>
      </c>
      <c r="C1749" s="60">
        <v>0.21</v>
      </c>
      <c r="D1749" s="47" t="s">
        <v>1839</v>
      </c>
      <c r="E1749" s="47" t="s">
        <v>1839</v>
      </c>
      <c r="F1749" s="47" t="s">
        <v>1839</v>
      </c>
      <c r="G1749" s="48">
        <v>0.10299999999999999</v>
      </c>
      <c r="H1749" s="48">
        <v>0.10299999999999999</v>
      </c>
      <c r="I1749" s="48">
        <v>0.1660219446864814</v>
      </c>
      <c r="K1749" s="62">
        <v>0</v>
      </c>
      <c r="M1749" s="64"/>
      <c r="N1749" s="64"/>
    </row>
    <row r="1750" spans="1:14" x14ac:dyDescent="0.25">
      <c r="A1750" s="45" t="s">
        <v>1800</v>
      </c>
      <c r="B1750" s="46">
        <v>1770.2774999999999</v>
      </c>
      <c r="C1750" s="60">
        <v>0.21</v>
      </c>
      <c r="D1750" s="47" t="s">
        <v>1839</v>
      </c>
      <c r="E1750" s="47" t="s">
        <v>1839</v>
      </c>
      <c r="F1750" s="47" t="s">
        <v>1839</v>
      </c>
      <c r="G1750" s="48">
        <v>0.105</v>
      </c>
      <c r="H1750" s="48">
        <v>0.105</v>
      </c>
      <c r="I1750" s="48">
        <v>0.15601225085747361</v>
      </c>
      <c r="K1750" s="62">
        <v>0</v>
      </c>
      <c r="M1750" s="64"/>
      <c r="N1750" s="64"/>
    </row>
    <row r="1751" spans="1:14" x14ac:dyDescent="0.25">
      <c r="A1751" s="45" t="s">
        <v>1801</v>
      </c>
      <c r="B1751" s="46">
        <v>2137.39</v>
      </c>
      <c r="C1751" s="60">
        <v>0.21</v>
      </c>
      <c r="D1751" s="47">
        <v>3891</v>
      </c>
      <c r="E1751" s="47">
        <v>5644</v>
      </c>
      <c r="F1751" s="47">
        <v>3947</v>
      </c>
      <c r="G1751" s="48">
        <v>0.1318</v>
      </c>
      <c r="H1751" s="48">
        <v>0.1318</v>
      </c>
      <c r="I1751" s="48">
        <v>0.17182080792776491</v>
      </c>
      <c r="K1751" s="62">
        <v>1</v>
      </c>
      <c r="M1751" s="64"/>
      <c r="N1751" s="64"/>
    </row>
    <row r="1752" spans="1:14" x14ac:dyDescent="0.25">
      <c r="A1752" s="45" t="s">
        <v>1802</v>
      </c>
      <c r="B1752" s="46">
        <v>1395.84</v>
      </c>
      <c r="C1752" s="60">
        <v>0.21</v>
      </c>
      <c r="D1752" s="47">
        <v>2542</v>
      </c>
      <c r="E1752" s="47">
        <v>3687</v>
      </c>
      <c r="F1752" s="47">
        <v>2578</v>
      </c>
      <c r="G1752" s="48">
        <v>0.11119999999999999</v>
      </c>
      <c r="H1752" s="48">
        <v>0.11119999999999999</v>
      </c>
      <c r="I1752" s="48">
        <v>0.17198895237709111</v>
      </c>
      <c r="K1752" s="62">
        <v>1</v>
      </c>
      <c r="M1752" s="64"/>
      <c r="N1752" s="64"/>
    </row>
    <row r="1753" spans="1:14" x14ac:dyDescent="0.25">
      <c r="A1753" s="45" t="s">
        <v>1803</v>
      </c>
      <c r="B1753" s="46">
        <v>50</v>
      </c>
      <c r="C1753" s="60">
        <v>0</v>
      </c>
      <c r="D1753" s="47" t="s">
        <v>1839</v>
      </c>
      <c r="E1753" s="47" t="s">
        <v>1839</v>
      </c>
      <c r="F1753" s="47" t="s">
        <v>1839</v>
      </c>
      <c r="G1753" s="48">
        <v>0.48699999999999999</v>
      </c>
      <c r="H1753" s="48">
        <v>0.48699999999999999</v>
      </c>
      <c r="I1753" s="48">
        <v>0.78803424580376258</v>
      </c>
      <c r="K1753" s="62">
        <v>0</v>
      </c>
      <c r="M1753" s="64"/>
      <c r="N1753" s="64"/>
    </row>
    <row r="1754" spans="1:14" x14ac:dyDescent="0.25">
      <c r="A1754" s="45" t="s">
        <v>1804</v>
      </c>
      <c r="B1754" s="46">
        <v>1127</v>
      </c>
      <c r="C1754" s="60">
        <v>0.21</v>
      </c>
      <c r="D1754" s="47" t="s">
        <v>1839</v>
      </c>
      <c r="E1754" s="47" t="s">
        <v>1839</v>
      </c>
      <c r="F1754" s="47" t="s">
        <v>1839</v>
      </c>
      <c r="G1754" s="48">
        <v>7.5300000000000006E-2</v>
      </c>
      <c r="H1754" s="48">
        <v>7.5300000000000006E-2</v>
      </c>
      <c r="I1754" s="48">
        <v>0.1142884101439573</v>
      </c>
      <c r="K1754" s="62">
        <v>0</v>
      </c>
      <c r="M1754" s="64"/>
      <c r="N1754" s="64"/>
    </row>
    <row r="1755" spans="1:14" x14ac:dyDescent="0.25">
      <c r="A1755" s="45" t="s">
        <v>1805</v>
      </c>
      <c r="B1755" s="46">
        <v>1295</v>
      </c>
      <c r="C1755" s="60">
        <v>0.21</v>
      </c>
      <c r="D1755" s="47" t="s">
        <v>1839</v>
      </c>
      <c r="E1755" s="47" t="s">
        <v>1839</v>
      </c>
      <c r="F1755" s="47" t="s">
        <v>1839</v>
      </c>
      <c r="G1755" s="48">
        <v>5.4300000000000001E-2</v>
      </c>
      <c r="H1755" s="48">
        <v>5.4300000000000001E-2</v>
      </c>
      <c r="I1755" s="48">
        <v>8.3283729775649684E-2</v>
      </c>
      <c r="K1755" s="62">
        <v>0</v>
      </c>
      <c r="M1755" s="64"/>
      <c r="N1755" s="64"/>
    </row>
    <row r="1756" spans="1:14" x14ac:dyDescent="0.25">
      <c r="A1756" s="45" t="s">
        <v>1806</v>
      </c>
      <c r="B1756" s="46">
        <v>1127</v>
      </c>
      <c r="C1756" s="60">
        <v>0.21</v>
      </c>
      <c r="D1756" s="47" t="s">
        <v>1839</v>
      </c>
      <c r="E1756" s="47" t="s">
        <v>1839</v>
      </c>
      <c r="F1756" s="47" t="s">
        <v>1839</v>
      </c>
      <c r="G1756" s="48">
        <v>5.4300000000000001E-2</v>
      </c>
      <c r="H1756" s="48">
        <v>5.4300000000000001E-2</v>
      </c>
      <c r="I1756" s="48">
        <v>8.8283879770897869E-2</v>
      </c>
      <c r="K1756" s="62">
        <v>0</v>
      </c>
      <c r="M1756" s="64"/>
      <c r="N1756" s="64"/>
    </row>
    <row r="1757" spans="1:14" x14ac:dyDescent="0.25">
      <c r="A1757" s="45" t="s">
        <v>1807</v>
      </c>
      <c r="B1757" s="46">
        <v>1127</v>
      </c>
      <c r="C1757" s="60">
        <v>0.21</v>
      </c>
      <c r="D1757" s="47" t="s">
        <v>1839</v>
      </c>
      <c r="E1757" s="47" t="s">
        <v>1839</v>
      </c>
      <c r="F1757" s="47" t="s">
        <v>1839</v>
      </c>
      <c r="G1757" s="48">
        <v>5.5E-2</v>
      </c>
      <c r="H1757" s="48">
        <v>5.5E-2</v>
      </c>
      <c r="I1757" s="48">
        <v>8.9016475424250424E-2</v>
      </c>
      <c r="K1757" s="62">
        <v>0</v>
      </c>
      <c r="M1757" s="64"/>
      <c r="N1757" s="64"/>
    </row>
    <row r="1758" spans="1:14" x14ac:dyDescent="0.25">
      <c r="A1758" s="45" t="s">
        <v>1808</v>
      </c>
      <c r="B1758" s="46">
        <v>1163.75</v>
      </c>
      <c r="C1758" s="60">
        <v>0.21</v>
      </c>
      <c r="D1758" s="47" t="s">
        <v>1839</v>
      </c>
      <c r="E1758" s="47" t="s">
        <v>1839</v>
      </c>
      <c r="F1758" s="47" t="s">
        <v>1839</v>
      </c>
      <c r="G1758" s="48">
        <v>6.3299999999999995E-2</v>
      </c>
      <c r="H1758" s="48">
        <v>6.3299999999999995E-2</v>
      </c>
      <c r="I1758" s="48">
        <v>9.7300169599210284E-2</v>
      </c>
      <c r="K1758" s="62">
        <v>0</v>
      </c>
      <c r="M1758" s="64"/>
      <c r="N1758" s="64"/>
    </row>
    <row r="1759" spans="1:14" x14ac:dyDescent="0.25">
      <c r="A1759" s="45" t="s">
        <v>1809</v>
      </c>
      <c r="B1759" s="46">
        <v>1163.75</v>
      </c>
      <c r="C1759" s="60">
        <v>0.21</v>
      </c>
      <c r="D1759" s="47" t="s">
        <v>1839</v>
      </c>
      <c r="E1759" s="47" t="s">
        <v>1839</v>
      </c>
      <c r="F1759" s="47" t="s">
        <v>1839</v>
      </c>
      <c r="G1759" s="48">
        <v>8.43E-2</v>
      </c>
      <c r="H1759" s="48">
        <v>8.43E-2</v>
      </c>
      <c r="I1759" s="48">
        <v>0.12730045635653731</v>
      </c>
      <c r="K1759" s="62">
        <v>0</v>
      </c>
      <c r="M1759" s="64"/>
      <c r="N1759" s="64"/>
    </row>
    <row r="1760" spans="1:14" x14ac:dyDescent="0.25">
      <c r="A1760" s="45" t="s">
        <v>1810</v>
      </c>
      <c r="B1760" s="46">
        <v>885.5</v>
      </c>
      <c r="C1760" s="60">
        <v>0.21</v>
      </c>
      <c r="D1760" s="47" t="s">
        <v>1839</v>
      </c>
      <c r="E1760" s="47" t="s">
        <v>1839</v>
      </c>
      <c r="F1760" s="47" t="s">
        <v>1839</v>
      </c>
      <c r="G1760" s="48">
        <v>8.43E-2</v>
      </c>
      <c r="H1760" s="48">
        <v>8.43E-2</v>
      </c>
      <c r="I1760" s="48">
        <v>0.13829425624782729</v>
      </c>
      <c r="K1760" s="62">
        <v>0</v>
      </c>
      <c r="M1760" s="64"/>
      <c r="N1760" s="64"/>
    </row>
    <row r="1761" spans="1:14" x14ac:dyDescent="0.25">
      <c r="A1761" s="45" t="s">
        <v>1811</v>
      </c>
      <c r="B1761" s="46">
        <v>1177.9581999999998</v>
      </c>
      <c r="C1761" s="60">
        <v>0.21</v>
      </c>
      <c r="D1761" s="47">
        <v>2409.9131844999997</v>
      </c>
      <c r="E1761" s="47">
        <v>3266.5173969999996</v>
      </c>
      <c r="F1761" s="47">
        <v>2284.2779</v>
      </c>
      <c r="G1761" s="48">
        <v>0.10440000000000001</v>
      </c>
      <c r="H1761" s="48">
        <v>0.10440000000000001</v>
      </c>
      <c r="I1761" s="48">
        <v>0.171890473553104</v>
      </c>
      <c r="K1761" s="62">
        <v>0</v>
      </c>
      <c r="M1761" s="64"/>
      <c r="N1761" s="64"/>
    </row>
    <row r="1762" spans="1:14" x14ac:dyDescent="0.25">
      <c r="A1762" s="45" t="s">
        <v>1812</v>
      </c>
      <c r="B1762" s="46">
        <v>1064</v>
      </c>
      <c r="C1762" s="60">
        <v>0.21</v>
      </c>
      <c r="D1762" s="47" t="s">
        <v>1839</v>
      </c>
      <c r="E1762" s="47" t="s">
        <v>1839</v>
      </c>
      <c r="F1762" s="47" t="s">
        <v>1839</v>
      </c>
      <c r="G1762" s="48">
        <v>5.1999999999999998E-2</v>
      </c>
      <c r="H1762" s="48">
        <v>5.1999999999999998E-2</v>
      </c>
      <c r="I1762" s="48">
        <v>9.7015444397693246E-2</v>
      </c>
      <c r="K1762" s="62">
        <v>0</v>
      </c>
      <c r="M1762" s="64"/>
      <c r="N1762" s="64"/>
    </row>
    <row r="1763" spans="1:14" x14ac:dyDescent="0.25">
      <c r="A1763" s="45" t="s">
        <v>68</v>
      </c>
      <c r="B1763" s="46">
        <v>169550.93650000001</v>
      </c>
      <c r="C1763" s="60">
        <v>0.105</v>
      </c>
      <c r="D1763" s="47" t="s">
        <v>1839</v>
      </c>
      <c r="E1763" s="47" t="s">
        <v>1839</v>
      </c>
      <c r="F1763" s="47" t="s">
        <v>1839</v>
      </c>
      <c r="G1763" s="48">
        <v>0.1128</v>
      </c>
      <c r="H1763" s="48">
        <v>0.1128</v>
      </c>
      <c r="I1763" s="48">
        <v>0.1507984358559292</v>
      </c>
      <c r="K1763" s="62">
        <v>0</v>
      </c>
      <c r="M1763" s="64"/>
      <c r="N1763" s="64"/>
    </row>
    <row r="1764" spans="1:14" x14ac:dyDescent="0.25">
      <c r="A1764" s="45" t="s">
        <v>1813</v>
      </c>
      <c r="B1764" s="46">
        <v>145660.821</v>
      </c>
      <c r="C1764" s="60">
        <v>0.105</v>
      </c>
      <c r="D1764" s="47">
        <v>272139.25027999998</v>
      </c>
      <c r="E1764" s="47">
        <v>368871.21127999999</v>
      </c>
      <c r="F1764" s="47">
        <v>257951.89600000001</v>
      </c>
      <c r="G1764" s="48">
        <v>0.20899999999999999</v>
      </c>
      <c r="H1764" s="48">
        <v>0.20899999999999999</v>
      </c>
      <c r="I1764" s="48">
        <v>0.2237780537200954</v>
      </c>
      <c r="K1764" s="62">
        <v>0</v>
      </c>
      <c r="M1764" s="64"/>
      <c r="N1764" s="64"/>
    </row>
    <row r="1765" spans="1:14" x14ac:dyDescent="0.25">
      <c r="A1765" s="45" t="s">
        <v>1814</v>
      </c>
      <c r="B1765" s="46">
        <v>2563</v>
      </c>
      <c r="C1765" s="60">
        <v>0.21</v>
      </c>
      <c r="D1765" s="47">
        <v>4649</v>
      </c>
      <c r="E1765" s="47" t="s">
        <v>1839</v>
      </c>
      <c r="F1765" s="47">
        <v>4649</v>
      </c>
      <c r="G1765" s="48">
        <v>6.9900000000000004E-2</v>
      </c>
      <c r="H1765" s="48">
        <v>6.9900000000000004E-2</v>
      </c>
      <c r="I1765" s="48">
        <v>0.16205480088181731</v>
      </c>
      <c r="K1765" s="62">
        <v>0</v>
      </c>
      <c r="M1765" s="64"/>
      <c r="N1765" s="64"/>
    </row>
    <row r="1766" spans="1:14" x14ac:dyDescent="0.25">
      <c r="A1766" s="45" t="s">
        <v>1815</v>
      </c>
      <c r="B1766" s="46">
        <v>1177.9581999999998</v>
      </c>
      <c r="C1766" s="60">
        <v>0.21</v>
      </c>
      <c r="D1766" s="47">
        <v>2409.9131844999997</v>
      </c>
      <c r="E1766" s="47">
        <v>3266.5173969999996</v>
      </c>
      <c r="F1766" s="47">
        <v>2284.2779</v>
      </c>
      <c r="G1766" s="48">
        <v>0.10440000000000001</v>
      </c>
      <c r="H1766" s="48">
        <v>0.10440000000000001</v>
      </c>
      <c r="I1766" s="48">
        <v>0.171890473553104</v>
      </c>
      <c r="K1766" s="62">
        <v>0</v>
      </c>
      <c r="M1766" s="64"/>
      <c r="N1766" s="64"/>
    </row>
    <row r="1767" spans="1:14" x14ac:dyDescent="0.25">
      <c r="A1767" s="45" t="s">
        <v>1816</v>
      </c>
      <c r="B1767" s="46">
        <v>561.21450000000004</v>
      </c>
      <c r="C1767" s="60">
        <v>0.21</v>
      </c>
      <c r="D1767" s="47" t="s">
        <v>1839</v>
      </c>
      <c r="E1767" s="47" t="s">
        <v>1839</v>
      </c>
      <c r="F1767" s="47" t="s">
        <v>1839</v>
      </c>
      <c r="G1767" s="48">
        <v>0.1193</v>
      </c>
      <c r="H1767" s="48">
        <v>0.1193</v>
      </c>
      <c r="I1767" s="48">
        <v>0.22127900921698981</v>
      </c>
      <c r="K1767" s="62">
        <v>0</v>
      </c>
      <c r="M1767" s="64"/>
      <c r="N1767" s="64"/>
    </row>
    <row r="1768" spans="1:14" x14ac:dyDescent="0.25">
      <c r="A1768" s="45" t="s">
        <v>1817</v>
      </c>
      <c r="B1768" s="46">
        <v>609.33600000000013</v>
      </c>
      <c r="C1768" s="60">
        <v>0.21</v>
      </c>
      <c r="D1768" s="47" t="s">
        <v>1839</v>
      </c>
      <c r="E1768" s="47" t="s">
        <v>1839</v>
      </c>
      <c r="F1768" s="47" t="s">
        <v>1839</v>
      </c>
      <c r="G1768" s="48">
        <v>9.7299999999999998E-2</v>
      </c>
      <c r="H1768" s="48">
        <v>9.7299999999999998E-2</v>
      </c>
      <c r="I1768" s="48">
        <v>0.19225939508922901</v>
      </c>
      <c r="K1768" s="62">
        <v>0</v>
      </c>
      <c r="M1768" s="64"/>
      <c r="N1768" s="64"/>
    </row>
    <row r="1769" spans="1:14" x14ac:dyDescent="0.25">
      <c r="A1769" s="45" t="s">
        <v>1818</v>
      </c>
      <c r="B1769" s="46">
        <v>1073.5</v>
      </c>
      <c r="C1769" s="60">
        <v>0.21</v>
      </c>
      <c r="D1769" s="47" t="s">
        <v>1839</v>
      </c>
      <c r="E1769" s="47" t="s">
        <v>1839</v>
      </c>
      <c r="F1769" s="47" t="s">
        <v>1839</v>
      </c>
      <c r="G1769" s="48">
        <v>8.4000000000000005E-2</v>
      </c>
      <c r="H1769" s="48">
        <v>8.4000000000000005E-2</v>
      </c>
      <c r="I1769" s="48">
        <v>0.12902055987919619</v>
      </c>
      <c r="K1769" s="62">
        <v>0</v>
      </c>
      <c r="M1769" s="64"/>
      <c r="N1769" s="64"/>
    </row>
    <row r="1770" spans="1:14" x14ac:dyDescent="0.25">
      <c r="A1770" s="45" t="s">
        <v>1819</v>
      </c>
      <c r="B1770" s="46">
        <v>30677</v>
      </c>
      <c r="C1770" s="60">
        <v>0.21</v>
      </c>
      <c r="D1770" s="47">
        <v>55679</v>
      </c>
      <c r="E1770" s="47" t="s">
        <v>1839</v>
      </c>
      <c r="F1770" s="47">
        <v>55679</v>
      </c>
      <c r="G1770" s="48">
        <v>7.5499999999999998E-2</v>
      </c>
      <c r="H1770" s="48">
        <v>7.5499999999999998E-2</v>
      </c>
      <c r="I1770" s="48">
        <v>0.16239439304925579</v>
      </c>
      <c r="K1770" s="62">
        <v>0</v>
      </c>
      <c r="M1770" s="64"/>
      <c r="N1770" s="64"/>
    </row>
    <row r="1771" spans="1:14" x14ac:dyDescent="0.25">
      <c r="A1771" s="45" t="s">
        <v>60</v>
      </c>
      <c r="B1771" s="46">
        <v>148826.511</v>
      </c>
      <c r="C1771" s="60">
        <v>0.105</v>
      </c>
      <c r="D1771" s="47">
        <v>274081.51</v>
      </c>
      <c r="E1771" s="47" t="s">
        <v>1839</v>
      </c>
      <c r="F1771" s="47" t="s">
        <v>1839</v>
      </c>
      <c r="G1771" s="48">
        <v>0.1898</v>
      </c>
      <c r="H1771" s="48">
        <v>0.1898</v>
      </c>
      <c r="I1771" s="48">
        <v>0.2437954711368798</v>
      </c>
      <c r="K1771" s="62">
        <v>0</v>
      </c>
      <c r="M1771" s="64"/>
      <c r="N1771" s="64"/>
    </row>
    <row r="1772" spans="1:14" x14ac:dyDescent="0.25">
      <c r="A1772" s="45" t="s">
        <v>1820</v>
      </c>
      <c r="B1772" s="46">
        <v>96784.676999999996</v>
      </c>
      <c r="C1772" s="60">
        <v>0.105</v>
      </c>
      <c r="D1772" s="47">
        <v>178240.36</v>
      </c>
      <c r="E1772" s="47" t="s">
        <v>1839</v>
      </c>
      <c r="F1772" s="47" t="s">
        <v>1839</v>
      </c>
      <c r="G1772" s="48">
        <v>0.188</v>
      </c>
      <c r="H1772" s="48">
        <v>0.188</v>
      </c>
      <c r="I1772" s="48">
        <v>0.24298577052993031</v>
      </c>
      <c r="K1772" s="62">
        <v>0</v>
      </c>
      <c r="M1772" s="64"/>
      <c r="N1772" s="64"/>
    </row>
    <row r="1773" spans="1:14" x14ac:dyDescent="0.25">
      <c r="A1773" s="45" t="s">
        <v>1821</v>
      </c>
      <c r="B1773" s="46">
        <v>105519.52099999999</v>
      </c>
      <c r="C1773" s="60">
        <v>0.21</v>
      </c>
      <c r="D1773" s="47">
        <v>204678.93796000001</v>
      </c>
      <c r="E1773" s="47">
        <v>277432.11495999998</v>
      </c>
      <c r="F1773" s="47">
        <v>194008.47200000001</v>
      </c>
      <c r="G1773" s="48">
        <v>0.14319999999999999</v>
      </c>
      <c r="H1773" s="48">
        <v>0.14319999999999999</v>
      </c>
      <c r="I1773" s="48">
        <v>0.14609543782704551</v>
      </c>
      <c r="K1773" s="62">
        <v>0</v>
      </c>
      <c r="M1773" s="64"/>
      <c r="N1773" s="64"/>
    </row>
    <row r="1774" spans="1:14" x14ac:dyDescent="0.25">
      <c r="A1774" s="45" t="s">
        <v>1822</v>
      </c>
      <c r="B1774" s="46">
        <v>105519.52099999999</v>
      </c>
      <c r="C1774" s="60">
        <v>0.21</v>
      </c>
      <c r="D1774" s="47">
        <v>204678.93796000001</v>
      </c>
      <c r="E1774" s="47">
        <v>277432.11495999998</v>
      </c>
      <c r="F1774" s="47">
        <v>194008.47200000001</v>
      </c>
      <c r="G1774" s="48">
        <v>0.14319999999999999</v>
      </c>
      <c r="H1774" s="48">
        <v>0.14319999999999999</v>
      </c>
      <c r="I1774" s="48">
        <v>0.14609553315022719</v>
      </c>
      <c r="K1774" s="62">
        <v>0</v>
      </c>
      <c r="M1774" s="64"/>
      <c r="N1774" s="64"/>
    </row>
    <row r="1775" spans="1:14" x14ac:dyDescent="0.25">
      <c r="A1775" s="45" t="s">
        <v>1823</v>
      </c>
      <c r="B1775" s="46">
        <v>27885.45</v>
      </c>
      <c r="C1775" s="60">
        <v>0.21</v>
      </c>
      <c r="D1775" s="47">
        <v>50775</v>
      </c>
      <c r="E1775" s="47">
        <v>73650</v>
      </c>
      <c r="F1775" s="47">
        <v>51500</v>
      </c>
      <c r="G1775" s="48">
        <v>0.15210000000000001</v>
      </c>
      <c r="H1775" s="48">
        <v>0.15210000000000001</v>
      </c>
      <c r="I1775" s="48">
        <v>0.17189307931157849</v>
      </c>
      <c r="K1775" s="62">
        <v>1</v>
      </c>
      <c r="M1775" s="64"/>
      <c r="N1775" s="64"/>
    </row>
    <row r="1776" spans="1:14" x14ac:dyDescent="0.25">
      <c r="A1776" s="45" t="s">
        <v>1824</v>
      </c>
      <c r="B1776" s="46">
        <v>37954.1</v>
      </c>
      <c r="C1776" s="60">
        <v>0.105</v>
      </c>
      <c r="D1776" s="47">
        <v>63111</v>
      </c>
      <c r="E1776" s="47">
        <v>91545</v>
      </c>
      <c r="F1776" s="47">
        <v>64013</v>
      </c>
      <c r="G1776" s="48">
        <v>0.19209999999999999</v>
      </c>
      <c r="H1776" s="48">
        <v>0.19209999999999999</v>
      </c>
      <c r="I1776" s="48">
        <v>0.20007626119587921</v>
      </c>
      <c r="K1776" s="62">
        <v>1</v>
      </c>
      <c r="M1776" s="64"/>
      <c r="N1776" s="64"/>
    </row>
    <row r="1777" spans="1:14" x14ac:dyDescent="0.25">
      <c r="A1777" s="45" t="s">
        <v>1825</v>
      </c>
      <c r="B1777" s="46">
        <v>13410.51</v>
      </c>
      <c r="C1777" s="60">
        <v>0.21</v>
      </c>
      <c r="D1777" s="47">
        <v>24418</v>
      </c>
      <c r="E1777" s="47">
        <v>35419</v>
      </c>
      <c r="F1777" s="47">
        <v>24767</v>
      </c>
      <c r="G1777" s="48">
        <v>0.1318</v>
      </c>
      <c r="H1777" s="48">
        <v>0.1318</v>
      </c>
      <c r="I1777" s="48">
        <v>0.17187991434349431</v>
      </c>
      <c r="K1777" s="62">
        <v>1</v>
      </c>
      <c r="M1777" s="64"/>
      <c r="N1777" s="64"/>
    </row>
    <row r="1778" spans="1:14" x14ac:dyDescent="0.25">
      <c r="A1778" s="45" t="s">
        <v>1826</v>
      </c>
      <c r="B1778" s="46">
        <v>8173.36</v>
      </c>
      <c r="C1778" s="60">
        <v>0.21</v>
      </c>
      <c r="D1778" s="47">
        <v>14883</v>
      </c>
      <c r="E1778" s="47">
        <v>21588</v>
      </c>
      <c r="F1778" s="47">
        <v>15095</v>
      </c>
      <c r="G1778" s="48">
        <v>0.1067</v>
      </c>
      <c r="H1778" s="48">
        <v>0.1067</v>
      </c>
      <c r="I1778" s="48">
        <v>0.17190561276375169</v>
      </c>
      <c r="K1778" s="62">
        <v>1</v>
      </c>
      <c r="M1778" s="64"/>
      <c r="N1778" s="64"/>
    </row>
    <row r="1779" spans="1:14" x14ac:dyDescent="0.25">
      <c r="A1779" s="45" t="s">
        <v>1827</v>
      </c>
      <c r="B1779" s="46">
        <v>105519.52099999999</v>
      </c>
      <c r="C1779" s="60">
        <v>0.21</v>
      </c>
      <c r="D1779" s="47">
        <v>204678.93796000001</v>
      </c>
      <c r="E1779" s="47">
        <v>277432.11495999998</v>
      </c>
      <c r="F1779" s="47">
        <v>194008.47200000001</v>
      </c>
      <c r="G1779" s="48">
        <v>0.1421</v>
      </c>
      <c r="H1779" s="48">
        <v>0.1421</v>
      </c>
      <c r="I1779" s="48">
        <v>0.14609543782704551</v>
      </c>
      <c r="K1779" s="62">
        <v>0</v>
      </c>
      <c r="M1779" s="64"/>
      <c r="N1779" s="64"/>
    </row>
    <row r="1780" spans="1:14" x14ac:dyDescent="0.25">
      <c r="A1780" s="45" t="s">
        <v>1828</v>
      </c>
      <c r="B1780" s="46">
        <v>7870.54</v>
      </c>
      <c r="C1780" s="60">
        <v>0.21</v>
      </c>
      <c r="D1780" s="47">
        <v>14331</v>
      </c>
      <c r="E1780" s="47">
        <v>20788</v>
      </c>
      <c r="F1780" s="47">
        <v>14536</v>
      </c>
      <c r="G1780" s="48">
        <v>0.1043</v>
      </c>
      <c r="H1780" s="48">
        <v>0.1043</v>
      </c>
      <c r="I1780" s="48">
        <v>0.17191136152151371</v>
      </c>
      <c r="K1780" s="62">
        <v>1</v>
      </c>
      <c r="M1780" s="64"/>
      <c r="N1780" s="64"/>
    </row>
    <row r="1781" spans="1:14" x14ac:dyDescent="0.25">
      <c r="A1781" s="45" t="s">
        <v>1829</v>
      </c>
      <c r="B1781" s="46">
        <v>157777</v>
      </c>
      <c r="C1781" s="60">
        <v>0.21</v>
      </c>
      <c r="D1781" s="47">
        <v>276819</v>
      </c>
      <c r="E1781" s="47" t="s">
        <v>1839</v>
      </c>
      <c r="F1781" s="47">
        <v>276819</v>
      </c>
      <c r="G1781" s="48">
        <v>8.3699999999999997E-2</v>
      </c>
      <c r="H1781" s="48">
        <v>8.3699999999999997E-2</v>
      </c>
      <c r="I1781" s="48">
        <v>0.14339166658023009</v>
      </c>
      <c r="K1781" s="62">
        <v>0</v>
      </c>
      <c r="M1781" s="64"/>
      <c r="N1781" s="64"/>
    </row>
    <row r="1782" spans="1:14" x14ac:dyDescent="0.25">
      <c r="A1782" s="45" t="s">
        <v>1830</v>
      </c>
      <c r="B1782" s="46">
        <v>49355</v>
      </c>
      <c r="C1782" s="60">
        <v>0.21</v>
      </c>
      <c r="D1782" s="47">
        <v>86593</v>
      </c>
      <c r="E1782" s="47" t="s">
        <v>1839</v>
      </c>
      <c r="F1782" s="47">
        <v>86593</v>
      </c>
      <c r="G1782" s="48">
        <v>7.1099999999999997E-2</v>
      </c>
      <c r="H1782" s="48">
        <v>7.1099999999999997E-2</v>
      </c>
      <c r="I1782" s="48">
        <v>0.14339091632745171</v>
      </c>
      <c r="K1782" s="62">
        <v>0</v>
      </c>
      <c r="M1782" s="64"/>
      <c r="N1782" s="64"/>
    </row>
    <row r="1783" spans="1:14" x14ac:dyDescent="0.25">
      <c r="A1783" s="45" t="s">
        <v>1831</v>
      </c>
      <c r="B1783" s="46">
        <v>152885</v>
      </c>
      <c r="C1783" s="60">
        <v>0.105</v>
      </c>
      <c r="D1783" s="47">
        <v>236512</v>
      </c>
      <c r="E1783" s="47" t="s">
        <v>1839</v>
      </c>
      <c r="F1783" s="47">
        <v>236512</v>
      </c>
      <c r="G1783" s="48">
        <v>8.5999999999999993E-2</v>
      </c>
      <c r="H1783" s="48">
        <v>8.5999999999999993E-2</v>
      </c>
      <c r="I1783" s="48">
        <v>0.14547184671625699</v>
      </c>
      <c r="K1783" s="62">
        <v>0</v>
      </c>
      <c r="M1783" s="64"/>
      <c r="N1783" s="64"/>
    </row>
    <row r="1784" spans="1:14" x14ac:dyDescent="0.25">
      <c r="A1784" s="45" t="s">
        <v>1832</v>
      </c>
      <c r="B1784" s="46">
        <v>69114</v>
      </c>
      <c r="C1784" s="60">
        <v>0.105</v>
      </c>
      <c r="D1784" s="47">
        <v>110738</v>
      </c>
      <c r="E1784" s="47" t="s">
        <v>1839</v>
      </c>
      <c r="F1784" s="47">
        <v>110738</v>
      </c>
      <c r="G1784" s="48">
        <v>0.1021</v>
      </c>
      <c r="H1784" s="48">
        <v>0.1021</v>
      </c>
      <c r="I1784" s="48">
        <v>0.16776544957804371</v>
      </c>
      <c r="K1784" s="62">
        <v>0</v>
      </c>
      <c r="M1784" s="64"/>
      <c r="N1784" s="64"/>
    </row>
    <row r="1785" spans="1:14" x14ac:dyDescent="0.25">
      <c r="A1785" s="45" t="s">
        <v>1833</v>
      </c>
      <c r="B1785" s="46">
        <v>494849</v>
      </c>
      <c r="C1785" s="60">
        <v>0.105</v>
      </c>
      <c r="D1785" s="47">
        <v>792871</v>
      </c>
      <c r="E1785" s="47" t="s">
        <v>1839</v>
      </c>
      <c r="F1785" s="47">
        <v>792871</v>
      </c>
      <c r="G1785" s="48">
        <v>0.1111</v>
      </c>
      <c r="H1785" s="48">
        <v>0.1111</v>
      </c>
      <c r="I1785" s="48">
        <v>0.16776428480703179</v>
      </c>
      <c r="K1785" s="62">
        <v>0</v>
      </c>
      <c r="M1785" s="64"/>
      <c r="N1785" s="64"/>
    </row>
    <row r="1786" spans="1:14" x14ac:dyDescent="0.25">
      <c r="A1786" s="45" t="s">
        <v>1834</v>
      </c>
      <c r="B1786" s="46">
        <v>279119</v>
      </c>
      <c r="C1786" s="60">
        <v>0.105</v>
      </c>
      <c r="D1786" s="47">
        <v>447219</v>
      </c>
      <c r="E1786" s="47" t="s">
        <v>1839</v>
      </c>
      <c r="F1786" s="47">
        <v>447219</v>
      </c>
      <c r="G1786" s="48">
        <v>0.10970000000000001</v>
      </c>
      <c r="H1786" s="48">
        <v>0.10970000000000001</v>
      </c>
      <c r="I1786" s="48">
        <v>0.1677657351761517</v>
      </c>
      <c r="K1786" s="62">
        <v>0</v>
      </c>
      <c r="M1786" s="64"/>
      <c r="N1786" s="64"/>
    </row>
    <row r="1787" spans="1:14" x14ac:dyDescent="0.25">
      <c r="A1787" s="45" t="s">
        <v>3750</v>
      </c>
      <c r="B1787" s="46">
        <v>8746.6050000000014</v>
      </c>
      <c r="C1787" s="60">
        <v>0.21</v>
      </c>
      <c r="D1787" s="47">
        <v>17638.509999999998</v>
      </c>
      <c r="E1787" s="47" t="s">
        <v>1839</v>
      </c>
      <c r="F1787" s="47" t="s">
        <v>1839</v>
      </c>
      <c r="G1787" s="48">
        <v>8.7099999999999997E-2</v>
      </c>
      <c r="H1787" s="48">
        <v>8.7099999999999997E-2</v>
      </c>
      <c r="I1787" s="48">
        <v>0.13212286120982661</v>
      </c>
      <c r="K1787" s="62">
        <v>0</v>
      </c>
      <c r="M1787" s="64"/>
      <c r="N1787" s="64"/>
    </row>
    <row r="1788" spans="1:14" x14ac:dyDescent="0.25">
      <c r="A1788" s="45" t="s">
        <v>1835</v>
      </c>
      <c r="B1788" s="46">
        <v>612395</v>
      </c>
      <c r="C1788" s="60">
        <v>0.21</v>
      </c>
      <c r="D1788" s="47">
        <v>1074446</v>
      </c>
      <c r="E1788" s="47" t="s">
        <v>1839</v>
      </c>
      <c r="F1788" s="47">
        <v>1074446</v>
      </c>
      <c r="G1788" s="48">
        <v>8.5999999999999993E-2</v>
      </c>
      <c r="H1788" s="48">
        <v>8.5999999999999993E-2</v>
      </c>
      <c r="I1788" s="48">
        <v>0.14339265854442071</v>
      </c>
      <c r="K1788" s="62">
        <v>0</v>
      </c>
      <c r="M1788" s="64"/>
      <c r="N1788" s="64"/>
    </row>
    <row r="1789" spans="1:14" x14ac:dyDescent="0.25">
      <c r="A1789" s="45" t="s">
        <v>1836</v>
      </c>
      <c r="B1789" s="46">
        <v>296931</v>
      </c>
      <c r="C1789" s="60">
        <v>0.21</v>
      </c>
      <c r="D1789" s="47">
        <v>520965</v>
      </c>
      <c r="E1789" s="47" t="s">
        <v>1839</v>
      </c>
      <c r="F1789" s="47">
        <v>520965</v>
      </c>
      <c r="G1789" s="48">
        <v>8.5900000000000004E-2</v>
      </c>
      <c r="H1789" s="48">
        <v>8.5900000000000004E-2</v>
      </c>
      <c r="I1789" s="48">
        <v>0.14339272276787679</v>
      </c>
      <c r="K1789" s="62">
        <v>0</v>
      </c>
      <c r="M1789" s="64"/>
      <c r="N1789" s="64"/>
    </row>
    <row r="1790" spans="1:14" x14ac:dyDescent="0.25">
      <c r="A1790" s="45" t="s">
        <v>1837</v>
      </c>
      <c r="B1790" s="46">
        <v>61359.369499999993</v>
      </c>
      <c r="C1790" s="60">
        <v>0.21</v>
      </c>
      <c r="D1790" s="47" t="s">
        <v>1839</v>
      </c>
      <c r="E1790" s="47" t="s">
        <v>1839</v>
      </c>
      <c r="F1790" s="47" t="s">
        <v>1839</v>
      </c>
      <c r="G1790" s="48">
        <v>8.4199999999999997E-2</v>
      </c>
      <c r="H1790" s="48">
        <v>8.4199999999999997E-2</v>
      </c>
      <c r="I1790" s="48">
        <v>0.1162792891595683</v>
      </c>
      <c r="K1790" s="62">
        <v>0</v>
      </c>
      <c r="M1790" s="64"/>
      <c r="N1790" s="64"/>
    </row>
    <row r="1791" spans="1:14" x14ac:dyDescent="0.25">
      <c r="A1791" s="45" t="s">
        <v>1838</v>
      </c>
      <c r="B1791" s="46">
        <v>90056.637000000002</v>
      </c>
      <c r="C1791" s="60">
        <v>0.21</v>
      </c>
      <c r="D1791" s="47" t="s">
        <v>1839</v>
      </c>
      <c r="E1791" s="47" t="s">
        <v>1839</v>
      </c>
      <c r="F1791" s="47" t="s">
        <v>1839</v>
      </c>
      <c r="G1791" s="48">
        <v>8.4500000000000006E-2</v>
      </c>
      <c r="H1791" s="48">
        <v>8.4500000000000006E-2</v>
      </c>
      <c r="I1791" s="48">
        <v>0.11666305489450519</v>
      </c>
      <c r="K1791" s="62">
        <v>0</v>
      </c>
      <c r="M1791" s="64"/>
      <c r="N1791" s="64"/>
    </row>
    <row r="1792" spans="1:14" x14ac:dyDescent="0.25">
      <c r="A1792" s="45" t="s">
        <v>3628</v>
      </c>
      <c r="B1792" s="46">
        <v>1085</v>
      </c>
      <c r="C1792" s="60">
        <v>0.21</v>
      </c>
      <c r="D1792" s="47" t="s">
        <v>1839</v>
      </c>
      <c r="E1792" s="47" t="s">
        <v>1839</v>
      </c>
      <c r="F1792" s="47" t="s">
        <v>1839</v>
      </c>
      <c r="G1792" s="48" t="s">
        <v>1839</v>
      </c>
      <c r="H1792" s="48" t="s">
        <v>1839</v>
      </c>
      <c r="K1792" s="62">
        <v>0</v>
      </c>
      <c r="M1792" s="64"/>
      <c r="N1792" s="64"/>
    </row>
    <row r="1793" spans="1:14" x14ac:dyDescent="0.25">
      <c r="A1793" s="45" t="s">
        <v>3674</v>
      </c>
      <c r="B1793" s="46">
        <v>70851.104999999996</v>
      </c>
      <c r="C1793" s="60">
        <v>0.105</v>
      </c>
      <c r="D1793" s="47">
        <v>130480.64</v>
      </c>
      <c r="E1793" s="47" t="s">
        <v>1839</v>
      </c>
      <c r="F1793" s="47" t="s">
        <v>1839</v>
      </c>
      <c r="G1793" s="48">
        <v>0.18540000000000001</v>
      </c>
      <c r="H1793" s="48">
        <v>0.18540000000000001</v>
      </c>
      <c r="I1793" s="48">
        <v>0.2424476919518648</v>
      </c>
      <c r="K1793" s="62">
        <v>0</v>
      </c>
      <c r="M1793" s="64"/>
      <c r="N1793" s="64"/>
    </row>
    <row r="1794" spans="1:14" x14ac:dyDescent="0.25">
      <c r="A1794" s="45" t="s">
        <v>3670</v>
      </c>
      <c r="B1794" s="46">
        <v>27186.929</v>
      </c>
      <c r="C1794" s="60">
        <v>0.21</v>
      </c>
      <c r="D1794" s="47" t="s">
        <v>1839</v>
      </c>
      <c r="E1794" s="47" t="s">
        <v>1839</v>
      </c>
      <c r="F1794" s="47" t="s">
        <v>1839</v>
      </c>
      <c r="G1794" s="48">
        <v>8.6999999999999994E-2</v>
      </c>
      <c r="H1794" s="48">
        <v>8.6999999999999994E-2</v>
      </c>
      <c r="I1794" s="48">
        <v>0.1219997413636475</v>
      </c>
      <c r="K1794" s="62">
        <v>0</v>
      </c>
      <c r="M1794" s="64"/>
      <c r="N1794" s="64"/>
    </row>
    <row r="1795" spans="1:14" x14ac:dyDescent="0.25">
      <c r="A1795" s="45" t="s">
        <v>3671</v>
      </c>
      <c r="B1795" s="46">
        <v>25110.114999999998</v>
      </c>
      <c r="C1795" s="60">
        <v>0.21</v>
      </c>
      <c r="D1795" s="47" t="s">
        <v>1839</v>
      </c>
      <c r="E1795" s="47" t="s">
        <v>1839</v>
      </c>
      <c r="F1795" s="47" t="s">
        <v>1839</v>
      </c>
      <c r="G1795" s="48">
        <v>8.6999999999999994E-2</v>
      </c>
      <c r="H1795" s="48">
        <v>8.6999999999999994E-2</v>
      </c>
      <c r="I1795" s="48">
        <v>0.12299993396065741</v>
      </c>
      <c r="K1795" s="62">
        <v>0</v>
      </c>
      <c r="M1795" s="64"/>
      <c r="N1795" s="64"/>
    </row>
    <row r="1796" spans="1:14" x14ac:dyDescent="0.25">
      <c r="A1796" s="45" t="s">
        <v>3672</v>
      </c>
      <c r="B1796" s="46">
        <v>13728.6</v>
      </c>
      <c r="C1796" s="60">
        <v>0.21</v>
      </c>
      <c r="D1796" s="47">
        <v>24997</v>
      </c>
      <c r="E1796" s="47">
        <v>36261</v>
      </c>
      <c r="F1796" s="47">
        <v>25355</v>
      </c>
      <c r="G1796" s="48">
        <v>0.13270000000000001</v>
      </c>
      <c r="H1796" s="48">
        <v>0.13270000000000001</v>
      </c>
      <c r="I1796" s="48">
        <v>0.1718893605316317</v>
      </c>
      <c r="K1796" s="62">
        <v>1</v>
      </c>
      <c r="M1796" s="64"/>
      <c r="N1796" s="64"/>
    </row>
    <row r="1797" spans="1:14" x14ac:dyDescent="0.25">
      <c r="A1797" s="45" t="s">
        <v>3673</v>
      </c>
      <c r="B1797" s="46">
        <v>13767.5425</v>
      </c>
      <c r="C1797" s="60">
        <v>0.21</v>
      </c>
      <c r="D1797" s="47" t="s">
        <v>1839</v>
      </c>
      <c r="E1797" s="47" t="s">
        <v>1839</v>
      </c>
      <c r="F1797" s="47" t="s">
        <v>1839</v>
      </c>
      <c r="G1797" s="48">
        <v>8.6999999999999994E-2</v>
      </c>
      <c r="H1797" s="48">
        <v>8.6999999999999994E-2</v>
      </c>
      <c r="I1797" s="48">
        <v>0.12600037930952149</v>
      </c>
      <c r="K1797" s="62">
        <v>0</v>
      </c>
      <c r="M1797" s="64"/>
      <c r="N1797" s="64"/>
    </row>
    <row r="1798" spans="1:14" x14ac:dyDescent="0.25">
      <c r="A1798" s="45" t="s">
        <v>3675</v>
      </c>
      <c r="B1798" s="46">
        <v>5980</v>
      </c>
      <c r="C1798" s="60">
        <v>0.21</v>
      </c>
      <c r="D1798" s="47">
        <v>10493</v>
      </c>
      <c r="E1798" s="47" t="s">
        <v>1839</v>
      </c>
      <c r="F1798" s="47">
        <v>10493</v>
      </c>
      <c r="G1798" s="48">
        <v>7.6999999999999999E-2</v>
      </c>
      <c r="H1798" s="48">
        <v>7.6999999999999999E-2</v>
      </c>
      <c r="I1798" s="48">
        <v>0.14345241065790709</v>
      </c>
      <c r="K1798" s="62">
        <v>0</v>
      </c>
      <c r="M1798" s="64"/>
      <c r="N1798" s="64"/>
    </row>
    <row r="1799" spans="1:14" x14ac:dyDescent="0.25">
      <c r="A1799" s="45" t="s">
        <v>3745</v>
      </c>
      <c r="B1799" s="46">
        <v>181114</v>
      </c>
      <c r="C1799" s="60">
        <v>0.105</v>
      </c>
      <c r="D1799" s="47">
        <v>290190</v>
      </c>
      <c r="G1799" s="48">
        <v>0.1075</v>
      </c>
      <c r="H1799" s="48">
        <v>0.1075</v>
      </c>
      <c r="I1799" s="48">
        <v>0.16776512370344071</v>
      </c>
      <c r="K1799" s="62">
        <v>0</v>
      </c>
      <c r="M1799" s="64"/>
      <c r="N1799" s="64"/>
    </row>
    <row r="1800" spans="1:14" x14ac:dyDescent="0.25">
      <c r="A1800" s="45" t="s">
        <v>3746</v>
      </c>
      <c r="B1800" s="46">
        <v>196652</v>
      </c>
      <c r="C1800" s="60">
        <v>0.21</v>
      </c>
      <c r="D1800" s="47">
        <v>345023</v>
      </c>
      <c r="E1800" s="47" t="s">
        <v>1839</v>
      </c>
      <c r="F1800" s="47">
        <v>319882</v>
      </c>
      <c r="G1800" s="48">
        <v>8.3299999999999999E-2</v>
      </c>
      <c r="H1800" s="48">
        <v>8.3299999999999999E-2</v>
      </c>
      <c r="I1800" s="48">
        <v>0.14338835676378661</v>
      </c>
      <c r="K1800" s="62">
        <v>0</v>
      </c>
      <c r="M1800" s="64"/>
      <c r="N1800" s="64"/>
    </row>
    <row r="1801" spans="1:14" x14ac:dyDescent="0.25">
      <c r="A1801" s="45" t="s">
        <v>3749</v>
      </c>
      <c r="B1801" s="46">
        <v>21488</v>
      </c>
      <c r="C1801" s="60">
        <v>0.21</v>
      </c>
      <c r="D1801" s="47">
        <v>37701</v>
      </c>
      <c r="E1801" s="47" t="s">
        <v>1839</v>
      </c>
      <c r="F1801" s="47">
        <v>35040</v>
      </c>
      <c r="G1801" s="48">
        <v>0.05</v>
      </c>
      <c r="H1801" s="48">
        <v>0.05</v>
      </c>
      <c r="I1801" s="48">
        <v>0.05</v>
      </c>
      <c r="K1801" s="62">
        <v>0</v>
      </c>
      <c r="M1801" s="64"/>
      <c r="N1801" s="64"/>
    </row>
  </sheetData>
  <sheetProtection deleteRows="0" autoFilter="0"/>
  <autoFilter ref="A1:W1801" xr:uid="{588ADD66-FB11-4B79-8D18-5A6081E57713}"/>
  <conditionalFormatting sqref="A2:A1801">
    <cfRule type="duplicateValues" dxfId="5" priority="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3027-E8C7-4D2E-BBBC-38C5061F32D9}">
  <sheetPr codeName="Sheet3"/>
  <dimension ref="A1:B3830"/>
  <sheetViews>
    <sheetView showGridLines="0" topLeftCell="A3811" workbookViewId="0">
      <selection activeCell="A3830" sqref="A3830"/>
    </sheetView>
  </sheetViews>
  <sheetFormatPr defaultRowHeight="15" x14ac:dyDescent="0.25"/>
  <cols>
    <col min="1" max="1" width="17.85546875" style="49" customWidth="1"/>
    <col min="2" max="2" width="39.28515625" style="49" customWidth="1"/>
  </cols>
  <sheetData>
    <row r="1" spans="1:2" x14ac:dyDescent="0.25">
      <c r="A1" s="32" t="s">
        <v>50</v>
      </c>
      <c r="B1" s="32" t="s">
        <v>49</v>
      </c>
    </row>
    <row r="2" spans="1:2" x14ac:dyDescent="0.25">
      <c r="A2" s="49">
        <v>608151047</v>
      </c>
      <c r="B2" s="49" t="s">
        <v>635</v>
      </c>
    </row>
    <row r="3" spans="1:2" x14ac:dyDescent="0.25">
      <c r="A3" s="49">
        <v>899206659</v>
      </c>
      <c r="B3" s="49" t="s">
        <v>1315</v>
      </c>
    </row>
    <row r="4" spans="1:2" x14ac:dyDescent="0.25">
      <c r="A4" s="49">
        <v>905886493</v>
      </c>
      <c r="B4" s="49" t="s">
        <v>1249</v>
      </c>
    </row>
    <row r="5" spans="1:2" x14ac:dyDescent="0.25">
      <c r="A5" s="49">
        <v>928626369</v>
      </c>
      <c r="B5" s="49" t="s">
        <v>1387</v>
      </c>
    </row>
    <row r="6" spans="1:2" x14ac:dyDescent="0.25">
      <c r="A6" s="49">
        <v>816687507</v>
      </c>
      <c r="B6" s="49" t="s">
        <v>1460</v>
      </c>
    </row>
    <row r="7" spans="1:2" x14ac:dyDescent="0.25">
      <c r="A7" s="49">
        <v>1122274484</v>
      </c>
      <c r="B7" s="49" t="s">
        <v>1055</v>
      </c>
    </row>
    <row r="8" spans="1:2" x14ac:dyDescent="0.25">
      <c r="A8" s="49">
        <v>608151048</v>
      </c>
      <c r="B8" s="49" t="s">
        <v>438</v>
      </c>
    </row>
    <row r="9" spans="1:2" x14ac:dyDescent="0.25">
      <c r="A9" s="49">
        <v>609337686</v>
      </c>
      <c r="B9" s="49" t="s">
        <v>528</v>
      </c>
    </row>
    <row r="10" spans="1:2" x14ac:dyDescent="0.25">
      <c r="A10" s="49">
        <v>627611334</v>
      </c>
      <c r="B10" s="49" t="s">
        <v>1378</v>
      </c>
    </row>
    <row r="11" spans="1:2" x14ac:dyDescent="0.25">
      <c r="A11" s="49">
        <v>640542662</v>
      </c>
      <c r="B11" s="49" t="s">
        <v>1275</v>
      </c>
    </row>
    <row r="12" spans="1:2" x14ac:dyDescent="0.25">
      <c r="A12" s="49">
        <v>672270999</v>
      </c>
      <c r="B12" s="49" t="s">
        <v>355</v>
      </c>
    </row>
    <row r="13" spans="1:2" x14ac:dyDescent="0.25">
      <c r="A13" s="49">
        <v>695154392</v>
      </c>
      <c r="B13" s="49" t="s">
        <v>1169</v>
      </c>
    </row>
    <row r="14" spans="1:2" x14ac:dyDescent="0.25">
      <c r="A14" s="49">
        <v>702162224</v>
      </c>
      <c r="B14" s="49" t="s">
        <v>464</v>
      </c>
    </row>
    <row r="15" spans="1:2" x14ac:dyDescent="0.25">
      <c r="A15" s="49">
        <v>717070218</v>
      </c>
      <c r="B15" s="49" t="s">
        <v>822</v>
      </c>
    </row>
    <row r="16" spans="1:2" x14ac:dyDescent="0.25">
      <c r="A16" s="49">
        <v>743632484</v>
      </c>
      <c r="B16" s="49" t="s">
        <v>654</v>
      </c>
    </row>
    <row r="17" spans="1:2" x14ac:dyDescent="0.25">
      <c r="A17" s="49">
        <v>777650626</v>
      </c>
      <c r="B17" s="49" t="s">
        <v>496</v>
      </c>
    </row>
    <row r="18" spans="1:2" x14ac:dyDescent="0.25">
      <c r="A18" s="49">
        <v>778433021</v>
      </c>
      <c r="B18" s="49" t="s">
        <v>578</v>
      </c>
    </row>
    <row r="19" spans="1:2" x14ac:dyDescent="0.25">
      <c r="A19" s="49">
        <v>782120938</v>
      </c>
      <c r="B19" s="49" t="s">
        <v>1265</v>
      </c>
    </row>
    <row r="20" spans="1:2" x14ac:dyDescent="0.25">
      <c r="A20" s="49">
        <v>785146639</v>
      </c>
      <c r="B20" s="49" t="s">
        <v>134</v>
      </c>
    </row>
    <row r="21" spans="1:2" x14ac:dyDescent="0.25">
      <c r="A21" s="49">
        <v>785146455</v>
      </c>
      <c r="B21" s="49" t="s">
        <v>732</v>
      </c>
    </row>
    <row r="22" spans="1:2" x14ac:dyDescent="0.25">
      <c r="A22" s="49">
        <v>797826125</v>
      </c>
      <c r="B22" s="49" t="s">
        <v>1555</v>
      </c>
    </row>
    <row r="23" spans="1:2" x14ac:dyDescent="0.25">
      <c r="A23" s="49">
        <v>816551327</v>
      </c>
      <c r="B23" s="49" t="s">
        <v>593</v>
      </c>
    </row>
    <row r="24" spans="1:2" x14ac:dyDescent="0.25">
      <c r="A24" s="49">
        <v>896798212</v>
      </c>
      <c r="B24" s="49" t="s">
        <v>1584</v>
      </c>
    </row>
    <row r="25" spans="1:2" x14ac:dyDescent="0.25">
      <c r="A25" s="49">
        <v>899439803</v>
      </c>
      <c r="B25" s="49" t="s">
        <v>1211</v>
      </c>
    </row>
    <row r="26" spans="1:2" x14ac:dyDescent="0.25">
      <c r="A26" s="49">
        <v>900848885</v>
      </c>
      <c r="B26" s="49" t="s">
        <v>1398</v>
      </c>
    </row>
    <row r="27" spans="1:2" x14ac:dyDescent="0.25">
      <c r="A27" s="49">
        <v>913974247</v>
      </c>
      <c r="B27" s="49" t="s">
        <v>967</v>
      </c>
    </row>
    <row r="28" spans="1:2" x14ac:dyDescent="0.25">
      <c r="A28" s="49">
        <v>918964834</v>
      </c>
      <c r="B28" s="49" t="s">
        <v>94</v>
      </c>
    </row>
    <row r="29" spans="1:2" x14ac:dyDescent="0.25">
      <c r="A29" s="49">
        <v>919304917</v>
      </c>
      <c r="B29" s="49" t="s">
        <v>81</v>
      </c>
    </row>
    <row r="30" spans="1:2" x14ac:dyDescent="0.25">
      <c r="A30" s="49">
        <v>919477745</v>
      </c>
      <c r="B30" s="49" t="s">
        <v>87</v>
      </c>
    </row>
    <row r="31" spans="1:2" x14ac:dyDescent="0.25">
      <c r="A31" s="49">
        <v>1139367430</v>
      </c>
      <c r="B31" s="49" t="s">
        <v>264</v>
      </c>
    </row>
    <row r="32" spans="1:2" x14ac:dyDescent="0.25">
      <c r="A32" s="49">
        <v>1143961873</v>
      </c>
      <c r="B32" s="49" t="s">
        <v>1158</v>
      </c>
    </row>
    <row r="33" spans="1:2" x14ac:dyDescent="0.25">
      <c r="A33" s="49">
        <v>1159264842</v>
      </c>
      <c r="B33" s="49" t="s">
        <v>233</v>
      </c>
    </row>
    <row r="34" spans="1:2" x14ac:dyDescent="0.25">
      <c r="A34" s="49">
        <v>1160200673</v>
      </c>
      <c r="B34" s="49" t="s">
        <v>1136</v>
      </c>
    </row>
    <row r="35" spans="1:2" x14ac:dyDescent="0.25">
      <c r="A35" s="49">
        <v>1163398685</v>
      </c>
      <c r="B35" s="49" t="s">
        <v>1426</v>
      </c>
    </row>
    <row r="36" spans="1:2" x14ac:dyDescent="0.25">
      <c r="A36" s="49">
        <v>1339774338</v>
      </c>
      <c r="B36" s="49" t="s">
        <v>1748</v>
      </c>
    </row>
    <row r="37" spans="1:2" x14ac:dyDescent="0.25">
      <c r="A37" s="49">
        <v>1346088907</v>
      </c>
      <c r="B37" s="49" t="s">
        <v>1792</v>
      </c>
    </row>
    <row r="38" spans="1:2" x14ac:dyDescent="0.25">
      <c r="A38" s="49">
        <v>1355574604</v>
      </c>
      <c r="B38" s="49" t="s">
        <v>1804</v>
      </c>
    </row>
    <row r="39" spans="1:2" x14ac:dyDescent="0.25">
      <c r="A39" s="49">
        <v>1355397403</v>
      </c>
      <c r="B39" s="49" t="s">
        <v>1812</v>
      </c>
    </row>
    <row r="40" spans="1:2" x14ac:dyDescent="0.25">
      <c r="A40" s="49">
        <v>1362308831</v>
      </c>
      <c r="B40" s="49" t="s">
        <v>689</v>
      </c>
    </row>
    <row r="41" spans="1:2" x14ac:dyDescent="0.25">
      <c r="A41" s="49">
        <v>1447243148</v>
      </c>
      <c r="B41" s="49" t="s">
        <v>1479</v>
      </c>
    </row>
    <row r="42" spans="1:2" x14ac:dyDescent="0.25">
      <c r="A42" s="49">
        <v>897653764</v>
      </c>
      <c r="B42" s="49" t="s">
        <v>143</v>
      </c>
    </row>
    <row r="43" spans="1:2" x14ac:dyDescent="0.25">
      <c r="A43" s="49">
        <v>781352082</v>
      </c>
      <c r="B43" s="49" t="s">
        <v>614</v>
      </c>
    </row>
    <row r="44" spans="1:2" x14ac:dyDescent="0.25">
      <c r="A44" s="49">
        <v>857191948</v>
      </c>
      <c r="B44" s="49" t="s">
        <v>562</v>
      </c>
    </row>
    <row r="45" spans="1:2" x14ac:dyDescent="0.25">
      <c r="A45" s="49">
        <v>867157427</v>
      </c>
      <c r="B45" s="49" t="s">
        <v>1484</v>
      </c>
    </row>
    <row r="46" spans="1:2" x14ac:dyDescent="0.25">
      <c r="A46" s="49">
        <v>928742630</v>
      </c>
      <c r="B46" s="49" t="s">
        <v>1389</v>
      </c>
    </row>
    <row r="47" spans="1:2" x14ac:dyDescent="0.25">
      <c r="A47" s="49">
        <v>1109220393</v>
      </c>
      <c r="B47" s="49" t="s">
        <v>779</v>
      </c>
    </row>
    <row r="48" spans="1:2" x14ac:dyDescent="0.25">
      <c r="A48" s="49">
        <v>1147623733</v>
      </c>
      <c r="B48" s="49" t="s">
        <v>122</v>
      </c>
    </row>
    <row r="49" spans="1:2" x14ac:dyDescent="0.25">
      <c r="A49" s="49">
        <v>605724032</v>
      </c>
      <c r="B49" s="49" t="s">
        <v>297</v>
      </c>
    </row>
    <row r="50" spans="1:2" x14ac:dyDescent="0.25">
      <c r="A50" s="49">
        <v>605723994</v>
      </c>
      <c r="B50" s="49" t="s">
        <v>698</v>
      </c>
    </row>
    <row r="51" spans="1:2" x14ac:dyDescent="0.25">
      <c r="A51" s="49">
        <v>610134993</v>
      </c>
      <c r="B51" s="49" t="s">
        <v>639</v>
      </c>
    </row>
    <row r="52" spans="1:2" x14ac:dyDescent="0.25">
      <c r="A52" s="49">
        <v>641002407</v>
      </c>
      <c r="B52" s="49" t="s">
        <v>1436</v>
      </c>
    </row>
    <row r="53" spans="1:2" x14ac:dyDescent="0.25">
      <c r="A53" s="49">
        <v>664575569</v>
      </c>
      <c r="B53" s="49" t="s">
        <v>362</v>
      </c>
    </row>
    <row r="54" spans="1:2" x14ac:dyDescent="0.25">
      <c r="A54" s="49">
        <v>769139895</v>
      </c>
      <c r="B54" s="49" t="s">
        <v>522</v>
      </c>
    </row>
    <row r="55" spans="1:2" x14ac:dyDescent="0.25">
      <c r="A55" s="49">
        <v>777640986</v>
      </c>
      <c r="B55" s="49" t="s">
        <v>1076</v>
      </c>
    </row>
    <row r="56" spans="1:2" x14ac:dyDescent="0.25">
      <c r="A56" s="49">
        <v>778253019</v>
      </c>
      <c r="B56" s="49" t="s">
        <v>1087</v>
      </c>
    </row>
    <row r="57" spans="1:2" x14ac:dyDescent="0.25">
      <c r="A57" s="49">
        <v>835449804</v>
      </c>
      <c r="B57" s="49" t="s">
        <v>1361</v>
      </c>
    </row>
    <row r="58" spans="1:2" x14ac:dyDescent="0.25">
      <c r="A58" s="49">
        <v>876415571</v>
      </c>
      <c r="B58" s="49" t="s">
        <v>1142</v>
      </c>
    </row>
    <row r="59" spans="1:2" x14ac:dyDescent="0.25">
      <c r="A59" s="49">
        <v>935721473</v>
      </c>
      <c r="B59" s="49" t="s">
        <v>750</v>
      </c>
    </row>
    <row r="60" spans="1:2" x14ac:dyDescent="0.25">
      <c r="A60" s="49">
        <v>1114937784</v>
      </c>
      <c r="B60" s="49" t="s">
        <v>850</v>
      </c>
    </row>
    <row r="61" spans="1:2" x14ac:dyDescent="0.25">
      <c r="A61" s="49">
        <v>1133957885</v>
      </c>
      <c r="B61" s="49" t="s">
        <v>1366</v>
      </c>
    </row>
    <row r="62" spans="1:2" x14ac:dyDescent="0.25">
      <c r="A62" s="49">
        <v>1135385662</v>
      </c>
      <c r="B62" s="49" t="s">
        <v>160</v>
      </c>
    </row>
    <row r="63" spans="1:2" x14ac:dyDescent="0.25">
      <c r="A63" s="49">
        <v>1154798415</v>
      </c>
      <c r="B63" s="49" t="s">
        <v>1126</v>
      </c>
    </row>
    <row r="64" spans="1:2" x14ac:dyDescent="0.25">
      <c r="A64" s="49">
        <v>1167934199</v>
      </c>
      <c r="B64" s="49" t="s">
        <v>890</v>
      </c>
    </row>
    <row r="65" spans="1:2" x14ac:dyDescent="0.25">
      <c r="A65" s="49">
        <v>1170909844</v>
      </c>
      <c r="B65" s="49" t="s">
        <v>885</v>
      </c>
    </row>
    <row r="66" spans="1:2" x14ac:dyDescent="0.25">
      <c r="A66" s="49">
        <v>1182255263</v>
      </c>
      <c r="B66" s="49" t="s">
        <v>1710</v>
      </c>
    </row>
    <row r="67" spans="1:2" x14ac:dyDescent="0.25">
      <c r="A67" s="49">
        <v>1345715026</v>
      </c>
      <c r="B67" s="49" t="s">
        <v>1795</v>
      </c>
    </row>
    <row r="68" spans="1:2" x14ac:dyDescent="0.25">
      <c r="A68" s="49">
        <v>1355658155</v>
      </c>
      <c r="B68" s="49" t="s">
        <v>1805</v>
      </c>
    </row>
    <row r="69" spans="1:2" x14ac:dyDescent="0.25">
      <c r="A69" s="49">
        <v>1372775847</v>
      </c>
      <c r="B69" s="49" t="s">
        <v>1467</v>
      </c>
    </row>
    <row r="70" spans="1:2" x14ac:dyDescent="0.25">
      <c r="A70" s="49">
        <v>1447331208</v>
      </c>
      <c r="B70" s="49" t="s">
        <v>916</v>
      </c>
    </row>
    <row r="71" spans="1:2" x14ac:dyDescent="0.25">
      <c r="A71" s="49">
        <v>628581583</v>
      </c>
      <c r="B71" s="49" t="s">
        <v>221</v>
      </c>
    </row>
    <row r="72" spans="1:2" x14ac:dyDescent="0.25">
      <c r="A72" s="49">
        <v>899450099</v>
      </c>
      <c r="B72" s="49" t="s">
        <v>1171</v>
      </c>
    </row>
    <row r="73" spans="1:2" x14ac:dyDescent="0.25">
      <c r="A73" s="49">
        <v>643988726</v>
      </c>
      <c r="B73" s="49" t="s">
        <v>1022</v>
      </c>
    </row>
    <row r="74" spans="1:2" x14ac:dyDescent="0.25">
      <c r="A74" s="49">
        <v>762403361</v>
      </c>
      <c r="B74" s="49" t="s">
        <v>590</v>
      </c>
    </row>
    <row r="75" spans="1:2" x14ac:dyDescent="0.25">
      <c r="A75" s="49">
        <v>934692818</v>
      </c>
      <c r="B75" s="49" t="s">
        <v>1410</v>
      </c>
    </row>
    <row r="76" spans="1:2" x14ac:dyDescent="0.25">
      <c r="A76" s="49">
        <v>1141357424</v>
      </c>
      <c r="B76" s="49" t="s">
        <v>170</v>
      </c>
    </row>
    <row r="77" spans="1:2" x14ac:dyDescent="0.25">
      <c r="A77" s="49">
        <v>717909972</v>
      </c>
      <c r="B77" s="49" t="s">
        <v>800</v>
      </c>
    </row>
    <row r="78" spans="1:2" x14ac:dyDescent="0.25">
      <c r="A78" s="49">
        <v>776433239</v>
      </c>
      <c r="B78" s="49" t="s">
        <v>1516</v>
      </c>
    </row>
    <row r="79" spans="1:2" x14ac:dyDescent="0.25">
      <c r="A79" s="49">
        <v>776432093</v>
      </c>
      <c r="B79" s="49" t="s">
        <v>640</v>
      </c>
    </row>
    <row r="80" spans="1:2" x14ac:dyDescent="0.25">
      <c r="A80" s="49">
        <v>781329992</v>
      </c>
      <c r="B80" s="49" t="s">
        <v>1272</v>
      </c>
    </row>
    <row r="81" spans="1:2" x14ac:dyDescent="0.25">
      <c r="A81" s="49">
        <v>782119915</v>
      </c>
      <c r="B81" s="49" t="s">
        <v>1110</v>
      </c>
    </row>
    <row r="82" spans="1:2" x14ac:dyDescent="0.25">
      <c r="A82" s="49">
        <v>784367435</v>
      </c>
      <c r="B82" s="49" t="s">
        <v>686</v>
      </c>
    </row>
    <row r="83" spans="1:2" x14ac:dyDescent="0.25">
      <c r="A83" s="49">
        <v>789859725</v>
      </c>
      <c r="B83" s="49" t="s">
        <v>673</v>
      </c>
    </row>
    <row r="84" spans="1:2" x14ac:dyDescent="0.25">
      <c r="A84" s="49">
        <v>789857963</v>
      </c>
      <c r="B84" s="49" t="s">
        <v>148</v>
      </c>
    </row>
    <row r="85" spans="1:2" x14ac:dyDescent="0.25">
      <c r="A85" s="49">
        <v>792141819</v>
      </c>
      <c r="B85" s="49" t="s">
        <v>613</v>
      </c>
    </row>
    <row r="86" spans="1:2" x14ac:dyDescent="0.25">
      <c r="A86" s="49">
        <v>875610277</v>
      </c>
      <c r="B86" s="49" t="s">
        <v>545</v>
      </c>
    </row>
    <row r="87" spans="1:2" x14ac:dyDescent="0.25">
      <c r="A87" s="49">
        <v>876037019</v>
      </c>
      <c r="B87" s="49" t="s">
        <v>542</v>
      </c>
    </row>
    <row r="88" spans="1:2" x14ac:dyDescent="0.25">
      <c r="A88" s="49">
        <v>906180400</v>
      </c>
      <c r="B88" s="49" t="s">
        <v>58</v>
      </c>
    </row>
    <row r="89" spans="1:2" x14ac:dyDescent="0.25">
      <c r="A89" s="49">
        <v>933865534</v>
      </c>
      <c r="B89" s="49" t="s">
        <v>367</v>
      </c>
    </row>
    <row r="90" spans="1:2" x14ac:dyDescent="0.25">
      <c r="A90" s="49">
        <v>935705750</v>
      </c>
      <c r="B90" s="49" t="s">
        <v>717</v>
      </c>
    </row>
    <row r="91" spans="1:2" x14ac:dyDescent="0.25">
      <c r="A91" s="49">
        <v>936053960</v>
      </c>
      <c r="B91" s="49" t="s">
        <v>156</v>
      </c>
    </row>
    <row r="92" spans="1:2" x14ac:dyDescent="0.25">
      <c r="A92" s="49">
        <v>1105675981</v>
      </c>
      <c r="B92" s="49" t="s">
        <v>1663</v>
      </c>
    </row>
    <row r="93" spans="1:2" x14ac:dyDescent="0.25">
      <c r="A93" s="49">
        <v>1159034292</v>
      </c>
      <c r="B93" s="49" t="s">
        <v>1277</v>
      </c>
    </row>
    <row r="94" spans="1:2" x14ac:dyDescent="0.25">
      <c r="A94" s="49">
        <v>1249850640</v>
      </c>
      <c r="B94" s="49" t="s">
        <v>1591</v>
      </c>
    </row>
    <row r="95" spans="1:2" x14ac:dyDescent="0.25">
      <c r="A95" s="49">
        <v>1340806861</v>
      </c>
      <c r="B95" s="49" t="s">
        <v>1759</v>
      </c>
    </row>
    <row r="96" spans="1:2" x14ac:dyDescent="0.25">
      <c r="A96" s="49">
        <v>1355656511</v>
      </c>
      <c r="B96" s="49" t="s">
        <v>1811</v>
      </c>
    </row>
    <row r="97" spans="1:2" x14ac:dyDescent="0.25">
      <c r="A97" s="49">
        <v>1370151852</v>
      </c>
      <c r="B97" s="49" t="s">
        <v>804</v>
      </c>
    </row>
    <row r="98" spans="1:2" x14ac:dyDescent="0.25">
      <c r="A98" s="49">
        <v>1381646934</v>
      </c>
      <c r="B98" s="49" t="s">
        <v>119</v>
      </c>
    </row>
    <row r="99" spans="1:2" x14ac:dyDescent="0.25">
      <c r="A99" s="49">
        <v>1437755788</v>
      </c>
      <c r="B99" s="49" t="s">
        <v>3671</v>
      </c>
    </row>
    <row r="100" spans="1:2" x14ac:dyDescent="0.25">
      <c r="A100" s="49">
        <v>799731389</v>
      </c>
      <c r="B100" s="49" t="s">
        <v>1444</v>
      </c>
    </row>
    <row r="101" spans="1:2" x14ac:dyDescent="0.25">
      <c r="A101" s="49">
        <v>878726288</v>
      </c>
      <c r="B101" s="49" t="s">
        <v>1688</v>
      </c>
    </row>
    <row r="102" spans="1:2" x14ac:dyDescent="0.25">
      <c r="A102" s="49">
        <v>882732641</v>
      </c>
      <c r="B102" s="49" t="s">
        <v>1105</v>
      </c>
    </row>
    <row r="103" spans="1:2" x14ac:dyDescent="0.25">
      <c r="A103" s="49">
        <v>1121178996</v>
      </c>
      <c r="B103" s="49" t="s">
        <v>1680</v>
      </c>
    </row>
    <row r="104" spans="1:2" x14ac:dyDescent="0.25">
      <c r="A104" s="49">
        <v>1198366875</v>
      </c>
      <c r="B104" s="49" t="s">
        <v>1840</v>
      </c>
    </row>
    <row r="105" spans="1:2" x14ac:dyDescent="0.25">
      <c r="A105" s="49">
        <v>1256019401</v>
      </c>
      <c r="B105" s="49" t="s">
        <v>1723</v>
      </c>
    </row>
    <row r="106" spans="1:2" x14ac:dyDescent="0.25">
      <c r="A106" s="49">
        <v>668487918</v>
      </c>
      <c r="B106" s="49" t="s">
        <v>1459</v>
      </c>
    </row>
    <row r="107" spans="1:2" x14ac:dyDescent="0.25">
      <c r="A107" s="49">
        <v>1344848291</v>
      </c>
      <c r="B107" s="49" t="s">
        <v>1345</v>
      </c>
    </row>
    <row r="108" spans="1:2" x14ac:dyDescent="0.25">
      <c r="A108" s="49">
        <v>605724234</v>
      </c>
      <c r="B108" s="49" t="s">
        <v>709</v>
      </c>
    </row>
    <row r="109" spans="1:2" x14ac:dyDescent="0.25">
      <c r="A109" s="49">
        <v>626673390</v>
      </c>
      <c r="B109" s="49" t="s">
        <v>458</v>
      </c>
    </row>
    <row r="110" spans="1:2" x14ac:dyDescent="0.25">
      <c r="A110" s="49">
        <v>648646487</v>
      </c>
      <c r="B110" s="49" t="s">
        <v>637</v>
      </c>
    </row>
    <row r="111" spans="1:2" x14ac:dyDescent="0.25">
      <c r="A111" s="49">
        <v>696113702</v>
      </c>
      <c r="B111" s="49" t="s">
        <v>1473</v>
      </c>
    </row>
    <row r="112" spans="1:2" x14ac:dyDescent="0.25">
      <c r="A112" s="49">
        <v>712794484</v>
      </c>
      <c r="B112" s="49" t="s">
        <v>1104</v>
      </c>
    </row>
    <row r="113" spans="1:2" x14ac:dyDescent="0.25">
      <c r="A113" s="49">
        <v>747438069</v>
      </c>
      <c r="B113" s="49" t="s">
        <v>1468</v>
      </c>
    </row>
    <row r="114" spans="1:2" x14ac:dyDescent="0.25">
      <c r="A114" s="49">
        <v>758403743</v>
      </c>
      <c r="B114" s="49" t="s">
        <v>903</v>
      </c>
    </row>
    <row r="115" spans="1:2" x14ac:dyDescent="0.25">
      <c r="A115" s="49">
        <v>766943545</v>
      </c>
      <c r="B115" s="49" t="s">
        <v>199</v>
      </c>
    </row>
    <row r="116" spans="1:2" x14ac:dyDescent="0.25">
      <c r="A116" s="49">
        <v>778004505</v>
      </c>
      <c r="B116" s="49" t="s">
        <v>365</v>
      </c>
    </row>
    <row r="117" spans="1:2" x14ac:dyDescent="0.25">
      <c r="A117" s="49">
        <v>779465056</v>
      </c>
      <c r="B117" s="49" t="s">
        <v>615</v>
      </c>
    </row>
    <row r="118" spans="1:2" x14ac:dyDescent="0.25">
      <c r="A118" s="49">
        <v>792142254</v>
      </c>
      <c r="B118" s="49" t="s">
        <v>628</v>
      </c>
    </row>
    <row r="119" spans="1:2" x14ac:dyDescent="0.25">
      <c r="A119" s="49">
        <v>839667809</v>
      </c>
      <c r="B119" s="49" t="s">
        <v>1247</v>
      </c>
    </row>
    <row r="120" spans="1:2" x14ac:dyDescent="0.25">
      <c r="A120" s="49">
        <v>878206232</v>
      </c>
      <c r="B120" s="49" t="s">
        <v>952</v>
      </c>
    </row>
    <row r="121" spans="1:2" x14ac:dyDescent="0.25">
      <c r="A121" s="49">
        <v>928521998</v>
      </c>
      <c r="B121" s="49" t="s">
        <v>1437</v>
      </c>
    </row>
    <row r="122" spans="1:2" x14ac:dyDescent="0.25">
      <c r="A122" s="49">
        <v>928521703</v>
      </c>
      <c r="B122" s="49" t="s">
        <v>1601</v>
      </c>
    </row>
    <row r="123" spans="1:2" x14ac:dyDescent="0.25">
      <c r="A123" s="49">
        <v>929147681</v>
      </c>
      <c r="B123" s="49" t="s">
        <v>1600</v>
      </c>
    </row>
    <row r="124" spans="1:2" x14ac:dyDescent="0.25">
      <c r="A124" s="49">
        <v>1124166791</v>
      </c>
      <c r="B124" s="49" t="s">
        <v>1729</v>
      </c>
    </row>
    <row r="125" spans="1:2" x14ac:dyDescent="0.25">
      <c r="A125" s="49">
        <v>1344980799</v>
      </c>
      <c r="B125" s="49" t="s">
        <v>67</v>
      </c>
    </row>
    <row r="126" spans="1:2" x14ac:dyDescent="0.25">
      <c r="A126" s="49">
        <v>1346460900</v>
      </c>
      <c r="B126" s="49" t="s">
        <v>1803</v>
      </c>
    </row>
    <row r="127" spans="1:2" x14ac:dyDescent="0.25">
      <c r="A127" s="49">
        <v>1423230378</v>
      </c>
      <c r="B127" s="49" t="s">
        <v>98</v>
      </c>
    </row>
    <row r="128" spans="1:2" x14ac:dyDescent="0.25">
      <c r="A128" s="49">
        <v>1374631639</v>
      </c>
      <c r="B128" s="49" t="s">
        <v>3672</v>
      </c>
    </row>
    <row r="129" spans="1:2" x14ac:dyDescent="0.25">
      <c r="A129" s="49">
        <v>886828328</v>
      </c>
      <c r="B129" s="49" t="s">
        <v>1449</v>
      </c>
    </row>
    <row r="130" spans="1:2" x14ac:dyDescent="0.25">
      <c r="A130" s="49">
        <v>1136209127</v>
      </c>
      <c r="B130" s="49" t="s">
        <v>1347</v>
      </c>
    </row>
    <row r="131" spans="1:2" x14ac:dyDescent="0.25">
      <c r="A131" s="49">
        <v>641024856</v>
      </c>
      <c r="B131" s="49" t="s">
        <v>1528</v>
      </c>
    </row>
    <row r="132" spans="1:2" x14ac:dyDescent="0.25">
      <c r="A132" s="49">
        <v>1359565631</v>
      </c>
      <c r="B132" s="49" t="s">
        <v>1814</v>
      </c>
    </row>
    <row r="133" spans="1:2" x14ac:dyDescent="0.25">
      <c r="A133" s="49">
        <v>608894995</v>
      </c>
      <c r="B133" s="49" t="s">
        <v>436</v>
      </c>
    </row>
    <row r="134" spans="1:2" x14ac:dyDescent="0.25">
      <c r="A134" s="49">
        <v>618904416</v>
      </c>
      <c r="B134" s="49" t="s">
        <v>481</v>
      </c>
    </row>
    <row r="135" spans="1:2" x14ac:dyDescent="0.25">
      <c r="A135" s="49">
        <v>643742905</v>
      </c>
      <c r="B135" s="49" t="s">
        <v>1655</v>
      </c>
    </row>
    <row r="136" spans="1:2" x14ac:dyDescent="0.25">
      <c r="A136" s="49">
        <v>644317639</v>
      </c>
      <c r="B136" s="49" t="s">
        <v>204</v>
      </c>
    </row>
    <row r="137" spans="1:2" x14ac:dyDescent="0.25">
      <c r="A137" s="49">
        <v>696091596</v>
      </c>
      <c r="B137" s="49" t="s">
        <v>1467</v>
      </c>
    </row>
    <row r="138" spans="1:2" x14ac:dyDescent="0.25">
      <c r="A138" s="49">
        <v>756968634</v>
      </c>
      <c r="B138" s="49" t="s">
        <v>994</v>
      </c>
    </row>
    <row r="139" spans="1:2" x14ac:dyDescent="0.25">
      <c r="A139" s="49">
        <v>776432393</v>
      </c>
      <c r="B139" s="49" t="s">
        <v>667</v>
      </c>
    </row>
    <row r="140" spans="1:2" x14ac:dyDescent="0.25">
      <c r="A140" s="49">
        <v>780835754</v>
      </c>
      <c r="B140" s="49" t="s">
        <v>404</v>
      </c>
    </row>
    <row r="141" spans="1:2" x14ac:dyDescent="0.25">
      <c r="A141" s="49">
        <v>781291330</v>
      </c>
      <c r="B141" s="49" t="s">
        <v>537</v>
      </c>
    </row>
    <row r="142" spans="1:2" x14ac:dyDescent="0.25">
      <c r="A142" s="49">
        <v>781285617</v>
      </c>
      <c r="B142" s="49" t="s">
        <v>610</v>
      </c>
    </row>
    <row r="143" spans="1:2" x14ac:dyDescent="0.25">
      <c r="A143" s="49">
        <v>782169945</v>
      </c>
      <c r="B143" s="49" t="s">
        <v>323</v>
      </c>
    </row>
    <row r="144" spans="1:2" x14ac:dyDescent="0.25">
      <c r="A144" s="49">
        <v>782267574</v>
      </c>
      <c r="B144" s="49" t="s">
        <v>363</v>
      </c>
    </row>
    <row r="145" spans="1:2" x14ac:dyDescent="0.25">
      <c r="A145" s="49">
        <v>795093127</v>
      </c>
      <c r="B145" s="49" t="s">
        <v>98</v>
      </c>
    </row>
    <row r="146" spans="1:2" x14ac:dyDescent="0.25">
      <c r="A146" s="49">
        <v>801585771</v>
      </c>
      <c r="B146" s="49" t="s">
        <v>1116</v>
      </c>
    </row>
    <row r="147" spans="1:2" x14ac:dyDescent="0.25">
      <c r="A147" s="49">
        <v>816551808</v>
      </c>
      <c r="B147" s="49" t="s">
        <v>717</v>
      </c>
    </row>
    <row r="148" spans="1:2" x14ac:dyDescent="0.25">
      <c r="A148" s="49">
        <v>912757073</v>
      </c>
      <c r="B148" s="49" t="s">
        <v>598</v>
      </c>
    </row>
    <row r="149" spans="1:2" x14ac:dyDescent="0.25">
      <c r="A149" s="49">
        <v>1134948264</v>
      </c>
      <c r="B149" s="49" t="s">
        <v>114</v>
      </c>
    </row>
    <row r="150" spans="1:2" x14ac:dyDescent="0.25">
      <c r="A150" s="49">
        <v>1159180754</v>
      </c>
      <c r="B150" s="49" t="s">
        <v>234</v>
      </c>
    </row>
    <row r="151" spans="1:2" x14ac:dyDescent="0.25">
      <c r="A151" s="49">
        <v>1159148490</v>
      </c>
      <c r="B151" s="49" t="s">
        <v>235</v>
      </c>
    </row>
    <row r="152" spans="1:2" x14ac:dyDescent="0.25">
      <c r="A152" s="49">
        <v>1165107117</v>
      </c>
      <c r="B152" s="49" t="s">
        <v>1194</v>
      </c>
    </row>
    <row r="153" spans="1:2" x14ac:dyDescent="0.25">
      <c r="A153" s="49">
        <v>1281977269</v>
      </c>
      <c r="B153" s="49" t="s">
        <v>1416</v>
      </c>
    </row>
    <row r="154" spans="1:2" x14ac:dyDescent="0.25">
      <c r="A154" s="49">
        <v>1289223128</v>
      </c>
      <c r="B154" s="49" t="s">
        <v>65</v>
      </c>
    </row>
    <row r="155" spans="1:2" x14ac:dyDescent="0.25">
      <c r="A155" s="49">
        <v>1372487829</v>
      </c>
      <c r="B155" s="49" t="s">
        <v>1837</v>
      </c>
    </row>
    <row r="156" spans="1:2" x14ac:dyDescent="0.25">
      <c r="A156" s="49">
        <v>766886950</v>
      </c>
      <c r="B156" s="49" t="s">
        <v>1015</v>
      </c>
    </row>
    <row r="157" spans="1:2" x14ac:dyDescent="0.25">
      <c r="A157" s="49">
        <v>689719613</v>
      </c>
      <c r="B157" s="49" t="s">
        <v>1305</v>
      </c>
    </row>
    <row r="158" spans="1:2" x14ac:dyDescent="0.25">
      <c r="A158" s="49">
        <v>1147598991</v>
      </c>
      <c r="B158" s="49" t="s">
        <v>122</v>
      </c>
    </row>
    <row r="159" spans="1:2" x14ac:dyDescent="0.25">
      <c r="A159" s="49">
        <v>1157512051</v>
      </c>
      <c r="B159" s="49" t="s">
        <v>1598</v>
      </c>
    </row>
    <row r="160" spans="1:2" x14ac:dyDescent="0.25">
      <c r="A160" s="49">
        <v>1298809939</v>
      </c>
      <c r="B160" s="49" t="s">
        <v>1735</v>
      </c>
    </row>
    <row r="161" spans="1:2" x14ac:dyDescent="0.25">
      <c r="A161" s="49">
        <v>608438254</v>
      </c>
      <c r="B161" s="49" t="s">
        <v>1266</v>
      </c>
    </row>
    <row r="162" spans="1:2" x14ac:dyDescent="0.25">
      <c r="A162" s="49">
        <v>628578964</v>
      </c>
      <c r="B162" s="49" t="s">
        <v>1196</v>
      </c>
    </row>
    <row r="163" spans="1:2" x14ac:dyDescent="0.25">
      <c r="A163" s="49">
        <v>636199522</v>
      </c>
      <c r="B163" s="49" t="s">
        <v>365</v>
      </c>
    </row>
    <row r="164" spans="1:2" x14ac:dyDescent="0.25">
      <c r="A164" s="49">
        <v>660268301</v>
      </c>
      <c r="B164" s="49" t="s">
        <v>187</v>
      </c>
    </row>
    <row r="165" spans="1:2" x14ac:dyDescent="0.25">
      <c r="A165" s="49">
        <v>695614022</v>
      </c>
      <c r="B165" s="49" t="s">
        <v>1228</v>
      </c>
    </row>
    <row r="166" spans="1:2" x14ac:dyDescent="0.25">
      <c r="A166" s="49">
        <v>778014573</v>
      </c>
      <c r="B166" s="49" t="s">
        <v>782</v>
      </c>
    </row>
    <row r="167" spans="1:2" x14ac:dyDescent="0.25">
      <c r="A167" s="49">
        <v>782168584</v>
      </c>
      <c r="B167" s="49" t="s">
        <v>323</v>
      </c>
    </row>
    <row r="168" spans="1:2" x14ac:dyDescent="0.25">
      <c r="A168" s="49">
        <v>783657101</v>
      </c>
      <c r="B168" s="49" t="s">
        <v>619</v>
      </c>
    </row>
    <row r="169" spans="1:2" x14ac:dyDescent="0.25">
      <c r="A169" s="49">
        <v>789860007</v>
      </c>
      <c r="B169" s="49" t="s">
        <v>663</v>
      </c>
    </row>
    <row r="170" spans="1:2" x14ac:dyDescent="0.25">
      <c r="A170" s="49">
        <v>821720616</v>
      </c>
      <c r="B170" s="49" t="s">
        <v>513</v>
      </c>
    </row>
    <row r="171" spans="1:2" x14ac:dyDescent="0.25">
      <c r="A171" s="49">
        <v>826453991</v>
      </c>
      <c r="B171" s="49" t="s">
        <v>269</v>
      </c>
    </row>
    <row r="172" spans="1:2" x14ac:dyDescent="0.25">
      <c r="A172" s="49">
        <v>842604901</v>
      </c>
      <c r="B172" s="49" t="s">
        <v>1068</v>
      </c>
    </row>
    <row r="173" spans="1:2" x14ac:dyDescent="0.25">
      <c r="A173" s="49">
        <v>842703559</v>
      </c>
      <c r="B173" s="49" t="s">
        <v>1068</v>
      </c>
    </row>
    <row r="174" spans="1:2" x14ac:dyDescent="0.25">
      <c r="A174" s="49">
        <v>860111913</v>
      </c>
      <c r="B174" s="49" t="s">
        <v>1651</v>
      </c>
    </row>
    <row r="175" spans="1:2" x14ac:dyDescent="0.25">
      <c r="A175" s="49">
        <v>907327782</v>
      </c>
      <c r="B175" s="49" t="s">
        <v>1394</v>
      </c>
    </row>
    <row r="176" spans="1:2" x14ac:dyDescent="0.25">
      <c r="A176" s="49">
        <v>928526773</v>
      </c>
      <c r="B176" s="49" t="s">
        <v>1510</v>
      </c>
    </row>
    <row r="177" spans="1:2" x14ac:dyDescent="0.25">
      <c r="A177" s="49">
        <v>1105749602</v>
      </c>
      <c r="B177" s="49" t="s">
        <v>1678</v>
      </c>
    </row>
    <row r="178" spans="1:2" x14ac:dyDescent="0.25">
      <c r="A178" s="49">
        <v>1105726440</v>
      </c>
      <c r="B178" s="49" t="s">
        <v>62</v>
      </c>
    </row>
    <row r="179" spans="1:2" x14ac:dyDescent="0.25">
      <c r="A179" s="49">
        <v>1143227906</v>
      </c>
      <c r="B179" s="49" t="s">
        <v>1122</v>
      </c>
    </row>
    <row r="180" spans="1:2" x14ac:dyDescent="0.25">
      <c r="A180" s="49">
        <v>1150858786</v>
      </c>
      <c r="B180" s="49" t="s">
        <v>277</v>
      </c>
    </row>
    <row r="181" spans="1:2" x14ac:dyDescent="0.25">
      <c r="A181" s="49">
        <v>1342836457</v>
      </c>
      <c r="B181" s="49" t="s">
        <v>1772</v>
      </c>
    </row>
    <row r="182" spans="1:2" x14ac:dyDescent="0.25">
      <c r="A182" s="49">
        <v>1344474694</v>
      </c>
      <c r="B182" s="49" t="s">
        <v>1032</v>
      </c>
    </row>
    <row r="183" spans="1:2" x14ac:dyDescent="0.25">
      <c r="A183" s="49">
        <v>1344895536</v>
      </c>
      <c r="B183" s="49" t="s">
        <v>1783</v>
      </c>
    </row>
    <row r="184" spans="1:2" x14ac:dyDescent="0.25">
      <c r="A184" s="49">
        <v>1363859187</v>
      </c>
      <c r="B184" s="49" t="s">
        <v>153</v>
      </c>
    </row>
    <row r="185" spans="1:2" x14ac:dyDescent="0.25">
      <c r="A185" s="49">
        <v>1374484457</v>
      </c>
      <c r="B185" s="49" t="s">
        <v>1791</v>
      </c>
    </row>
    <row r="186" spans="1:2" x14ac:dyDescent="0.25">
      <c r="A186" s="49">
        <v>776561770</v>
      </c>
      <c r="B186" s="63" t="s">
        <v>585</v>
      </c>
    </row>
    <row r="187" spans="1:2" x14ac:dyDescent="0.25">
      <c r="A187" s="49">
        <v>906191472</v>
      </c>
      <c r="B187" s="49" t="s">
        <v>1681</v>
      </c>
    </row>
    <row r="188" spans="1:2" x14ac:dyDescent="0.25">
      <c r="A188" s="49">
        <v>766944531</v>
      </c>
      <c r="B188" s="49" t="s">
        <v>184</v>
      </c>
    </row>
    <row r="189" spans="1:2" x14ac:dyDescent="0.25">
      <c r="A189" s="49">
        <v>757866345</v>
      </c>
      <c r="B189" s="49" t="s">
        <v>1447</v>
      </c>
    </row>
    <row r="190" spans="1:2" x14ac:dyDescent="0.25">
      <c r="A190" s="49">
        <v>1136248023</v>
      </c>
      <c r="B190" s="49" t="s">
        <v>1608</v>
      </c>
    </row>
    <row r="191" spans="1:2" x14ac:dyDescent="0.25">
      <c r="A191" s="49">
        <v>648180271</v>
      </c>
      <c r="B191" s="49" t="s">
        <v>725</v>
      </c>
    </row>
    <row r="192" spans="1:2" x14ac:dyDescent="0.25">
      <c r="A192" s="49">
        <v>799471830</v>
      </c>
      <c r="B192" s="49" t="s">
        <v>1428</v>
      </c>
    </row>
    <row r="193" spans="1:2" x14ac:dyDescent="0.25">
      <c r="A193" s="49">
        <v>608894987</v>
      </c>
      <c r="B193" s="49" t="s">
        <v>290</v>
      </c>
    </row>
    <row r="194" spans="1:2" x14ac:dyDescent="0.25">
      <c r="A194" s="49">
        <v>618902854</v>
      </c>
      <c r="B194" s="49" t="s">
        <v>459</v>
      </c>
    </row>
    <row r="195" spans="1:2" x14ac:dyDescent="0.25">
      <c r="A195" s="49">
        <v>701394482</v>
      </c>
      <c r="B195" s="49" t="s">
        <v>500</v>
      </c>
    </row>
    <row r="196" spans="1:2" x14ac:dyDescent="0.25">
      <c r="A196" s="49">
        <v>701728585</v>
      </c>
      <c r="B196" s="49" t="s">
        <v>349</v>
      </c>
    </row>
    <row r="197" spans="1:2" x14ac:dyDescent="0.25">
      <c r="A197" s="49">
        <v>711708355</v>
      </c>
      <c r="B197" s="49" t="s">
        <v>736</v>
      </c>
    </row>
    <row r="198" spans="1:2" x14ac:dyDescent="0.25">
      <c r="A198" s="49">
        <v>717892483</v>
      </c>
      <c r="B198" s="49" t="s">
        <v>809</v>
      </c>
    </row>
    <row r="199" spans="1:2" x14ac:dyDescent="0.25">
      <c r="A199" s="49">
        <v>762069047</v>
      </c>
      <c r="B199" s="49" t="s">
        <v>3665</v>
      </c>
    </row>
    <row r="200" spans="1:2" x14ac:dyDescent="0.25">
      <c r="A200" s="49">
        <v>778012852</v>
      </c>
      <c r="B200" s="49" t="s">
        <v>807</v>
      </c>
    </row>
    <row r="201" spans="1:2" x14ac:dyDescent="0.25">
      <c r="A201" s="49">
        <v>780817961</v>
      </c>
      <c r="B201" s="49" t="s">
        <v>654</v>
      </c>
    </row>
    <row r="202" spans="1:2" x14ac:dyDescent="0.25">
      <c r="A202" s="49">
        <v>782128415</v>
      </c>
      <c r="B202" s="49" t="s">
        <v>1334</v>
      </c>
    </row>
    <row r="203" spans="1:2" x14ac:dyDescent="0.25">
      <c r="A203" s="49">
        <v>784349490</v>
      </c>
      <c r="B203" s="49" t="s">
        <v>685</v>
      </c>
    </row>
    <row r="204" spans="1:2" x14ac:dyDescent="0.25">
      <c r="A204" s="49">
        <v>792120445</v>
      </c>
      <c r="B204" s="49" t="s">
        <v>1662</v>
      </c>
    </row>
    <row r="205" spans="1:2" x14ac:dyDescent="0.25">
      <c r="A205" s="49">
        <v>835797841</v>
      </c>
      <c r="B205" s="49" t="s">
        <v>1705</v>
      </c>
    </row>
    <row r="206" spans="1:2" x14ac:dyDescent="0.25">
      <c r="A206" s="49">
        <v>868765733</v>
      </c>
      <c r="B206" s="49" t="s">
        <v>388</v>
      </c>
    </row>
    <row r="207" spans="1:2" x14ac:dyDescent="0.25">
      <c r="A207" s="49">
        <v>918966461</v>
      </c>
      <c r="B207" s="49" t="s">
        <v>97</v>
      </c>
    </row>
    <row r="208" spans="1:2" x14ac:dyDescent="0.25">
      <c r="A208" s="49">
        <v>919294542</v>
      </c>
      <c r="B208" s="49" t="s">
        <v>73</v>
      </c>
    </row>
    <row r="209" spans="1:2" x14ac:dyDescent="0.25">
      <c r="A209" s="49">
        <v>928522008</v>
      </c>
      <c r="B209" s="49" t="s">
        <v>1022</v>
      </c>
    </row>
    <row r="210" spans="1:2" x14ac:dyDescent="0.25">
      <c r="A210" s="49">
        <v>928912468</v>
      </c>
      <c r="B210" s="49" t="s">
        <v>1509</v>
      </c>
    </row>
    <row r="211" spans="1:2" x14ac:dyDescent="0.25">
      <c r="A211" s="49">
        <v>1105212560</v>
      </c>
      <c r="B211" s="49" t="s">
        <v>861</v>
      </c>
    </row>
    <row r="212" spans="1:2" x14ac:dyDescent="0.25">
      <c r="A212" s="49">
        <v>1158124882</v>
      </c>
      <c r="B212" s="49" t="s">
        <v>241</v>
      </c>
    </row>
    <row r="213" spans="1:2" x14ac:dyDescent="0.25">
      <c r="A213" s="49">
        <v>1338601265</v>
      </c>
      <c r="B213" s="49" t="s">
        <v>1742</v>
      </c>
    </row>
    <row r="214" spans="1:2" x14ac:dyDescent="0.25">
      <c r="A214" s="49">
        <v>1356032273</v>
      </c>
      <c r="B214" s="49" t="s">
        <v>1810</v>
      </c>
    </row>
    <row r="215" spans="1:2" x14ac:dyDescent="0.25">
      <c r="A215" s="49">
        <v>1362382937</v>
      </c>
      <c r="B215" s="49" t="s">
        <v>1073</v>
      </c>
    </row>
    <row r="216" spans="1:2" x14ac:dyDescent="0.25">
      <c r="A216" s="49">
        <v>622549400</v>
      </c>
      <c r="B216" s="49" t="s">
        <v>1049</v>
      </c>
    </row>
    <row r="217" spans="1:2" x14ac:dyDescent="0.25">
      <c r="A217" s="49">
        <v>898255072</v>
      </c>
      <c r="B217" s="49" t="s">
        <v>1544</v>
      </c>
    </row>
    <row r="218" spans="1:2" x14ac:dyDescent="0.25">
      <c r="A218" s="49">
        <v>776734079</v>
      </c>
      <c r="B218" s="49" t="s">
        <v>1550</v>
      </c>
    </row>
    <row r="219" spans="1:2" x14ac:dyDescent="0.25">
      <c r="A219" s="49">
        <v>780835117</v>
      </c>
      <c r="B219" s="49" t="s">
        <v>427</v>
      </c>
    </row>
    <row r="220" spans="1:2" x14ac:dyDescent="0.25">
      <c r="A220" s="49">
        <v>1121239222</v>
      </c>
      <c r="B220" s="49" t="s">
        <v>500</v>
      </c>
    </row>
    <row r="221" spans="1:2" x14ac:dyDescent="0.25">
      <c r="A221" s="49">
        <v>1126140228</v>
      </c>
      <c r="B221" s="49" t="s">
        <v>3656</v>
      </c>
    </row>
    <row r="222" spans="1:2" x14ac:dyDescent="0.25">
      <c r="A222" s="49">
        <v>1128933844</v>
      </c>
      <c r="B222" s="49" t="s">
        <v>923</v>
      </c>
    </row>
    <row r="223" spans="1:2" x14ac:dyDescent="0.25">
      <c r="A223" s="49">
        <v>1147122353</v>
      </c>
      <c r="B223" s="49" t="s">
        <v>1524</v>
      </c>
    </row>
    <row r="224" spans="1:2" x14ac:dyDescent="0.25">
      <c r="A224" s="49">
        <v>644399991</v>
      </c>
      <c r="B224" s="49" t="s">
        <v>248</v>
      </c>
    </row>
    <row r="225" spans="1:2" x14ac:dyDescent="0.25">
      <c r="A225" s="49">
        <v>659247643</v>
      </c>
      <c r="B225" s="49" t="s">
        <v>1090</v>
      </c>
    </row>
    <row r="226" spans="1:2" x14ac:dyDescent="0.25">
      <c r="A226" s="49">
        <v>743637955</v>
      </c>
      <c r="B226" s="49" t="s">
        <v>652</v>
      </c>
    </row>
    <row r="227" spans="1:2" x14ac:dyDescent="0.25">
      <c r="A227" s="49">
        <v>759930004</v>
      </c>
      <c r="B227" s="49" t="s">
        <v>230</v>
      </c>
    </row>
    <row r="228" spans="1:2" x14ac:dyDescent="0.25">
      <c r="A228" s="49">
        <v>768724033</v>
      </c>
      <c r="B228" s="49" t="s">
        <v>255</v>
      </c>
    </row>
    <row r="229" spans="1:2" x14ac:dyDescent="0.25">
      <c r="A229" s="49">
        <v>776742175</v>
      </c>
      <c r="B229" s="49" t="s">
        <v>1241</v>
      </c>
    </row>
    <row r="230" spans="1:2" x14ac:dyDescent="0.25">
      <c r="A230" s="49">
        <v>777586051</v>
      </c>
      <c r="B230" s="49" t="s">
        <v>692</v>
      </c>
    </row>
    <row r="231" spans="1:2" x14ac:dyDescent="0.25">
      <c r="A231" s="49">
        <v>779461733</v>
      </c>
      <c r="B231" s="49" t="s">
        <v>288</v>
      </c>
    </row>
    <row r="232" spans="1:2" x14ac:dyDescent="0.25">
      <c r="A232" s="49">
        <v>779902597</v>
      </c>
      <c r="B232" s="49" t="s">
        <v>544</v>
      </c>
    </row>
    <row r="233" spans="1:2" x14ac:dyDescent="0.25">
      <c r="A233" s="49">
        <v>781930479</v>
      </c>
      <c r="B233" s="49" t="s">
        <v>1336</v>
      </c>
    </row>
    <row r="234" spans="1:2" x14ac:dyDescent="0.25">
      <c r="A234" s="49">
        <v>782127268</v>
      </c>
      <c r="B234" s="49" t="s">
        <v>1164</v>
      </c>
    </row>
    <row r="235" spans="1:2" x14ac:dyDescent="0.25">
      <c r="A235" s="49">
        <v>785395471</v>
      </c>
      <c r="B235" s="49" t="s">
        <v>769</v>
      </c>
    </row>
    <row r="236" spans="1:2" x14ac:dyDescent="0.25">
      <c r="A236" s="49">
        <v>816538274</v>
      </c>
      <c r="B236" s="49" t="s">
        <v>1331</v>
      </c>
    </row>
    <row r="237" spans="1:2" x14ac:dyDescent="0.25">
      <c r="A237" s="49">
        <v>860121061</v>
      </c>
      <c r="B237" s="49" t="s">
        <v>924</v>
      </c>
    </row>
    <row r="238" spans="1:2" x14ac:dyDescent="0.25">
      <c r="A238" s="49">
        <v>863227568</v>
      </c>
      <c r="B238" s="49" t="s">
        <v>1621</v>
      </c>
    </row>
    <row r="239" spans="1:2" x14ac:dyDescent="0.25">
      <c r="A239" s="49">
        <v>868112734</v>
      </c>
      <c r="B239" s="49" t="s">
        <v>379</v>
      </c>
    </row>
    <row r="240" spans="1:2" x14ac:dyDescent="0.25">
      <c r="A240" s="49">
        <v>877476782</v>
      </c>
      <c r="B240" s="49" t="s">
        <v>547</v>
      </c>
    </row>
    <row r="241" spans="1:2" x14ac:dyDescent="0.25">
      <c r="A241" s="49">
        <v>878206108</v>
      </c>
      <c r="B241" s="49" t="s">
        <v>952</v>
      </c>
    </row>
    <row r="242" spans="1:2" x14ac:dyDescent="0.25">
      <c r="A242" s="49">
        <v>878911837</v>
      </c>
      <c r="B242" s="49" t="s">
        <v>200</v>
      </c>
    </row>
    <row r="243" spans="1:2" x14ac:dyDescent="0.25">
      <c r="A243" s="49">
        <v>1103355189</v>
      </c>
      <c r="B243" s="49" t="s">
        <v>856</v>
      </c>
    </row>
    <row r="244" spans="1:2" x14ac:dyDescent="0.25">
      <c r="A244" s="49">
        <v>1103698043</v>
      </c>
      <c r="B244" s="49" t="s">
        <v>868</v>
      </c>
    </row>
    <row r="245" spans="1:2" x14ac:dyDescent="0.25">
      <c r="A245" s="49">
        <v>1124777699</v>
      </c>
      <c r="B245" s="49" t="s">
        <v>1665</v>
      </c>
    </row>
    <row r="246" spans="1:2" x14ac:dyDescent="0.25">
      <c r="A246" s="49">
        <v>1139360387</v>
      </c>
      <c r="B246" s="49" t="s">
        <v>265</v>
      </c>
    </row>
    <row r="247" spans="1:2" x14ac:dyDescent="0.25">
      <c r="A247" s="49">
        <v>1141832377</v>
      </c>
      <c r="B247" s="49" t="s">
        <v>1675</v>
      </c>
    </row>
    <row r="248" spans="1:2" x14ac:dyDescent="0.25">
      <c r="A248" s="49">
        <v>1340803673</v>
      </c>
      <c r="B248" s="49" t="s">
        <v>1755</v>
      </c>
    </row>
    <row r="249" spans="1:2" x14ac:dyDescent="0.25">
      <c r="A249" s="49">
        <v>1345224430</v>
      </c>
      <c r="B249" s="49" t="s">
        <v>1415</v>
      </c>
    </row>
    <row r="250" spans="1:2" x14ac:dyDescent="0.25">
      <c r="A250" s="49">
        <v>1374191820</v>
      </c>
      <c r="B250" s="49" t="s">
        <v>1818</v>
      </c>
    </row>
    <row r="251" spans="1:2" x14ac:dyDescent="0.25">
      <c r="A251" s="49">
        <v>1375748989</v>
      </c>
      <c r="B251" s="49" t="s">
        <v>673</v>
      </c>
    </row>
    <row r="252" spans="1:2" x14ac:dyDescent="0.25">
      <c r="A252" s="49">
        <v>628995031</v>
      </c>
      <c r="B252" s="49" t="s">
        <v>177</v>
      </c>
    </row>
    <row r="253" spans="1:2" x14ac:dyDescent="0.25">
      <c r="A253" s="49">
        <v>690425058</v>
      </c>
      <c r="B253" s="49" t="s">
        <v>1071</v>
      </c>
    </row>
    <row r="254" spans="1:2" x14ac:dyDescent="0.25">
      <c r="A254" s="49">
        <v>779461448</v>
      </c>
      <c r="B254" s="49" t="s">
        <v>493</v>
      </c>
    </row>
    <row r="255" spans="1:2" x14ac:dyDescent="0.25">
      <c r="A255" s="49">
        <v>936084678</v>
      </c>
      <c r="B255" s="49" t="s">
        <v>1679</v>
      </c>
    </row>
    <row r="256" spans="1:2" x14ac:dyDescent="0.25">
      <c r="A256" s="49">
        <v>1126053790</v>
      </c>
      <c r="B256" s="49" t="s">
        <v>1403</v>
      </c>
    </row>
    <row r="257" spans="1:2" x14ac:dyDescent="0.25">
      <c r="A257" s="49">
        <v>1135902134</v>
      </c>
      <c r="B257" s="49" t="s">
        <v>1346</v>
      </c>
    </row>
    <row r="258" spans="1:2" x14ac:dyDescent="0.25">
      <c r="A258" s="49">
        <v>610398857</v>
      </c>
      <c r="B258" s="49" t="s">
        <v>3659</v>
      </c>
    </row>
    <row r="259" spans="1:2" x14ac:dyDescent="0.25">
      <c r="A259" s="49">
        <v>616576405</v>
      </c>
      <c r="B259" s="49" t="s">
        <v>1214</v>
      </c>
    </row>
    <row r="260" spans="1:2" x14ac:dyDescent="0.25">
      <c r="A260" s="49">
        <v>618031063</v>
      </c>
      <c r="B260" s="49" t="s">
        <v>1691</v>
      </c>
    </row>
    <row r="261" spans="1:2" x14ac:dyDescent="0.25">
      <c r="A261" s="49">
        <v>676116849</v>
      </c>
      <c r="B261" s="49" t="s">
        <v>1517</v>
      </c>
    </row>
    <row r="262" spans="1:2" x14ac:dyDescent="0.25">
      <c r="A262" s="49">
        <v>679372421</v>
      </c>
      <c r="B262" s="49" t="s">
        <v>1083</v>
      </c>
    </row>
    <row r="263" spans="1:2" x14ac:dyDescent="0.25">
      <c r="A263" s="49">
        <v>684488242</v>
      </c>
      <c r="B263" s="49" t="s">
        <v>228</v>
      </c>
    </row>
    <row r="264" spans="1:2" x14ac:dyDescent="0.25">
      <c r="A264" s="49">
        <v>699168287</v>
      </c>
      <c r="B264" s="49" t="s">
        <v>1309</v>
      </c>
    </row>
    <row r="265" spans="1:2" x14ac:dyDescent="0.25">
      <c r="A265" s="49">
        <v>762231709</v>
      </c>
      <c r="B265" s="49" t="s">
        <v>817</v>
      </c>
    </row>
    <row r="266" spans="1:2" x14ac:dyDescent="0.25">
      <c r="A266" s="49">
        <v>767477260</v>
      </c>
      <c r="B266" s="49" t="s">
        <v>147</v>
      </c>
    </row>
    <row r="267" spans="1:2" x14ac:dyDescent="0.25">
      <c r="A267" s="49">
        <v>778006764</v>
      </c>
      <c r="B267" s="63" t="s">
        <v>532</v>
      </c>
    </row>
    <row r="268" spans="1:2" x14ac:dyDescent="0.25">
      <c r="A268" s="49">
        <v>835623921</v>
      </c>
      <c r="B268" s="49" t="s">
        <v>1348</v>
      </c>
    </row>
    <row r="269" spans="1:2" x14ac:dyDescent="0.25">
      <c r="A269" s="49">
        <v>842599953</v>
      </c>
      <c r="B269" s="49" t="s">
        <v>1234</v>
      </c>
    </row>
    <row r="270" spans="1:2" x14ac:dyDescent="0.25">
      <c r="A270" s="49">
        <v>919290856</v>
      </c>
      <c r="B270" s="49" t="s">
        <v>74</v>
      </c>
    </row>
    <row r="271" spans="1:2" x14ac:dyDescent="0.25">
      <c r="A271" s="49">
        <v>934323530</v>
      </c>
      <c r="B271" s="49" t="s">
        <v>146</v>
      </c>
    </row>
    <row r="272" spans="1:2" x14ac:dyDescent="0.25">
      <c r="A272" s="49">
        <v>1122735836</v>
      </c>
      <c r="B272" s="49" t="s">
        <v>427</v>
      </c>
    </row>
    <row r="273" spans="1:2" x14ac:dyDescent="0.25">
      <c r="A273" s="49">
        <v>1129347348</v>
      </c>
      <c r="B273" s="49" t="s">
        <v>3655</v>
      </c>
    </row>
    <row r="274" spans="1:2" x14ac:dyDescent="0.25">
      <c r="A274" s="49">
        <v>1285906822</v>
      </c>
      <c r="B274" s="49" t="s">
        <v>1732</v>
      </c>
    </row>
    <row r="275" spans="1:2" x14ac:dyDescent="0.25">
      <c r="A275" s="49">
        <v>1419602142</v>
      </c>
      <c r="B275" s="49" t="s">
        <v>1834</v>
      </c>
    </row>
    <row r="276" spans="1:2" x14ac:dyDescent="0.25">
      <c r="A276" s="49">
        <v>1423204850</v>
      </c>
      <c r="B276" s="49" t="s">
        <v>1471</v>
      </c>
    </row>
    <row r="277" spans="1:2" x14ac:dyDescent="0.25">
      <c r="A277" s="49">
        <v>1373191771</v>
      </c>
      <c r="B277" s="49" t="s">
        <v>1232</v>
      </c>
    </row>
    <row r="278" spans="1:2" x14ac:dyDescent="0.25">
      <c r="A278" s="49">
        <v>1376805653</v>
      </c>
      <c r="B278" s="49" t="s">
        <v>107</v>
      </c>
    </row>
    <row r="279" spans="1:2" x14ac:dyDescent="0.25">
      <c r="A279" s="49">
        <v>689625874</v>
      </c>
      <c r="B279" s="49" t="s">
        <v>898</v>
      </c>
    </row>
    <row r="280" spans="1:2" x14ac:dyDescent="0.25">
      <c r="A280" s="49">
        <v>682864002</v>
      </c>
      <c r="B280" s="49" t="s">
        <v>585</v>
      </c>
    </row>
    <row r="281" spans="1:2" x14ac:dyDescent="0.25">
      <c r="A281" s="49">
        <v>1141540669</v>
      </c>
      <c r="B281" s="49" t="s">
        <v>1605</v>
      </c>
    </row>
    <row r="282" spans="1:2" x14ac:dyDescent="0.25">
      <c r="A282" s="49">
        <v>782148181</v>
      </c>
      <c r="B282" s="49" t="s">
        <v>281</v>
      </c>
    </row>
    <row r="283" spans="1:2" x14ac:dyDescent="0.25">
      <c r="A283" s="49">
        <v>1377846388</v>
      </c>
      <c r="B283" s="49" t="s">
        <v>60</v>
      </c>
    </row>
    <row r="284" spans="1:2" x14ac:dyDescent="0.25">
      <c r="A284" s="49">
        <v>682949319</v>
      </c>
      <c r="B284" s="49" t="s">
        <v>1482</v>
      </c>
    </row>
    <row r="285" spans="1:2" x14ac:dyDescent="0.25">
      <c r="A285" s="49">
        <v>701727873</v>
      </c>
      <c r="B285" s="49" t="s">
        <v>348</v>
      </c>
    </row>
    <row r="286" spans="1:2" x14ac:dyDescent="0.25">
      <c r="A286" s="49">
        <v>759872739</v>
      </c>
      <c r="B286" s="49" t="s">
        <v>605</v>
      </c>
    </row>
    <row r="287" spans="1:2" x14ac:dyDescent="0.25">
      <c r="A287" s="49">
        <v>762435009</v>
      </c>
      <c r="B287" s="49" t="s">
        <v>1306</v>
      </c>
    </row>
    <row r="288" spans="1:2" x14ac:dyDescent="0.25">
      <c r="A288" s="49">
        <v>768699437</v>
      </c>
      <c r="B288" s="49" t="s">
        <v>3648</v>
      </c>
    </row>
    <row r="289" spans="1:2" x14ac:dyDescent="0.25">
      <c r="A289" s="49">
        <v>770050687</v>
      </c>
      <c r="B289" s="49" t="s">
        <v>587</v>
      </c>
    </row>
    <row r="290" spans="1:2" x14ac:dyDescent="0.25">
      <c r="A290" s="49">
        <v>776742922</v>
      </c>
      <c r="B290" s="49" t="s">
        <v>1402</v>
      </c>
    </row>
    <row r="291" spans="1:2" x14ac:dyDescent="0.25">
      <c r="A291" s="49">
        <v>780834367</v>
      </c>
      <c r="B291" s="49" t="s">
        <v>434</v>
      </c>
    </row>
    <row r="292" spans="1:2" x14ac:dyDescent="0.25">
      <c r="A292" s="49">
        <v>794798220</v>
      </c>
      <c r="B292" s="49" t="s">
        <v>1400</v>
      </c>
    </row>
    <row r="293" spans="1:2" x14ac:dyDescent="0.25">
      <c r="A293" s="49">
        <v>826587888</v>
      </c>
      <c r="B293" s="49" t="s">
        <v>711</v>
      </c>
    </row>
    <row r="294" spans="1:2" x14ac:dyDescent="0.25">
      <c r="A294" s="49">
        <v>882899827</v>
      </c>
      <c r="B294" s="49" t="s">
        <v>1341</v>
      </c>
    </row>
    <row r="295" spans="1:2" x14ac:dyDescent="0.25">
      <c r="A295" s="49">
        <v>886824079</v>
      </c>
      <c r="B295" s="49" t="s">
        <v>1665</v>
      </c>
    </row>
    <row r="296" spans="1:2" x14ac:dyDescent="0.25">
      <c r="A296" s="49">
        <v>901672207</v>
      </c>
      <c r="B296" s="49" t="s">
        <v>1518</v>
      </c>
    </row>
    <row r="297" spans="1:2" x14ac:dyDescent="0.25">
      <c r="A297" s="49">
        <v>933676565</v>
      </c>
      <c r="B297" s="49" t="s">
        <v>289</v>
      </c>
    </row>
    <row r="298" spans="1:2" x14ac:dyDescent="0.25">
      <c r="A298" s="49">
        <v>935715408</v>
      </c>
      <c r="B298" s="49" t="s">
        <v>574</v>
      </c>
    </row>
    <row r="299" spans="1:2" x14ac:dyDescent="0.25">
      <c r="A299" s="49">
        <v>1103551510</v>
      </c>
      <c r="B299" s="49" t="s">
        <v>860</v>
      </c>
    </row>
    <row r="300" spans="1:2" x14ac:dyDescent="0.25">
      <c r="A300" s="49">
        <v>1120244745</v>
      </c>
      <c r="B300" s="49" t="s">
        <v>172</v>
      </c>
    </row>
    <row r="301" spans="1:2" x14ac:dyDescent="0.25">
      <c r="A301" s="49">
        <v>1142536612</v>
      </c>
      <c r="B301" s="49" t="s">
        <v>194</v>
      </c>
    </row>
    <row r="302" spans="1:2" x14ac:dyDescent="0.25">
      <c r="A302" s="49">
        <v>1339857872</v>
      </c>
      <c r="B302" s="49" t="s">
        <v>1748</v>
      </c>
    </row>
    <row r="303" spans="1:2" x14ac:dyDescent="0.25">
      <c r="A303" s="49">
        <v>1373120037</v>
      </c>
      <c r="B303" s="49" t="s">
        <v>823</v>
      </c>
    </row>
    <row r="304" spans="1:2" x14ac:dyDescent="0.25">
      <c r="A304" s="49">
        <v>1432364272</v>
      </c>
      <c r="B304" s="49" t="s">
        <v>1284</v>
      </c>
    </row>
    <row r="305" spans="1:2" x14ac:dyDescent="0.25">
      <c r="A305" s="49">
        <v>1432320192</v>
      </c>
      <c r="B305" s="49" t="s">
        <v>696</v>
      </c>
    </row>
    <row r="306" spans="1:2" x14ac:dyDescent="0.25">
      <c r="A306" s="49">
        <v>613079554</v>
      </c>
      <c r="B306" s="49" t="s">
        <v>443</v>
      </c>
    </row>
    <row r="307" spans="1:2" x14ac:dyDescent="0.25">
      <c r="A307" s="49">
        <v>1169848908</v>
      </c>
      <c r="B307" s="49" t="s">
        <v>881</v>
      </c>
    </row>
    <row r="308" spans="1:2" x14ac:dyDescent="0.25">
      <c r="A308" s="49">
        <v>1193063748</v>
      </c>
      <c r="B308" s="49" t="s">
        <v>1321</v>
      </c>
    </row>
    <row r="309" spans="1:2" x14ac:dyDescent="0.25">
      <c r="A309" s="49">
        <v>1341721204</v>
      </c>
      <c r="B309" s="49" t="s">
        <v>1765</v>
      </c>
    </row>
    <row r="310" spans="1:2" x14ac:dyDescent="0.25">
      <c r="A310" s="49">
        <v>1344974915</v>
      </c>
      <c r="B310" s="49" t="s">
        <v>1777</v>
      </c>
    </row>
    <row r="311" spans="1:2" x14ac:dyDescent="0.25">
      <c r="A311" s="49">
        <v>612469172</v>
      </c>
      <c r="B311" s="49" t="s">
        <v>320</v>
      </c>
    </row>
    <row r="312" spans="1:2" x14ac:dyDescent="0.25">
      <c r="A312" s="49">
        <v>684753530</v>
      </c>
      <c r="B312" s="49" t="s">
        <v>251</v>
      </c>
    </row>
    <row r="313" spans="1:2" x14ac:dyDescent="0.25">
      <c r="A313" s="49">
        <v>689251836</v>
      </c>
      <c r="B313" s="49" t="s">
        <v>1257</v>
      </c>
    </row>
    <row r="314" spans="1:2" x14ac:dyDescent="0.25">
      <c r="A314" s="49">
        <v>701343793</v>
      </c>
      <c r="B314" s="49" t="s">
        <v>499</v>
      </c>
    </row>
    <row r="315" spans="1:2" x14ac:dyDescent="0.25">
      <c r="A315" s="49">
        <v>731639444</v>
      </c>
      <c r="B315" s="49" t="s">
        <v>1540</v>
      </c>
    </row>
    <row r="316" spans="1:2" x14ac:dyDescent="0.25">
      <c r="A316" s="49">
        <v>776400011</v>
      </c>
      <c r="B316" s="49" t="s">
        <v>1064</v>
      </c>
    </row>
    <row r="317" spans="1:2" x14ac:dyDescent="0.25">
      <c r="A317" s="49">
        <v>776743353</v>
      </c>
      <c r="B317" s="49" t="s">
        <v>1470</v>
      </c>
    </row>
    <row r="318" spans="1:2" x14ac:dyDescent="0.25">
      <c r="A318" s="49">
        <v>777653323</v>
      </c>
      <c r="B318" s="49" t="s">
        <v>334</v>
      </c>
    </row>
    <row r="319" spans="1:2" x14ac:dyDescent="0.25">
      <c r="A319" s="49">
        <v>778013298</v>
      </c>
      <c r="B319" s="49" t="s">
        <v>802</v>
      </c>
    </row>
    <row r="320" spans="1:2" x14ac:dyDescent="0.25">
      <c r="A320" s="49">
        <v>778004994</v>
      </c>
      <c r="B320" s="49" t="s">
        <v>369</v>
      </c>
    </row>
    <row r="321" spans="1:2" x14ac:dyDescent="0.25">
      <c r="A321" s="49">
        <v>781818217</v>
      </c>
      <c r="B321" s="49" t="s">
        <v>133</v>
      </c>
    </row>
    <row r="322" spans="1:2" x14ac:dyDescent="0.25">
      <c r="A322" s="49">
        <v>782113991</v>
      </c>
      <c r="B322" s="49" t="s">
        <v>1242</v>
      </c>
    </row>
    <row r="323" spans="1:2" x14ac:dyDescent="0.25">
      <c r="A323" s="49">
        <v>783573085</v>
      </c>
      <c r="B323" s="49" t="s">
        <v>618</v>
      </c>
    </row>
    <row r="324" spans="1:2" x14ac:dyDescent="0.25">
      <c r="A324" s="49">
        <v>799468265</v>
      </c>
      <c r="B324" s="49" t="s">
        <v>3654</v>
      </c>
    </row>
    <row r="325" spans="1:2" x14ac:dyDescent="0.25">
      <c r="A325" s="49">
        <v>845929119</v>
      </c>
      <c r="B325" s="49" t="s">
        <v>649</v>
      </c>
    </row>
    <row r="326" spans="1:2" x14ac:dyDescent="0.25">
      <c r="A326" s="49">
        <v>900848773</v>
      </c>
      <c r="B326" s="49" t="s">
        <v>1398</v>
      </c>
    </row>
    <row r="327" spans="1:2" x14ac:dyDescent="0.25">
      <c r="A327" s="49">
        <v>928526321</v>
      </c>
      <c r="B327" s="49" t="s">
        <v>1436</v>
      </c>
    </row>
    <row r="328" spans="1:2" x14ac:dyDescent="0.25">
      <c r="A328" s="49">
        <v>1134003879</v>
      </c>
      <c r="B328" s="49" t="s">
        <v>169</v>
      </c>
    </row>
    <row r="329" spans="1:2" x14ac:dyDescent="0.25">
      <c r="A329" s="49">
        <v>1143202582</v>
      </c>
      <c r="B329" s="49" t="s">
        <v>1123</v>
      </c>
    </row>
    <row r="330" spans="1:2" x14ac:dyDescent="0.25">
      <c r="A330" s="49">
        <v>1155433596</v>
      </c>
      <c r="B330" s="49" t="s">
        <v>1153</v>
      </c>
    </row>
    <row r="331" spans="1:2" x14ac:dyDescent="0.25">
      <c r="A331" s="49">
        <v>1429954846</v>
      </c>
      <c r="B331" s="49" t="s">
        <v>1838</v>
      </c>
    </row>
    <row r="332" spans="1:2" x14ac:dyDescent="0.25">
      <c r="A332" s="49">
        <v>1373211541</v>
      </c>
      <c r="B332" s="49" t="s">
        <v>115</v>
      </c>
    </row>
    <row r="333" spans="1:2" x14ac:dyDescent="0.25">
      <c r="A333" s="49">
        <v>1375072123</v>
      </c>
      <c r="B333" s="49" t="s">
        <v>3675</v>
      </c>
    </row>
    <row r="334" spans="1:2" x14ac:dyDescent="0.25">
      <c r="A334" s="49">
        <v>776734692</v>
      </c>
      <c r="B334" s="49" t="s">
        <v>67</v>
      </c>
    </row>
    <row r="335" spans="1:2" x14ac:dyDescent="0.25">
      <c r="A335" s="49">
        <v>906179666</v>
      </c>
      <c r="B335" s="49" t="s">
        <v>58</v>
      </c>
    </row>
    <row r="336" spans="1:2" x14ac:dyDescent="0.25">
      <c r="A336" s="49">
        <v>779464658</v>
      </c>
      <c r="B336" s="49" t="s">
        <v>507</v>
      </c>
    </row>
    <row r="337" spans="1:2" x14ac:dyDescent="0.25">
      <c r="A337" s="49">
        <v>1122260476</v>
      </c>
      <c r="B337" s="49" t="s">
        <v>945</v>
      </c>
    </row>
    <row r="338" spans="1:2" x14ac:dyDescent="0.25">
      <c r="A338" s="49">
        <v>1140405904</v>
      </c>
      <c r="B338" s="49" t="s">
        <v>63</v>
      </c>
    </row>
    <row r="339" spans="1:2" x14ac:dyDescent="0.25">
      <c r="A339" s="49">
        <v>1229762571</v>
      </c>
      <c r="B339" s="49" t="s">
        <v>1722</v>
      </c>
    </row>
    <row r="340" spans="1:2" x14ac:dyDescent="0.25">
      <c r="A340" s="49">
        <v>608438243</v>
      </c>
      <c r="B340" s="49" t="s">
        <v>411</v>
      </c>
    </row>
    <row r="341" spans="1:2" x14ac:dyDescent="0.25">
      <c r="A341" s="49">
        <v>627335965</v>
      </c>
      <c r="B341" s="49" t="s">
        <v>1322</v>
      </c>
    </row>
    <row r="342" spans="1:2" x14ac:dyDescent="0.25">
      <c r="A342" s="49">
        <v>672270247</v>
      </c>
      <c r="B342" s="49" t="s">
        <v>352</v>
      </c>
    </row>
    <row r="343" spans="1:2" x14ac:dyDescent="0.25">
      <c r="A343" s="49">
        <v>758480505</v>
      </c>
      <c r="B343" s="49" t="s">
        <v>1013</v>
      </c>
    </row>
    <row r="344" spans="1:2" x14ac:dyDescent="0.25">
      <c r="A344" s="49">
        <v>760068214</v>
      </c>
      <c r="B344" s="49" t="s">
        <v>1561</v>
      </c>
    </row>
    <row r="345" spans="1:2" x14ac:dyDescent="0.25">
      <c r="A345" s="49">
        <v>760284205</v>
      </c>
      <c r="B345" s="49" t="s">
        <v>1697</v>
      </c>
    </row>
    <row r="346" spans="1:2" x14ac:dyDescent="0.25">
      <c r="A346" s="49">
        <v>776432433</v>
      </c>
      <c r="B346" s="49" t="s">
        <v>666</v>
      </c>
    </row>
    <row r="347" spans="1:2" x14ac:dyDescent="0.25">
      <c r="A347" s="49">
        <v>778430400</v>
      </c>
      <c r="B347" s="49" t="s">
        <v>695</v>
      </c>
    </row>
    <row r="348" spans="1:2" x14ac:dyDescent="0.25">
      <c r="A348" s="49">
        <v>789662972</v>
      </c>
      <c r="B348" s="49" t="s">
        <v>126</v>
      </c>
    </row>
    <row r="349" spans="1:2" x14ac:dyDescent="0.25">
      <c r="A349" s="49">
        <v>795080013</v>
      </c>
      <c r="B349" s="49" t="s">
        <v>1664</v>
      </c>
    </row>
    <row r="350" spans="1:2" x14ac:dyDescent="0.25">
      <c r="A350" s="49">
        <v>800287110</v>
      </c>
      <c r="B350" s="49" t="s">
        <v>300</v>
      </c>
    </row>
    <row r="351" spans="1:2" x14ac:dyDescent="0.25">
      <c r="A351" s="49">
        <v>842716316</v>
      </c>
      <c r="B351" s="49" t="s">
        <v>1144</v>
      </c>
    </row>
    <row r="352" spans="1:2" x14ac:dyDescent="0.25">
      <c r="A352" s="49">
        <v>913732384</v>
      </c>
      <c r="B352" s="49" t="s">
        <v>1585</v>
      </c>
    </row>
    <row r="353" spans="1:2" x14ac:dyDescent="0.25">
      <c r="A353" s="49">
        <v>1147105432</v>
      </c>
      <c r="B353" s="49" t="s">
        <v>1371</v>
      </c>
    </row>
    <row r="354" spans="1:2" x14ac:dyDescent="0.25">
      <c r="A354" s="49">
        <v>1152530506</v>
      </c>
      <c r="B354" s="49" t="s">
        <v>1150</v>
      </c>
    </row>
    <row r="355" spans="1:2" x14ac:dyDescent="0.25">
      <c r="A355" s="49">
        <v>1173583924</v>
      </c>
      <c r="B355" s="49" t="s">
        <v>1244</v>
      </c>
    </row>
    <row r="356" spans="1:2" x14ac:dyDescent="0.25">
      <c r="A356" s="49">
        <v>1345492693</v>
      </c>
      <c r="B356" s="49" t="s">
        <v>1785</v>
      </c>
    </row>
    <row r="357" spans="1:2" x14ac:dyDescent="0.25">
      <c r="A357" s="49">
        <v>873056356</v>
      </c>
      <c r="B357" s="49" t="s">
        <v>178</v>
      </c>
    </row>
    <row r="358" spans="1:2" x14ac:dyDescent="0.25">
      <c r="A358" s="49">
        <v>861901940</v>
      </c>
      <c r="B358" s="49" t="s">
        <v>1538</v>
      </c>
    </row>
    <row r="359" spans="1:2" x14ac:dyDescent="0.25">
      <c r="A359" s="49">
        <v>1157592999</v>
      </c>
      <c r="B359" s="49" t="s">
        <v>1598</v>
      </c>
    </row>
    <row r="360" spans="1:2" x14ac:dyDescent="0.25">
      <c r="A360" s="49">
        <v>1184450030</v>
      </c>
      <c r="B360" s="49" t="s">
        <v>942</v>
      </c>
    </row>
    <row r="361" spans="1:2" x14ac:dyDescent="0.25">
      <c r="A361" s="49">
        <v>1194818048</v>
      </c>
      <c r="B361" s="49" t="s">
        <v>889</v>
      </c>
    </row>
    <row r="362" spans="1:2" x14ac:dyDescent="0.25">
      <c r="A362" s="49">
        <v>1202327710</v>
      </c>
      <c r="B362" s="49" t="s">
        <v>1383</v>
      </c>
    </row>
    <row r="363" spans="1:2" x14ac:dyDescent="0.25">
      <c r="A363" s="49">
        <v>612229239</v>
      </c>
      <c r="B363" s="49" t="s">
        <v>420</v>
      </c>
    </row>
    <row r="364" spans="1:2" x14ac:dyDescent="0.25">
      <c r="A364" s="49">
        <v>614138588</v>
      </c>
      <c r="B364" s="49" t="s">
        <v>116</v>
      </c>
    </row>
    <row r="365" spans="1:2" x14ac:dyDescent="0.25">
      <c r="A365" s="49">
        <v>672270591</v>
      </c>
      <c r="B365" s="49" t="s">
        <v>358</v>
      </c>
    </row>
    <row r="366" spans="1:2" x14ac:dyDescent="0.25">
      <c r="A366" s="49">
        <v>717889442</v>
      </c>
      <c r="B366" s="49" t="s">
        <v>806</v>
      </c>
    </row>
    <row r="367" spans="1:2" x14ac:dyDescent="0.25">
      <c r="A367" s="49">
        <v>743582909</v>
      </c>
      <c r="B367" s="49" t="s">
        <v>181</v>
      </c>
    </row>
    <row r="368" spans="1:2" x14ac:dyDescent="0.25">
      <c r="A368" s="49">
        <v>777650680</v>
      </c>
      <c r="B368" s="49" t="s">
        <v>497</v>
      </c>
    </row>
    <row r="369" spans="1:2" x14ac:dyDescent="0.25">
      <c r="A369" s="49">
        <v>778430448</v>
      </c>
      <c r="B369" s="49" t="s">
        <v>696</v>
      </c>
    </row>
    <row r="370" spans="1:2" x14ac:dyDescent="0.25">
      <c r="A370" s="49">
        <v>781941150</v>
      </c>
      <c r="B370" s="49" t="s">
        <v>1225</v>
      </c>
    </row>
    <row r="371" spans="1:2" x14ac:dyDescent="0.25">
      <c r="A371" s="49">
        <v>784369524</v>
      </c>
      <c r="B371" s="49" t="s">
        <v>697</v>
      </c>
    </row>
    <row r="372" spans="1:2" x14ac:dyDescent="0.25">
      <c r="A372" s="49">
        <v>784346552</v>
      </c>
      <c r="B372" s="49" t="s">
        <v>683</v>
      </c>
    </row>
    <row r="373" spans="1:2" x14ac:dyDescent="0.25">
      <c r="A373" s="49">
        <v>797614493</v>
      </c>
      <c r="B373" s="49" t="s">
        <v>1467</v>
      </c>
    </row>
    <row r="374" spans="1:2" x14ac:dyDescent="0.25">
      <c r="A374" s="49">
        <v>800286746</v>
      </c>
      <c r="B374" s="49" t="s">
        <v>1353</v>
      </c>
    </row>
    <row r="375" spans="1:2" x14ac:dyDescent="0.25">
      <c r="A375" s="49">
        <v>876413713</v>
      </c>
      <c r="B375" s="49" t="s">
        <v>1142</v>
      </c>
    </row>
    <row r="376" spans="1:2" x14ac:dyDescent="0.25">
      <c r="A376" s="49">
        <v>901675562</v>
      </c>
      <c r="B376" s="49" t="s">
        <v>1089</v>
      </c>
    </row>
    <row r="377" spans="1:2" x14ac:dyDescent="0.25">
      <c r="A377" s="49">
        <v>934280268</v>
      </c>
      <c r="B377" s="49" t="s">
        <v>128</v>
      </c>
    </row>
    <row r="378" spans="1:2" x14ac:dyDescent="0.25">
      <c r="A378" s="49">
        <v>1115005469</v>
      </c>
      <c r="B378" s="49" t="s">
        <v>848</v>
      </c>
    </row>
    <row r="379" spans="1:2" x14ac:dyDescent="0.25">
      <c r="A379" s="49">
        <v>1147569008</v>
      </c>
      <c r="B379" s="49" t="s">
        <v>122</v>
      </c>
    </row>
    <row r="380" spans="1:2" x14ac:dyDescent="0.25">
      <c r="A380" s="49">
        <v>1186150808</v>
      </c>
      <c r="B380" s="49" t="s">
        <v>975</v>
      </c>
    </row>
    <row r="381" spans="1:2" x14ac:dyDescent="0.25">
      <c r="A381" s="49">
        <v>1340268948</v>
      </c>
      <c r="B381" s="49" t="s">
        <v>1749</v>
      </c>
    </row>
    <row r="382" spans="1:2" x14ac:dyDescent="0.25">
      <c r="A382" s="49">
        <v>1377611787</v>
      </c>
      <c r="B382" s="49" t="s">
        <v>794</v>
      </c>
    </row>
    <row r="383" spans="1:2" x14ac:dyDescent="0.25">
      <c r="A383" s="49">
        <v>777648313</v>
      </c>
      <c r="B383" s="49" t="s">
        <v>301</v>
      </c>
    </row>
    <row r="384" spans="1:2" x14ac:dyDescent="0.25">
      <c r="A384" s="49">
        <v>1149787760</v>
      </c>
      <c r="B384" s="49" t="s">
        <v>1413</v>
      </c>
    </row>
    <row r="385" spans="1:2" x14ac:dyDescent="0.25">
      <c r="A385" s="49">
        <v>1250512554</v>
      </c>
      <c r="B385" s="49" t="s">
        <v>1724</v>
      </c>
    </row>
    <row r="386" spans="1:2" x14ac:dyDescent="0.25">
      <c r="A386" s="49">
        <v>610134984</v>
      </c>
      <c r="B386" s="49" t="s">
        <v>414</v>
      </c>
    </row>
    <row r="387" spans="1:2" x14ac:dyDescent="0.25">
      <c r="A387" s="49">
        <v>617140358</v>
      </c>
      <c r="B387" s="49" t="s">
        <v>721</v>
      </c>
    </row>
    <row r="388" spans="1:2" x14ac:dyDescent="0.25">
      <c r="A388" s="49">
        <v>618903771</v>
      </c>
      <c r="B388" s="49" t="s">
        <v>447</v>
      </c>
    </row>
    <row r="389" spans="1:2" x14ac:dyDescent="0.25">
      <c r="A389" s="49">
        <v>640493337</v>
      </c>
      <c r="B389" s="49" t="s">
        <v>1217</v>
      </c>
    </row>
    <row r="390" spans="1:2" x14ac:dyDescent="0.25">
      <c r="A390" s="49">
        <v>706271561</v>
      </c>
      <c r="B390" s="49" t="s">
        <v>695</v>
      </c>
    </row>
    <row r="391" spans="1:2" x14ac:dyDescent="0.25">
      <c r="A391" s="49">
        <v>709840759</v>
      </c>
      <c r="B391" s="49" t="s">
        <v>963</v>
      </c>
    </row>
    <row r="392" spans="1:2" x14ac:dyDescent="0.25">
      <c r="A392" s="49">
        <v>712956463</v>
      </c>
      <c r="B392" s="49" t="s">
        <v>333</v>
      </c>
    </row>
    <row r="393" spans="1:2" x14ac:dyDescent="0.25">
      <c r="A393" s="49">
        <v>736436008</v>
      </c>
      <c r="B393" s="49" t="s">
        <v>959</v>
      </c>
    </row>
    <row r="394" spans="1:2" x14ac:dyDescent="0.25">
      <c r="A394" s="49">
        <v>756038565</v>
      </c>
      <c r="B394" s="49" t="s">
        <v>1159</v>
      </c>
    </row>
    <row r="395" spans="1:2" x14ac:dyDescent="0.25">
      <c r="A395" s="49">
        <v>777655754</v>
      </c>
      <c r="B395" s="49" t="s">
        <v>336</v>
      </c>
    </row>
    <row r="396" spans="1:2" x14ac:dyDescent="0.25">
      <c r="A396" s="49">
        <v>780826501</v>
      </c>
      <c r="B396" s="49" t="s">
        <v>478</v>
      </c>
    </row>
    <row r="397" spans="1:2" x14ac:dyDescent="0.25">
      <c r="A397" s="49">
        <v>782114191</v>
      </c>
      <c r="B397" s="49" t="s">
        <v>1199</v>
      </c>
    </row>
    <row r="398" spans="1:2" x14ac:dyDescent="0.25">
      <c r="A398" s="49">
        <v>792120519</v>
      </c>
      <c r="B398" s="49" t="s">
        <v>1661</v>
      </c>
    </row>
    <row r="399" spans="1:2" x14ac:dyDescent="0.25">
      <c r="A399" s="49">
        <v>800286901</v>
      </c>
      <c r="B399" s="49" t="s">
        <v>576</v>
      </c>
    </row>
    <row r="400" spans="1:2" x14ac:dyDescent="0.25">
      <c r="A400" s="49">
        <v>821988099</v>
      </c>
      <c r="B400" s="49" t="s">
        <v>833</v>
      </c>
    </row>
    <row r="401" spans="1:2" x14ac:dyDescent="0.25">
      <c r="A401" s="49">
        <v>835625013</v>
      </c>
      <c r="B401" s="49" t="s">
        <v>1354</v>
      </c>
    </row>
    <row r="402" spans="1:2" x14ac:dyDescent="0.25">
      <c r="A402" s="49">
        <v>836746386</v>
      </c>
      <c r="B402" s="49" t="s">
        <v>1329</v>
      </c>
    </row>
    <row r="403" spans="1:2" x14ac:dyDescent="0.25">
      <c r="A403" s="49">
        <v>865759313</v>
      </c>
      <c r="B403" s="49" t="s">
        <v>1377</v>
      </c>
    </row>
    <row r="404" spans="1:2" x14ac:dyDescent="0.25">
      <c r="A404" s="49">
        <v>868105238</v>
      </c>
      <c r="B404" s="49" t="s">
        <v>382</v>
      </c>
    </row>
    <row r="405" spans="1:2" x14ac:dyDescent="0.25">
      <c r="A405" s="49">
        <v>1111049013</v>
      </c>
      <c r="B405" s="49" t="s">
        <v>842</v>
      </c>
    </row>
    <row r="406" spans="1:2" x14ac:dyDescent="0.25">
      <c r="A406" s="49">
        <v>1120133604</v>
      </c>
      <c r="B406" s="49" t="s">
        <v>172</v>
      </c>
    </row>
    <row r="407" spans="1:2" x14ac:dyDescent="0.25">
      <c r="A407" s="49">
        <v>1134038492</v>
      </c>
      <c r="B407" s="49" t="s">
        <v>168</v>
      </c>
    </row>
    <row r="408" spans="1:2" x14ac:dyDescent="0.25">
      <c r="A408" s="49">
        <v>1185419488</v>
      </c>
      <c r="B408" s="49" t="s">
        <v>1111</v>
      </c>
    </row>
    <row r="409" spans="1:2" x14ac:dyDescent="0.25">
      <c r="A409" s="49">
        <v>1285510851</v>
      </c>
      <c r="B409" s="49" t="s">
        <v>1730</v>
      </c>
    </row>
    <row r="410" spans="1:2" x14ac:dyDescent="0.25">
      <c r="A410" s="49">
        <v>1318180025</v>
      </c>
      <c r="B410" s="49" t="s">
        <v>66</v>
      </c>
    </row>
    <row r="411" spans="1:2" x14ac:dyDescent="0.25">
      <c r="A411" s="49">
        <v>1341068090</v>
      </c>
      <c r="B411" s="49" t="s">
        <v>1756</v>
      </c>
    </row>
    <row r="412" spans="1:2" x14ac:dyDescent="0.25">
      <c r="A412" s="49">
        <v>1356026520</v>
      </c>
      <c r="B412" s="49" t="s">
        <v>1808</v>
      </c>
    </row>
    <row r="413" spans="1:2" x14ac:dyDescent="0.25">
      <c r="A413" s="49">
        <v>1360796679</v>
      </c>
      <c r="B413" s="49" t="s">
        <v>565</v>
      </c>
    </row>
    <row r="414" spans="1:2" x14ac:dyDescent="0.25">
      <c r="A414" s="49">
        <v>1370951439</v>
      </c>
      <c r="B414" s="49" t="s">
        <v>684</v>
      </c>
    </row>
    <row r="415" spans="1:2" x14ac:dyDescent="0.25">
      <c r="A415" s="49">
        <v>1373168313</v>
      </c>
      <c r="B415" s="49" t="s">
        <v>1069</v>
      </c>
    </row>
    <row r="416" spans="1:2" x14ac:dyDescent="0.25">
      <c r="A416" s="49">
        <v>789220054</v>
      </c>
      <c r="B416" s="49" t="s">
        <v>1501</v>
      </c>
    </row>
    <row r="417" spans="1:2" x14ac:dyDescent="0.25">
      <c r="A417" s="49">
        <v>886660065</v>
      </c>
      <c r="B417" s="49" t="s">
        <v>56</v>
      </c>
    </row>
    <row r="418" spans="1:2" x14ac:dyDescent="0.25">
      <c r="A418" s="49">
        <v>605724225</v>
      </c>
      <c r="B418" s="49" t="s">
        <v>417</v>
      </c>
    </row>
    <row r="419" spans="1:2" x14ac:dyDescent="0.25">
      <c r="A419" s="49">
        <v>857187603</v>
      </c>
      <c r="B419" s="49" t="s">
        <v>1509</v>
      </c>
    </row>
    <row r="420" spans="1:2" x14ac:dyDescent="0.25">
      <c r="A420" s="49">
        <v>785734952</v>
      </c>
      <c r="B420" s="49" t="s">
        <v>1181</v>
      </c>
    </row>
    <row r="421" spans="1:2" x14ac:dyDescent="0.25">
      <c r="A421" s="49">
        <v>1147512063</v>
      </c>
      <c r="B421" s="49" t="s">
        <v>1604</v>
      </c>
    </row>
    <row r="422" spans="1:2" x14ac:dyDescent="0.25">
      <c r="A422" s="49">
        <v>1198418151</v>
      </c>
      <c r="B422" s="49" t="s">
        <v>1344</v>
      </c>
    </row>
    <row r="423" spans="1:2" x14ac:dyDescent="0.25">
      <c r="A423" s="49">
        <v>609954479</v>
      </c>
      <c r="B423" s="49" t="s">
        <v>1424</v>
      </c>
    </row>
    <row r="424" spans="1:2" x14ac:dyDescent="0.25">
      <c r="A424" s="49">
        <v>611674643</v>
      </c>
      <c r="B424" s="49" t="s">
        <v>624</v>
      </c>
    </row>
    <row r="425" spans="1:2" x14ac:dyDescent="0.25">
      <c r="A425" s="49">
        <v>618905002</v>
      </c>
      <c r="B425" s="49" t="s">
        <v>453</v>
      </c>
    </row>
    <row r="426" spans="1:2" x14ac:dyDescent="0.25">
      <c r="A426" s="49">
        <v>641906367</v>
      </c>
      <c r="B426" s="49" t="s">
        <v>1116</v>
      </c>
    </row>
    <row r="427" spans="1:2" x14ac:dyDescent="0.25">
      <c r="A427" s="49">
        <v>641910669</v>
      </c>
      <c r="B427" s="49" t="s">
        <v>674</v>
      </c>
    </row>
    <row r="428" spans="1:2" x14ac:dyDescent="0.25">
      <c r="A428" s="49">
        <v>689227818</v>
      </c>
      <c r="B428" s="49" t="s">
        <v>587</v>
      </c>
    </row>
    <row r="429" spans="1:2" x14ac:dyDescent="0.25">
      <c r="A429" s="49">
        <v>762231866</v>
      </c>
      <c r="B429" s="49" t="s">
        <v>826</v>
      </c>
    </row>
    <row r="430" spans="1:2" x14ac:dyDescent="0.25">
      <c r="A430" s="49">
        <v>776593848</v>
      </c>
      <c r="B430" s="49" t="s">
        <v>198</v>
      </c>
    </row>
    <row r="431" spans="1:2" x14ac:dyDescent="0.25">
      <c r="A431" s="49">
        <v>776742285</v>
      </c>
      <c r="B431" s="49" t="s">
        <v>645</v>
      </c>
    </row>
    <row r="432" spans="1:2" x14ac:dyDescent="0.25">
      <c r="A432" s="49">
        <v>776732960</v>
      </c>
      <c r="B432" s="49" t="s">
        <v>1576</v>
      </c>
    </row>
    <row r="433" spans="1:2" x14ac:dyDescent="0.25">
      <c r="A433" s="49">
        <v>777648529</v>
      </c>
      <c r="B433" s="49" t="s">
        <v>368</v>
      </c>
    </row>
    <row r="434" spans="1:2" x14ac:dyDescent="0.25">
      <c r="A434" s="49">
        <v>780835899</v>
      </c>
      <c r="B434" s="49" t="s">
        <v>440</v>
      </c>
    </row>
    <row r="435" spans="1:2" x14ac:dyDescent="0.25">
      <c r="A435" s="49">
        <v>782120729</v>
      </c>
      <c r="B435" s="49" t="s">
        <v>1263</v>
      </c>
    </row>
    <row r="436" spans="1:2" x14ac:dyDescent="0.25">
      <c r="A436" s="49">
        <v>782115174</v>
      </c>
      <c r="B436" s="49" t="s">
        <v>1276</v>
      </c>
    </row>
    <row r="437" spans="1:2" x14ac:dyDescent="0.25">
      <c r="A437" s="49">
        <v>784479746</v>
      </c>
      <c r="B437" s="49" t="s">
        <v>702</v>
      </c>
    </row>
    <row r="438" spans="1:2" x14ac:dyDescent="0.25">
      <c r="A438" s="49">
        <v>795086880</v>
      </c>
      <c r="B438" s="49" t="s">
        <v>100</v>
      </c>
    </row>
    <row r="439" spans="1:2" x14ac:dyDescent="0.25">
      <c r="A439" s="49">
        <v>799729558</v>
      </c>
      <c r="B439" s="49" t="s">
        <v>1587</v>
      </c>
    </row>
    <row r="440" spans="1:2" x14ac:dyDescent="0.25">
      <c r="A440" s="49">
        <v>871131931</v>
      </c>
      <c r="B440" s="49" t="s">
        <v>1286</v>
      </c>
    </row>
    <row r="441" spans="1:2" x14ac:dyDescent="0.25">
      <c r="A441" s="49">
        <v>878209066</v>
      </c>
      <c r="B441" s="49" t="s">
        <v>953</v>
      </c>
    </row>
    <row r="442" spans="1:2" x14ac:dyDescent="0.25">
      <c r="A442" s="49">
        <v>1103128330</v>
      </c>
      <c r="B442" s="49" t="s">
        <v>851</v>
      </c>
    </row>
    <row r="443" spans="1:2" x14ac:dyDescent="0.25">
      <c r="A443" s="49">
        <v>1103333677</v>
      </c>
      <c r="B443" s="49" t="s">
        <v>859</v>
      </c>
    </row>
    <row r="444" spans="1:2" x14ac:dyDescent="0.25">
      <c r="A444" s="49">
        <v>1114962839</v>
      </c>
      <c r="B444" s="49" t="s">
        <v>847</v>
      </c>
    </row>
    <row r="445" spans="1:2" x14ac:dyDescent="0.25">
      <c r="A445" s="49">
        <v>1120291413</v>
      </c>
      <c r="B445" s="49" t="s">
        <v>173</v>
      </c>
    </row>
    <row r="446" spans="1:2" x14ac:dyDescent="0.25">
      <c r="A446" s="49">
        <v>1134960187</v>
      </c>
      <c r="B446" s="49" t="s">
        <v>114</v>
      </c>
    </row>
    <row r="447" spans="1:2" x14ac:dyDescent="0.25">
      <c r="A447" s="49">
        <v>1150420225</v>
      </c>
      <c r="B447" s="49" t="s">
        <v>257</v>
      </c>
    </row>
    <row r="448" spans="1:2" x14ac:dyDescent="0.25">
      <c r="A448" s="49">
        <v>1154485180</v>
      </c>
      <c r="B448" s="49" t="s">
        <v>1126</v>
      </c>
    </row>
    <row r="449" spans="1:2" x14ac:dyDescent="0.25">
      <c r="A449" s="49">
        <v>1323943452</v>
      </c>
      <c r="B449" s="49" t="s">
        <v>66</v>
      </c>
    </row>
    <row r="450" spans="1:2" x14ac:dyDescent="0.25">
      <c r="A450" s="49">
        <v>1345685707</v>
      </c>
      <c r="B450" s="49" t="s">
        <v>1787</v>
      </c>
    </row>
    <row r="451" spans="1:2" x14ac:dyDescent="0.25">
      <c r="A451" s="49">
        <v>1354968077</v>
      </c>
      <c r="B451" s="49" t="s">
        <v>68</v>
      </c>
    </row>
    <row r="452" spans="1:2" x14ac:dyDescent="0.25">
      <c r="A452" s="49">
        <v>1373198837</v>
      </c>
      <c r="B452" s="49" t="s">
        <v>1793</v>
      </c>
    </row>
    <row r="453" spans="1:2" x14ac:dyDescent="0.25">
      <c r="A453" s="49">
        <v>1456024070</v>
      </c>
      <c r="B453" s="49" t="s">
        <v>3745</v>
      </c>
    </row>
    <row r="454" spans="1:2" x14ac:dyDescent="0.25">
      <c r="A454" s="49">
        <v>1379637793</v>
      </c>
      <c r="B454" s="49" t="s">
        <v>562</v>
      </c>
    </row>
    <row r="455" spans="1:2" x14ac:dyDescent="0.25">
      <c r="A455" s="49">
        <v>682871137</v>
      </c>
      <c r="B455" s="49" t="s">
        <v>570</v>
      </c>
    </row>
    <row r="456" spans="1:2" x14ac:dyDescent="0.25">
      <c r="A456" s="49">
        <v>1127803310</v>
      </c>
      <c r="B456" s="49" t="s">
        <v>1527</v>
      </c>
    </row>
    <row r="457" spans="1:2" x14ac:dyDescent="0.25">
      <c r="A457" s="49">
        <v>1130380554</v>
      </c>
      <c r="B457" s="49" t="s">
        <v>262</v>
      </c>
    </row>
    <row r="458" spans="1:2" x14ac:dyDescent="0.25">
      <c r="A458" s="49">
        <v>1147161137</v>
      </c>
      <c r="B458" s="49" t="s">
        <v>1525</v>
      </c>
    </row>
    <row r="459" spans="1:2" x14ac:dyDescent="0.25">
      <c r="A459" s="49">
        <v>799485477</v>
      </c>
      <c r="B459" s="49" t="s">
        <v>1577</v>
      </c>
    </row>
    <row r="460" spans="1:2" x14ac:dyDescent="0.25">
      <c r="A460" s="49">
        <v>696074373</v>
      </c>
      <c r="B460" s="63" t="s">
        <v>369</v>
      </c>
    </row>
    <row r="461" spans="1:2" x14ac:dyDescent="0.25">
      <c r="A461" s="49">
        <v>762230040</v>
      </c>
      <c r="B461" s="49" t="s">
        <v>1443</v>
      </c>
    </row>
    <row r="462" spans="1:2" x14ac:dyDescent="0.25">
      <c r="A462" s="49">
        <v>767627816</v>
      </c>
      <c r="B462" s="49" t="s">
        <v>3667</v>
      </c>
    </row>
    <row r="463" spans="1:2" x14ac:dyDescent="0.25">
      <c r="A463" s="49">
        <v>778287101</v>
      </c>
      <c r="B463" s="49" t="s">
        <v>1091</v>
      </c>
    </row>
    <row r="464" spans="1:2" x14ac:dyDescent="0.25">
      <c r="A464" s="49">
        <v>779901797</v>
      </c>
      <c r="B464" s="49" t="s">
        <v>556</v>
      </c>
    </row>
    <row r="465" spans="1:2" x14ac:dyDescent="0.25">
      <c r="A465" s="49">
        <v>780826885</v>
      </c>
      <c r="B465" s="49" t="s">
        <v>429</v>
      </c>
    </row>
    <row r="466" spans="1:2" x14ac:dyDescent="0.25">
      <c r="A466" s="49">
        <v>785540489</v>
      </c>
      <c r="B466" s="49" t="s">
        <v>1012</v>
      </c>
    </row>
    <row r="467" spans="1:2" x14ac:dyDescent="0.25">
      <c r="A467" s="49">
        <v>801306735</v>
      </c>
      <c r="B467" s="49" t="s">
        <v>1238</v>
      </c>
    </row>
    <row r="468" spans="1:2" x14ac:dyDescent="0.25">
      <c r="A468" s="49">
        <v>868111995</v>
      </c>
      <c r="B468" s="49" t="s">
        <v>379</v>
      </c>
    </row>
    <row r="469" spans="1:2" x14ac:dyDescent="0.25">
      <c r="A469" s="49">
        <v>928919493</v>
      </c>
      <c r="B469" s="49" t="s">
        <v>1019</v>
      </c>
    </row>
    <row r="470" spans="1:2" x14ac:dyDescent="0.25">
      <c r="A470" s="49">
        <v>935716172</v>
      </c>
      <c r="B470" s="49" t="s">
        <v>748</v>
      </c>
    </row>
    <row r="471" spans="1:2" x14ac:dyDescent="0.25">
      <c r="A471" s="49">
        <v>1120781115</v>
      </c>
      <c r="B471" s="49" t="s">
        <v>875</v>
      </c>
    </row>
    <row r="472" spans="1:2" x14ac:dyDescent="0.25">
      <c r="A472" s="49">
        <v>1129360268</v>
      </c>
      <c r="B472" s="49" t="s">
        <v>3655</v>
      </c>
    </row>
    <row r="473" spans="1:2" x14ac:dyDescent="0.25">
      <c r="A473" s="49">
        <v>1147512064</v>
      </c>
      <c r="B473" s="49" t="s">
        <v>1604</v>
      </c>
    </row>
    <row r="474" spans="1:2" x14ac:dyDescent="0.25">
      <c r="A474" s="49">
        <v>1147500660</v>
      </c>
      <c r="B474" s="49" t="s">
        <v>1603</v>
      </c>
    </row>
    <row r="475" spans="1:2" x14ac:dyDescent="0.25">
      <c r="A475" s="49">
        <v>1159841469</v>
      </c>
      <c r="B475" s="49" t="s">
        <v>1648</v>
      </c>
    </row>
    <row r="476" spans="1:2" x14ac:dyDescent="0.25">
      <c r="A476" s="49">
        <v>1185380612</v>
      </c>
      <c r="B476" s="49" t="s">
        <v>1432</v>
      </c>
    </row>
    <row r="477" spans="1:2" x14ac:dyDescent="0.25">
      <c r="A477" s="49">
        <v>1186062161</v>
      </c>
      <c r="B477" s="49" t="s">
        <v>1035</v>
      </c>
    </row>
    <row r="478" spans="1:2" x14ac:dyDescent="0.25">
      <c r="A478" s="49">
        <v>1202308179</v>
      </c>
      <c r="B478" s="49" t="s">
        <v>1384</v>
      </c>
    </row>
    <row r="479" spans="1:2" x14ac:dyDescent="0.25">
      <c r="A479" s="49">
        <v>1339106069</v>
      </c>
      <c r="B479" s="49" t="s">
        <v>1744</v>
      </c>
    </row>
    <row r="480" spans="1:2" x14ac:dyDescent="0.25">
      <c r="A480" s="49">
        <v>1351159083</v>
      </c>
      <c r="B480" s="49" t="s">
        <v>1457</v>
      </c>
    </row>
    <row r="481" spans="1:2" x14ac:dyDescent="0.25">
      <c r="A481" s="49">
        <v>1355571811</v>
      </c>
      <c r="B481" s="49" t="s">
        <v>1812</v>
      </c>
    </row>
    <row r="482" spans="1:2" x14ac:dyDescent="0.25">
      <c r="A482" s="49">
        <v>640556016</v>
      </c>
      <c r="B482" s="49" t="s">
        <v>1437</v>
      </c>
    </row>
    <row r="483" spans="1:2" x14ac:dyDescent="0.25">
      <c r="A483" s="49">
        <v>668486868</v>
      </c>
      <c r="B483" s="49" t="s">
        <v>1637</v>
      </c>
    </row>
    <row r="484" spans="1:2" x14ac:dyDescent="0.25">
      <c r="A484" s="49">
        <v>776742803</v>
      </c>
      <c r="B484" s="49" t="s">
        <v>1596</v>
      </c>
    </row>
    <row r="485" spans="1:2" x14ac:dyDescent="0.25">
      <c r="A485" s="49">
        <v>618928669</v>
      </c>
      <c r="B485" s="49" t="s">
        <v>985</v>
      </c>
    </row>
    <row r="486" spans="1:2" x14ac:dyDescent="0.25">
      <c r="A486" s="49">
        <v>695608017</v>
      </c>
      <c r="B486" s="49" t="s">
        <v>1138</v>
      </c>
    </row>
    <row r="487" spans="1:2" x14ac:dyDescent="0.25">
      <c r="A487" s="49">
        <v>703677534</v>
      </c>
      <c r="B487" s="49" t="s">
        <v>1632</v>
      </c>
    </row>
    <row r="488" spans="1:2" x14ac:dyDescent="0.25">
      <c r="A488" s="49">
        <v>719638812</v>
      </c>
      <c r="B488" s="49" t="s">
        <v>783</v>
      </c>
    </row>
    <row r="489" spans="1:2" x14ac:dyDescent="0.25">
      <c r="A489" s="49">
        <v>781345955</v>
      </c>
      <c r="B489" s="49" t="s">
        <v>1115</v>
      </c>
    </row>
    <row r="490" spans="1:2" x14ac:dyDescent="0.25">
      <c r="A490" s="49">
        <v>782112909</v>
      </c>
      <c r="B490" s="49" t="s">
        <v>1296</v>
      </c>
    </row>
    <row r="491" spans="1:2" x14ac:dyDescent="0.25">
      <c r="A491" s="49">
        <v>783572226</v>
      </c>
      <c r="B491" s="49" t="s">
        <v>617</v>
      </c>
    </row>
    <row r="492" spans="1:2" x14ac:dyDescent="0.25">
      <c r="A492" s="49">
        <v>830044461</v>
      </c>
      <c r="B492" s="49" t="s">
        <v>760</v>
      </c>
    </row>
    <row r="493" spans="1:2" x14ac:dyDescent="0.25">
      <c r="A493" s="49">
        <v>836070844</v>
      </c>
      <c r="B493" s="49" t="s">
        <v>992</v>
      </c>
    </row>
    <row r="494" spans="1:2" x14ac:dyDescent="0.25">
      <c r="A494" s="49">
        <v>909404100</v>
      </c>
      <c r="B494" s="49" t="s">
        <v>1094</v>
      </c>
    </row>
    <row r="495" spans="1:2" x14ac:dyDescent="0.25">
      <c r="A495" s="49">
        <v>1110723380</v>
      </c>
      <c r="B495" s="49" t="s">
        <v>1712</v>
      </c>
    </row>
    <row r="496" spans="1:2" x14ac:dyDescent="0.25">
      <c r="A496" s="49">
        <v>1345684886</v>
      </c>
      <c r="B496" s="49" t="s">
        <v>1788</v>
      </c>
    </row>
    <row r="497" spans="1:2" x14ac:dyDescent="0.25">
      <c r="A497" s="49">
        <v>1443528010</v>
      </c>
      <c r="B497" s="49" t="s">
        <v>1827</v>
      </c>
    </row>
    <row r="498" spans="1:2" x14ac:dyDescent="0.25">
      <c r="A498" s="49">
        <v>1379536019</v>
      </c>
      <c r="B498" s="49" t="s">
        <v>1530</v>
      </c>
    </row>
    <row r="499" spans="1:2" x14ac:dyDescent="0.25">
      <c r="A499" s="49">
        <v>617135743</v>
      </c>
      <c r="B499" s="49" t="s">
        <v>427</v>
      </c>
    </row>
    <row r="500" spans="1:2" x14ac:dyDescent="0.25">
      <c r="A500" s="49">
        <v>863228680</v>
      </c>
      <c r="B500" s="49" t="s">
        <v>1622</v>
      </c>
    </row>
    <row r="501" spans="1:2" x14ac:dyDescent="0.25">
      <c r="A501" s="49">
        <v>639826702</v>
      </c>
      <c r="B501" s="49" t="s">
        <v>1561</v>
      </c>
    </row>
    <row r="502" spans="1:2" x14ac:dyDescent="0.25">
      <c r="A502" s="49">
        <v>690429980</v>
      </c>
      <c r="B502" s="49" t="s">
        <v>1310</v>
      </c>
    </row>
    <row r="503" spans="1:2" x14ac:dyDescent="0.25">
      <c r="A503" s="49">
        <v>693759083</v>
      </c>
      <c r="B503" s="49" t="s">
        <v>208</v>
      </c>
    </row>
    <row r="504" spans="1:2" x14ac:dyDescent="0.25">
      <c r="A504" s="49">
        <v>717838047</v>
      </c>
      <c r="B504" s="49" t="s">
        <v>812</v>
      </c>
    </row>
    <row r="505" spans="1:2" x14ac:dyDescent="0.25">
      <c r="A505" s="49">
        <v>781291094</v>
      </c>
      <c r="B505" s="49" t="s">
        <v>528</v>
      </c>
    </row>
    <row r="506" spans="1:2" x14ac:dyDescent="0.25">
      <c r="A506" s="49">
        <v>816687849</v>
      </c>
      <c r="B506" s="49" t="s">
        <v>1480</v>
      </c>
    </row>
    <row r="507" spans="1:2" x14ac:dyDescent="0.25">
      <c r="A507" s="49">
        <v>821871145</v>
      </c>
      <c r="B507" s="49" t="s">
        <v>512</v>
      </c>
    </row>
    <row r="508" spans="1:2" x14ac:dyDescent="0.25">
      <c r="A508" s="49">
        <v>846629756</v>
      </c>
      <c r="B508" s="49" t="s">
        <v>466</v>
      </c>
    </row>
    <row r="509" spans="1:2" x14ac:dyDescent="0.25">
      <c r="A509" s="49">
        <v>928921460</v>
      </c>
      <c r="B509" s="49" t="s">
        <v>1020</v>
      </c>
    </row>
    <row r="510" spans="1:2" x14ac:dyDescent="0.25">
      <c r="A510" s="49">
        <v>934280107</v>
      </c>
      <c r="B510" s="49" t="s">
        <v>127</v>
      </c>
    </row>
    <row r="511" spans="1:2" x14ac:dyDescent="0.25">
      <c r="A511" s="49">
        <v>1105749597</v>
      </c>
      <c r="B511" s="49" t="s">
        <v>1449</v>
      </c>
    </row>
    <row r="512" spans="1:2" x14ac:dyDescent="0.25">
      <c r="A512" s="49">
        <v>1122712197</v>
      </c>
      <c r="B512" s="49" t="s">
        <v>939</v>
      </c>
    </row>
    <row r="513" spans="1:2" x14ac:dyDescent="0.25">
      <c r="A513" s="49">
        <v>1147635834</v>
      </c>
      <c r="B513" s="49" t="s">
        <v>122</v>
      </c>
    </row>
    <row r="514" spans="1:2" x14ac:dyDescent="0.25">
      <c r="A514" s="49">
        <v>1160219875</v>
      </c>
      <c r="B514" s="49" t="s">
        <v>1136</v>
      </c>
    </row>
    <row r="515" spans="1:2" x14ac:dyDescent="0.25">
      <c r="A515" s="49">
        <v>1162566725</v>
      </c>
      <c r="B515" s="49" t="s">
        <v>1567</v>
      </c>
    </row>
    <row r="516" spans="1:2" x14ac:dyDescent="0.25">
      <c r="A516" s="49">
        <v>782129806</v>
      </c>
      <c r="B516" s="49" t="s">
        <v>1159</v>
      </c>
    </row>
    <row r="517" spans="1:2" x14ac:dyDescent="0.25">
      <c r="A517" s="49">
        <v>676750522</v>
      </c>
      <c r="B517" s="49" t="s">
        <v>1592</v>
      </c>
    </row>
    <row r="518" spans="1:2" x14ac:dyDescent="0.25">
      <c r="A518" s="49">
        <v>816356898</v>
      </c>
      <c r="B518" s="49" t="s">
        <v>1418</v>
      </c>
    </row>
    <row r="519" spans="1:2" x14ac:dyDescent="0.25">
      <c r="A519" s="49">
        <v>1250602934</v>
      </c>
      <c r="B519" s="49" t="s">
        <v>1724</v>
      </c>
    </row>
    <row r="520" spans="1:2" x14ac:dyDescent="0.25">
      <c r="A520" s="49">
        <v>605724249</v>
      </c>
      <c r="B520" s="49" t="s">
        <v>321</v>
      </c>
    </row>
    <row r="521" spans="1:2" x14ac:dyDescent="0.25">
      <c r="A521" s="49">
        <v>609859302</v>
      </c>
      <c r="B521" s="49" t="s">
        <v>1365</v>
      </c>
    </row>
    <row r="522" spans="1:2" x14ac:dyDescent="0.25">
      <c r="A522" s="49">
        <v>641910871</v>
      </c>
      <c r="B522" s="49" t="s">
        <v>688</v>
      </c>
    </row>
    <row r="523" spans="1:2" x14ac:dyDescent="0.25">
      <c r="A523" s="49">
        <v>756015421</v>
      </c>
      <c r="B523" s="49" t="s">
        <v>1103</v>
      </c>
    </row>
    <row r="524" spans="1:2" x14ac:dyDescent="0.25">
      <c r="A524" s="49">
        <v>760285514</v>
      </c>
      <c r="B524" s="49" t="s">
        <v>1168</v>
      </c>
    </row>
    <row r="525" spans="1:2" x14ac:dyDescent="0.25">
      <c r="A525" s="49">
        <v>767443579</v>
      </c>
      <c r="B525" s="49" t="s">
        <v>136</v>
      </c>
    </row>
    <row r="526" spans="1:2" x14ac:dyDescent="0.25">
      <c r="A526" s="49">
        <v>784479358</v>
      </c>
      <c r="B526" s="49" t="s">
        <v>989</v>
      </c>
    </row>
    <row r="527" spans="1:2" x14ac:dyDescent="0.25">
      <c r="A527" s="49">
        <v>835444379</v>
      </c>
      <c r="B527" s="49" t="s">
        <v>1359</v>
      </c>
    </row>
    <row r="528" spans="1:2" x14ac:dyDescent="0.25">
      <c r="A528" s="49">
        <v>839388132</v>
      </c>
      <c r="B528" s="49" t="s">
        <v>1351</v>
      </c>
    </row>
    <row r="529" spans="1:2" x14ac:dyDescent="0.25">
      <c r="A529" s="49">
        <v>878724003</v>
      </c>
      <c r="B529" s="49" t="s">
        <v>228</v>
      </c>
    </row>
    <row r="530" spans="1:2" x14ac:dyDescent="0.25">
      <c r="A530" s="49">
        <v>896090392</v>
      </c>
      <c r="B530" s="49" t="s">
        <v>579</v>
      </c>
    </row>
    <row r="531" spans="1:2" x14ac:dyDescent="0.25">
      <c r="A531" s="49">
        <v>1103687539</v>
      </c>
      <c r="B531" s="49" t="s">
        <v>869</v>
      </c>
    </row>
    <row r="532" spans="1:2" x14ac:dyDescent="0.25">
      <c r="A532" s="49">
        <v>1141033563</v>
      </c>
      <c r="B532" s="49" t="s">
        <v>63</v>
      </c>
    </row>
    <row r="533" spans="1:2" x14ac:dyDescent="0.25">
      <c r="A533" s="49">
        <v>1154562371</v>
      </c>
      <c r="B533" s="49" t="s">
        <v>1396</v>
      </c>
    </row>
    <row r="534" spans="1:2" x14ac:dyDescent="0.25">
      <c r="A534" s="49">
        <v>1397634608</v>
      </c>
      <c r="B534" s="49" t="s">
        <v>1824</v>
      </c>
    </row>
    <row r="535" spans="1:2" x14ac:dyDescent="0.25">
      <c r="A535" s="49">
        <v>899095856</v>
      </c>
      <c r="B535" s="49" t="s">
        <v>602</v>
      </c>
    </row>
    <row r="536" spans="1:2" x14ac:dyDescent="0.25">
      <c r="A536" s="49">
        <v>766888695</v>
      </c>
      <c r="B536" s="49" t="s">
        <v>1508</v>
      </c>
    </row>
    <row r="537" spans="1:2" x14ac:dyDescent="0.25">
      <c r="A537" s="49">
        <v>882915133</v>
      </c>
      <c r="B537" s="49" t="s">
        <v>1176</v>
      </c>
    </row>
    <row r="538" spans="1:2" x14ac:dyDescent="0.25">
      <c r="A538" s="49">
        <v>1100205634</v>
      </c>
      <c r="B538" s="49" t="s">
        <v>774</v>
      </c>
    </row>
    <row r="539" spans="1:2" x14ac:dyDescent="0.25">
      <c r="A539" s="49">
        <v>1110671466</v>
      </c>
      <c r="B539" s="49" t="s">
        <v>1712</v>
      </c>
    </row>
    <row r="540" spans="1:2" x14ac:dyDescent="0.25">
      <c r="A540" s="49">
        <v>1110832428</v>
      </c>
      <c r="B540" s="49" t="s">
        <v>1714</v>
      </c>
    </row>
    <row r="541" spans="1:2" x14ac:dyDescent="0.25">
      <c r="A541" s="49">
        <v>1130835326</v>
      </c>
      <c r="B541" s="49" t="s">
        <v>1107</v>
      </c>
    </row>
    <row r="542" spans="1:2" x14ac:dyDescent="0.25">
      <c r="A542" s="49">
        <v>612229236</v>
      </c>
      <c r="B542" s="49" t="s">
        <v>317</v>
      </c>
    </row>
    <row r="543" spans="1:2" x14ac:dyDescent="0.25">
      <c r="A543" s="49">
        <v>621423639</v>
      </c>
      <c r="B543" s="49" t="s">
        <v>72</v>
      </c>
    </row>
    <row r="544" spans="1:2" x14ac:dyDescent="0.25">
      <c r="A544" s="49">
        <v>681956675</v>
      </c>
      <c r="B544" s="49" t="s">
        <v>616</v>
      </c>
    </row>
    <row r="545" spans="1:2" x14ac:dyDescent="0.25">
      <c r="A545" s="49">
        <v>684496425</v>
      </c>
      <c r="B545" s="49" t="s">
        <v>247</v>
      </c>
    </row>
    <row r="546" spans="1:2" x14ac:dyDescent="0.25">
      <c r="A546" s="49">
        <v>699213798</v>
      </c>
      <c r="B546" s="49" t="s">
        <v>519</v>
      </c>
    </row>
    <row r="547" spans="1:2" x14ac:dyDescent="0.25">
      <c r="A547" s="49">
        <v>721767588</v>
      </c>
      <c r="B547" s="49" t="s">
        <v>895</v>
      </c>
    </row>
    <row r="548" spans="1:2" x14ac:dyDescent="0.25">
      <c r="A548" s="49">
        <v>731664630</v>
      </c>
      <c r="B548" s="49" t="s">
        <v>1570</v>
      </c>
    </row>
    <row r="549" spans="1:2" x14ac:dyDescent="0.25">
      <c r="A549" s="49">
        <v>762401668</v>
      </c>
      <c r="B549" s="49" t="s">
        <v>123</v>
      </c>
    </row>
    <row r="550" spans="1:2" x14ac:dyDescent="0.25">
      <c r="A550" s="49">
        <v>778010356</v>
      </c>
      <c r="B550" s="49" t="s">
        <v>535</v>
      </c>
    </row>
    <row r="551" spans="1:2" x14ac:dyDescent="0.25">
      <c r="A551" s="49">
        <v>778450986</v>
      </c>
      <c r="B551" s="49" t="s">
        <v>1274</v>
      </c>
    </row>
    <row r="552" spans="1:2" x14ac:dyDescent="0.25">
      <c r="A552" s="49">
        <v>778960466</v>
      </c>
      <c r="B552" s="49" t="s">
        <v>310</v>
      </c>
    </row>
    <row r="553" spans="1:2" x14ac:dyDescent="0.25">
      <c r="A553" s="49">
        <v>781978941</v>
      </c>
      <c r="B553" s="49" t="s">
        <v>274</v>
      </c>
    </row>
    <row r="554" spans="1:2" x14ac:dyDescent="0.25">
      <c r="A554" s="49">
        <v>792121036</v>
      </c>
      <c r="B554" s="49" t="s">
        <v>1650</v>
      </c>
    </row>
    <row r="555" spans="1:2" x14ac:dyDescent="0.25">
      <c r="A555" s="49">
        <v>863218277</v>
      </c>
      <c r="B555" s="49" t="s">
        <v>1616</v>
      </c>
    </row>
    <row r="556" spans="1:2" x14ac:dyDescent="0.25">
      <c r="A556" s="49">
        <v>912644967</v>
      </c>
      <c r="B556" s="49" t="s">
        <v>946</v>
      </c>
    </row>
    <row r="557" spans="1:2" x14ac:dyDescent="0.25">
      <c r="A557" s="49">
        <v>913491519</v>
      </c>
      <c r="B557" s="49" t="s">
        <v>3650</v>
      </c>
    </row>
    <row r="558" spans="1:2" x14ac:dyDescent="0.25">
      <c r="A558" s="49">
        <v>1105219057</v>
      </c>
      <c r="B558" s="49" t="s">
        <v>553</v>
      </c>
    </row>
    <row r="559" spans="1:2" x14ac:dyDescent="0.25">
      <c r="A559" s="49">
        <v>1221083801</v>
      </c>
      <c r="B559" s="49" t="s">
        <v>1135</v>
      </c>
    </row>
    <row r="560" spans="1:2" x14ac:dyDescent="0.25">
      <c r="A560" s="49">
        <v>1339953859</v>
      </c>
      <c r="B560" s="49" t="s">
        <v>1751</v>
      </c>
    </row>
    <row r="561" spans="1:2" x14ac:dyDescent="0.25">
      <c r="A561" s="49">
        <v>1373168187</v>
      </c>
      <c r="B561" s="49" t="s">
        <v>254</v>
      </c>
    </row>
    <row r="562" spans="1:2" x14ac:dyDescent="0.25">
      <c r="A562" s="49">
        <v>776431519</v>
      </c>
      <c r="B562" s="49" t="s">
        <v>1674</v>
      </c>
    </row>
    <row r="563" spans="1:2" x14ac:dyDescent="0.25">
      <c r="A563" s="49">
        <v>836714217</v>
      </c>
      <c r="B563" s="49" t="s">
        <v>3652</v>
      </c>
    </row>
    <row r="564" spans="1:2" x14ac:dyDescent="0.25">
      <c r="A564" s="49">
        <v>616449381</v>
      </c>
      <c r="B564" s="49" t="s">
        <v>1019</v>
      </c>
    </row>
    <row r="565" spans="1:2" x14ac:dyDescent="0.25">
      <c r="A565" s="49">
        <v>1114287531</v>
      </c>
      <c r="B565" s="49" t="s">
        <v>205</v>
      </c>
    </row>
    <row r="566" spans="1:2" x14ac:dyDescent="0.25">
      <c r="A566" s="49">
        <v>1122345379</v>
      </c>
      <c r="B566" s="49" t="s">
        <v>1718</v>
      </c>
    </row>
    <row r="567" spans="1:2" x14ac:dyDescent="0.25">
      <c r="A567" s="49">
        <v>1126129711</v>
      </c>
      <c r="B567" s="49" t="s">
        <v>3656</v>
      </c>
    </row>
    <row r="568" spans="1:2" x14ac:dyDescent="0.25">
      <c r="A568" s="49">
        <v>1194603909</v>
      </c>
      <c r="B568" s="49" t="s">
        <v>1313</v>
      </c>
    </row>
    <row r="569" spans="1:2" x14ac:dyDescent="0.25">
      <c r="A569" s="49">
        <v>675261542</v>
      </c>
      <c r="B569" s="49" t="s">
        <v>1098</v>
      </c>
    </row>
    <row r="570" spans="1:2" x14ac:dyDescent="0.25">
      <c r="A570" s="49">
        <v>695151075</v>
      </c>
      <c r="B570" s="49" t="s">
        <v>715</v>
      </c>
    </row>
    <row r="571" spans="1:2" x14ac:dyDescent="0.25">
      <c r="A571" s="49">
        <v>710046928</v>
      </c>
      <c r="B571" s="49" t="s">
        <v>1282</v>
      </c>
    </row>
    <row r="572" spans="1:2" x14ac:dyDescent="0.25">
      <c r="A572" s="49">
        <v>733292817</v>
      </c>
      <c r="B572" s="49" t="s">
        <v>1635</v>
      </c>
    </row>
    <row r="573" spans="1:2" x14ac:dyDescent="0.25">
      <c r="A573" s="49">
        <v>742981071</v>
      </c>
      <c r="B573" s="49" t="s">
        <v>1216</v>
      </c>
    </row>
    <row r="574" spans="1:2" x14ac:dyDescent="0.25">
      <c r="A574" s="49">
        <v>776744149</v>
      </c>
      <c r="B574" s="49" t="s">
        <v>1156</v>
      </c>
    </row>
    <row r="575" spans="1:2" x14ac:dyDescent="0.25">
      <c r="A575" s="49">
        <v>777650573</v>
      </c>
      <c r="B575" s="63" t="s">
        <v>495</v>
      </c>
    </row>
    <row r="576" spans="1:2" x14ac:dyDescent="0.25">
      <c r="A576" s="49">
        <v>777598787</v>
      </c>
      <c r="B576" s="49" t="s">
        <v>699</v>
      </c>
    </row>
    <row r="577" spans="1:2" x14ac:dyDescent="0.25">
      <c r="A577" s="49">
        <v>778960683</v>
      </c>
      <c r="B577" s="49" t="s">
        <v>518</v>
      </c>
    </row>
    <row r="578" spans="1:2" x14ac:dyDescent="0.25">
      <c r="A578" s="49">
        <v>794753788</v>
      </c>
      <c r="B578" s="49" t="s">
        <v>1659</v>
      </c>
    </row>
    <row r="579" spans="1:2" x14ac:dyDescent="0.25">
      <c r="A579" s="49">
        <v>864511930</v>
      </c>
      <c r="B579" s="49" t="s">
        <v>360</v>
      </c>
    </row>
    <row r="580" spans="1:2" x14ac:dyDescent="0.25">
      <c r="A580" s="49">
        <v>868769444</v>
      </c>
      <c r="B580" s="49" t="s">
        <v>391</v>
      </c>
    </row>
    <row r="581" spans="1:2" x14ac:dyDescent="0.25">
      <c r="A581" s="49">
        <v>900844757</v>
      </c>
      <c r="B581" s="49" t="s">
        <v>1399</v>
      </c>
    </row>
    <row r="582" spans="1:2" x14ac:dyDescent="0.25">
      <c r="A582" s="49">
        <v>913507127</v>
      </c>
      <c r="B582" s="49" t="s">
        <v>3651</v>
      </c>
    </row>
    <row r="583" spans="1:2" x14ac:dyDescent="0.25">
      <c r="A583" s="49">
        <v>928911722</v>
      </c>
      <c r="B583" s="49" t="s">
        <v>951</v>
      </c>
    </row>
    <row r="584" spans="1:2" x14ac:dyDescent="0.25">
      <c r="A584" s="49">
        <v>929150120</v>
      </c>
      <c r="B584" s="49" t="s">
        <v>1550</v>
      </c>
    </row>
    <row r="585" spans="1:2" x14ac:dyDescent="0.25">
      <c r="A585" s="49">
        <v>1120938621</v>
      </c>
      <c r="B585" s="49" t="s">
        <v>1707</v>
      </c>
    </row>
    <row r="586" spans="1:2" x14ac:dyDescent="0.25">
      <c r="A586" s="49">
        <v>1144466943</v>
      </c>
      <c r="B586" s="49" t="s">
        <v>981</v>
      </c>
    </row>
    <row r="587" spans="1:2" x14ac:dyDescent="0.25">
      <c r="A587" s="49">
        <v>1183926238</v>
      </c>
      <c r="B587" s="49" t="s">
        <v>999</v>
      </c>
    </row>
    <row r="588" spans="1:2" x14ac:dyDescent="0.25">
      <c r="A588" s="49">
        <v>1185178459</v>
      </c>
      <c r="B588" s="49" t="s">
        <v>1432</v>
      </c>
    </row>
    <row r="589" spans="1:2" x14ac:dyDescent="0.25">
      <c r="A589" s="49">
        <v>1187432733</v>
      </c>
      <c r="B589" s="49" t="s">
        <v>158</v>
      </c>
    </row>
    <row r="590" spans="1:2" x14ac:dyDescent="0.25">
      <c r="A590" s="49">
        <v>1221579580</v>
      </c>
      <c r="B590" s="49" t="s">
        <v>111</v>
      </c>
    </row>
    <row r="591" spans="1:2" x14ac:dyDescent="0.25">
      <c r="A591" s="49">
        <v>1285919126</v>
      </c>
      <c r="B591" s="49" t="s">
        <v>1731</v>
      </c>
    </row>
    <row r="592" spans="1:2" x14ac:dyDescent="0.25">
      <c r="A592" s="49">
        <v>1315752798</v>
      </c>
      <c r="B592" s="49" t="s">
        <v>1737</v>
      </c>
    </row>
    <row r="593" spans="1:2" x14ac:dyDescent="0.25">
      <c r="A593" s="49">
        <v>1366109765</v>
      </c>
      <c r="B593" s="49" t="s">
        <v>1822</v>
      </c>
    </row>
    <row r="594" spans="1:2" x14ac:dyDescent="0.25">
      <c r="A594" s="49">
        <v>1377624887</v>
      </c>
      <c r="B594" s="49" t="s">
        <v>789</v>
      </c>
    </row>
    <row r="595" spans="1:2" x14ac:dyDescent="0.25">
      <c r="A595" s="49">
        <v>1379561549</v>
      </c>
      <c r="B595" s="49" t="s">
        <v>1799</v>
      </c>
    </row>
    <row r="596" spans="1:2" x14ac:dyDescent="0.25">
      <c r="A596" s="49">
        <v>799470647</v>
      </c>
      <c r="B596" s="49" t="s">
        <v>3655</v>
      </c>
    </row>
    <row r="597" spans="1:2" x14ac:dyDescent="0.25">
      <c r="A597" s="49">
        <v>607180695</v>
      </c>
      <c r="B597" s="49" t="s">
        <v>461</v>
      </c>
    </row>
    <row r="598" spans="1:2" x14ac:dyDescent="0.25">
      <c r="A598" s="49">
        <v>1134007606</v>
      </c>
      <c r="B598" s="49" t="s">
        <v>167</v>
      </c>
    </row>
    <row r="599" spans="1:2" x14ac:dyDescent="0.25">
      <c r="A599" s="49">
        <v>1134216176</v>
      </c>
      <c r="B599" s="49" t="s">
        <v>171</v>
      </c>
    </row>
    <row r="600" spans="1:2" x14ac:dyDescent="0.25">
      <c r="A600" s="49">
        <v>611569508</v>
      </c>
      <c r="B600" s="49" t="s">
        <v>768</v>
      </c>
    </row>
    <row r="601" spans="1:2" x14ac:dyDescent="0.25">
      <c r="A601" s="49">
        <v>617317848</v>
      </c>
      <c r="B601" s="49" t="s">
        <v>469</v>
      </c>
    </row>
    <row r="602" spans="1:2" x14ac:dyDescent="0.25">
      <c r="A602" s="49">
        <v>621404178</v>
      </c>
      <c r="B602" s="49" t="s">
        <v>184</v>
      </c>
    </row>
    <row r="603" spans="1:2" x14ac:dyDescent="0.25">
      <c r="A603" s="49">
        <v>625579712</v>
      </c>
      <c r="B603" s="49" t="s">
        <v>983</v>
      </c>
    </row>
    <row r="604" spans="1:2" x14ac:dyDescent="0.25">
      <c r="A604" s="49">
        <v>682990600</v>
      </c>
      <c r="B604" s="49" t="s">
        <v>1488</v>
      </c>
    </row>
    <row r="605" spans="1:2" x14ac:dyDescent="0.25">
      <c r="A605" s="49">
        <v>708053703</v>
      </c>
      <c r="B605" s="49" t="s">
        <v>335</v>
      </c>
    </row>
    <row r="606" spans="1:2" x14ac:dyDescent="0.25">
      <c r="A606" s="49">
        <v>760284277</v>
      </c>
      <c r="B606" s="49" t="s">
        <v>287</v>
      </c>
    </row>
    <row r="607" spans="1:2" x14ac:dyDescent="0.25">
      <c r="A607" s="49">
        <v>760283237</v>
      </c>
      <c r="B607" s="49" t="s">
        <v>1429</v>
      </c>
    </row>
    <row r="608" spans="1:2" x14ac:dyDescent="0.25">
      <c r="A608" s="49">
        <v>778014518</v>
      </c>
      <c r="B608" s="49" t="s">
        <v>784</v>
      </c>
    </row>
    <row r="609" spans="1:2" x14ac:dyDescent="0.25">
      <c r="A609" s="49">
        <v>780588594</v>
      </c>
      <c r="B609" s="49" t="s">
        <v>1080</v>
      </c>
    </row>
    <row r="610" spans="1:2" x14ac:dyDescent="0.25">
      <c r="A610" s="49">
        <v>782127590</v>
      </c>
      <c r="B610" s="49" t="s">
        <v>280</v>
      </c>
    </row>
    <row r="611" spans="1:2" x14ac:dyDescent="0.25">
      <c r="A611" s="49">
        <v>784069804</v>
      </c>
      <c r="B611" s="49" t="s">
        <v>670</v>
      </c>
    </row>
    <row r="612" spans="1:2" x14ac:dyDescent="0.25">
      <c r="A612" s="49">
        <v>785196201</v>
      </c>
      <c r="B612" s="49" t="s">
        <v>742</v>
      </c>
    </row>
    <row r="613" spans="1:2" x14ac:dyDescent="0.25">
      <c r="A613" s="49">
        <v>928538373</v>
      </c>
      <c r="B613" s="49" t="s">
        <v>1437</v>
      </c>
    </row>
    <row r="614" spans="1:2" x14ac:dyDescent="0.25">
      <c r="A614" s="49">
        <v>1111172633</v>
      </c>
      <c r="B614" s="49" t="s">
        <v>837</v>
      </c>
    </row>
    <row r="615" spans="1:2" x14ac:dyDescent="0.25">
      <c r="A615" s="49">
        <v>1342823467</v>
      </c>
      <c r="B615" s="49" t="s">
        <v>1772</v>
      </c>
    </row>
    <row r="616" spans="1:2" x14ac:dyDescent="0.25">
      <c r="A616" s="49">
        <v>1342778031</v>
      </c>
      <c r="B616" s="49" t="s">
        <v>1771</v>
      </c>
    </row>
    <row r="617" spans="1:2" x14ac:dyDescent="0.25">
      <c r="A617" s="49">
        <v>1355677237</v>
      </c>
      <c r="B617" s="49" t="s">
        <v>1806</v>
      </c>
    </row>
    <row r="618" spans="1:2" x14ac:dyDescent="0.25">
      <c r="A618" s="49">
        <v>1373223815</v>
      </c>
      <c r="B618" s="49" t="s">
        <v>790</v>
      </c>
    </row>
    <row r="619" spans="1:2" x14ac:dyDescent="0.25">
      <c r="A619" s="49">
        <v>607960918</v>
      </c>
      <c r="B619" s="49" t="s">
        <v>1220</v>
      </c>
    </row>
    <row r="620" spans="1:2" x14ac:dyDescent="0.25">
      <c r="A620" s="49">
        <v>675250178</v>
      </c>
      <c r="B620" s="49" t="s">
        <v>1677</v>
      </c>
    </row>
    <row r="621" spans="1:2" x14ac:dyDescent="0.25">
      <c r="A621" s="49">
        <v>899200329</v>
      </c>
      <c r="B621" s="49" t="s">
        <v>603</v>
      </c>
    </row>
    <row r="622" spans="1:2" x14ac:dyDescent="0.25">
      <c r="A622" s="49">
        <v>928740937</v>
      </c>
      <c r="B622" s="49" t="s">
        <v>1389</v>
      </c>
    </row>
    <row r="623" spans="1:2" x14ac:dyDescent="0.25">
      <c r="A623" s="49">
        <v>1109199040</v>
      </c>
      <c r="B623" s="49" t="s">
        <v>779</v>
      </c>
    </row>
    <row r="624" spans="1:2" x14ac:dyDescent="0.25">
      <c r="A624" s="49">
        <v>1186149314</v>
      </c>
      <c r="B624" s="63" t="s">
        <v>1035</v>
      </c>
    </row>
    <row r="625" spans="1:2" x14ac:dyDescent="0.25">
      <c r="A625" s="49">
        <v>1298848347</v>
      </c>
      <c r="B625" s="49" t="s">
        <v>1735</v>
      </c>
    </row>
    <row r="626" spans="1:2" x14ac:dyDescent="0.25">
      <c r="A626" s="49">
        <v>1338771820</v>
      </c>
      <c r="B626" s="49" t="s">
        <v>1745</v>
      </c>
    </row>
    <row r="627" spans="1:2" x14ac:dyDescent="0.25">
      <c r="A627" s="49">
        <v>612229233</v>
      </c>
      <c r="B627" s="49" t="s">
        <v>430</v>
      </c>
    </row>
    <row r="628" spans="1:2" x14ac:dyDescent="0.25">
      <c r="A628" s="49">
        <v>621416961</v>
      </c>
      <c r="B628" s="49" t="s">
        <v>227</v>
      </c>
    </row>
    <row r="629" spans="1:2" x14ac:dyDescent="0.25">
      <c r="A629" s="49">
        <v>647591992</v>
      </c>
      <c r="B629" s="49" t="s">
        <v>1042</v>
      </c>
    </row>
    <row r="630" spans="1:2" x14ac:dyDescent="0.25">
      <c r="A630" s="49">
        <v>649839402</v>
      </c>
      <c r="B630" s="49" t="s">
        <v>423</v>
      </c>
    </row>
    <row r="631" spans="1:2" x14ac:dyDescent="0.25">
      <c r="A631" s="49">
        <v>651413734</v>
      </c>
      <c r="B631" s="49" t="s">
        <v>1317</v>
      </c>
    </row>
    <row r="632" spans="1:2" x14ac:dyDescent="0.25">
      <c r="A632" s="49">
        <v>689236273</v>
      </c>
      <c r="B632" s="49" t="s">
        <v>260</v>
      </c>
    </row>
    <row r="633" spans="1:2" x14ac:dyDescent="0.25">
      <c r="A633" s="49">
        <v>690417015</v>
      </c>
      <c r="B633" s="49" t="s">
        <v>628</v>
      </c>
    </row>
    <row r="634" spans="1:2" x14ac:dyDescent="0.25">
      <c r="A634" s="49">
        <v>705323523</v>
      </c>
      <c r="B634" s="49" t="s">
        <v>330</v>
      </c>
    </row>
    <row r="635" spans="1:2" x14ac:dyDescent="0.25">
      <c r="A635" s="49">
        <v>777653547</v>
      </c>
      <c r="B635" s="49" t="s">
        <v>353</v>
      </c>
    </row>
    <row r="636" spans="1:2" x14ac:dyDescent="0.25">
      <c r="A636" s="49">
        <v>778013063</v>
      </c>
      <c r="B636" s="49" t="s">
        <v>810</v>
      </c>
    </row>
    <row r="637" spans="1:2" x14ac:dyDescent="0.25">
      <c r="A637" s="49">
        <v>778433059</v>
      </c>
      <c r="B637" s="49" t="s">
        <v>592</v>
      </c>
    </row>
    <row r="638" spans="1:2" x14ac:dyDescent="0.25">
      <c r="A638" s="49">
        <v>778429248</v>
      </c>
      <c r="B638" s="49" t="s">
        <v>754</v>
      </c>
    </row>
    <row r="639" spans="1:2" x14ac:dyDescent="0.25">
      <c r="A639" s="49">
        <v>780834242</v>
      </c>
      <c r="B639" s="49" t="s">
        <v>416</v>
      </c>
    </row>
    <row r="640" spans="1:2" x14ac:dyDescent="0.25">
      <c r="A640" s="49">
        <v>780815008</v>
      </c>
      <c r="B640" s="49" t="s">
        <v>636</v>
      </c>
    </row>
    <row r="641" spans="1:2" x14ac:dyDescent="0.25">
      <c r="A641" s="49">
        <v>789857682</v>
      </c>
      <c r="B641" s="49" t="s">
        <v>1230</v>
      </c>
    </row>
    <row r="642" spans="1:2" x14ac:dyDescent="0.25">
      <c r="A642" s="49">
        <v>798183598</v>
      </c>
      <c r="B642" s="49" t="s">
        <v>1424</v>
      </c>
    </row>
    <row r="643" spans="1:2" x14ac:dyDescent="0.25">
      <c r="A643" s="49">
        <v>842705569</v>
      </c>
      <c r="B643" s="49" t="s">
        <v>1065</v>
      </c>
    </row>
    <row r="644" spans="1:2" x14ac:dyDescent="0.25">
      <c r="A644" s="49">
        <v>917105832</v>
      </c>
      <c r="B644" s="49" t="s">
        <v>1148</v>
      </c>
    </row>
    <row r="645" spans="1:2" x14ac:dyDescent="0.25">
      <c r="A645" s="49">
        <v>1130879532</v>
      </c>
      <c r="B645" s="49" t="s">
        <v>1349</v>
      </c>
    </row>
    <row r="646" spans="1:2" x14ac:dyDescent="0.25">
      <c r="A646" s="49">
        <v>1163437729</v>
      </c>
      <c r="B646" s="49" t="s">
        <v>231</v>
      </c>
    </row>
    <row r="647" spans="1:2" x14ac:dyDescent="0.25">
      <c r="A647" s="49">
        <v>1229775490</v>
      </c>
      <c r="B647" s="49" t="s">
        <v>1722</v>
      </c>
    </row>
    <row r="648" spans="1:2" x14ac:dyDescent="0.25">
      <c r="A648" s="49">
        <v>1299602537</v>
      </c>
      <c r="B648" s="49" t="s">
        <v>1382</v>
      </c>
    </row>
    <row r="649" spans="1:2" x14ac:dyDescent="0.25">
      <c r="A649" s="49">
        <v>875444594</v>
      </c>
      <c r="B649" s="49" t="s">
        <v>1189</v>
      </c>
    </row>
    <row r="650" spans="1:2" x14ac:dyDescent="0.25">
      <c r="A650" s="49">
        <v>759923523</v>
      </c>
      <c r="B650" s="49" t="s">
        <v>1019</v>
      </c>
    </row>
    <row r="651" spans="1:2" x14ac:dyDescent="0.25">
      <c r="A651" s="49">
        <v>605724206</v>
      </c>
      <c r="B651" s="49" t="s">
        <v>1028</v>
      </c>
    </row>
    <row r="652" spans="1:2" x14ac:dyDescent="0.25">
      <c r="A652" s="49">
        <v>1255876190</v>
      </c>
      <c r="B652" s="49" t="s">
        <v>1725</v>
      </c>
    </row>
    <row r="653" spans="1:2" x14ac:dyDescent="0.25">
      <c r="A653" s="49">
        <v>863226929</v>
      </c>
      <c r="B653" s="49" t="s">
        <v>1620</v>
      </c>
    </row>
    <row r="654" spans="1:2" x14ac:dyDescent="0.25">
      <c r="A654" s="49">
        <v>625823372</v>
      </c>
      <c r="B654" s="49" t="s">
        <v>535</v>
      </c>
    </row>
    <row r="655" spans="1:2" x14ac:dyDescent="0.25">
      <c r="A655" s="49">
        <v>641296548</v>
      </c>
      <c r="B655" s="49" t="s">
        <v>1156</v>
      </c>
    </row>
    <row r="656" spans="1:2" x14ac:dyDescent="0.25">
      <c r="A656" s="49">
        <v>668789542</v>
      </c>
      <c r="B656" s="49" t="s">
        <v>268</v>
      </c>
    </row>
    <row r="657" spans="1:2" x14ac:dyDescent="0.25">
      <c r="A657" s="49">
        <v>676076508</v>
      </c>
      <c r="B657" s="49" t="s">
        <v>1533</v>
      </c>
    </row>
    <row r="658" spans="1:2" x14ac:dyDescent="0.25">
      <c r="A658" s="49">
        <v>681958829</v>
      </c>
      <c r="B658" s="49" t="s">
        <v>759</v>
      </c>
    </row>
    <row r="659" spans="1:2" x14ac:dyDescent="0.25">
      <c r="A659" s="49">
        <v>683021378</v>
      </c>
      <c r="B659" s="49" t="s">
        <v>67</v>
      </c>
    </row>
    <row r="660" spans="1:2" x14ac:dyDescent="0.25">
      <c r="A660" s="49">
        <v>689633132</v>
      </c>
      <c r="B660" s="49" t="s">
        <v>550</v>
      </c>
    </row>
    <row r="661" spans="1:2" x14ac:dyDescent="0.25">
      <c r="A661" s="49">
        <v>714168974</v>
      </c>
      <c r="B661" s="49" t="s">
        <v>1696</v>
      </c>
    </row>
    <row r="662" spans="1:2" x14ac:dyDescent="0.25">
      <c r="A662" s="49">
        <v>762231629</v>
      </c>
      <c r="B662" s="49" t="s">
        <v>821</v>
      </c>
    </row>
    <row r="663" spans="1:2" x14ac:dyDescent="0.25">
      <c r="A663" s="49">
        <v>778014064</v>
      </c>
      <c r="B663" s="49" t="s">
        <v>799</v>
      </c>
    </row>
    <row r="664" spans="1:2" x14ac:dyDescent="0.25">
      <c r="A664" s="49">
        <v>782120806</v>
      </c>
      <c r="B664" s="49" t="s">
        <v>1264</v>
      </c>
    </row>
    <row r="665" spans="1:2" x14ac:dyDescent="0.25">
      <c r="A665" s="49">
        <v>797658705</v>
      </c>
      <c r="B665" s="49" t="s">
        <v>1472</v>
      </c>
    </row>
    <row r="666" spans="1:2" x14ac:dyDescent="0.25">
      <c r="A666" s="49">
        <v>864729729</v>
      </c>
      <c r="B666" s="63" t="s">
        <v>1125</v>
      </c>
    </row>
    <row r="667" spans="1:2" x14ac:dyDescent="0.25">
      <c r="A667" s="49">
        <v>878200080</v>
      </c>
      <c r="B667" s="49" t="s">
        <v>1148</v>
      </c>
    </row>
    <row r="668" spans="1:2" x14ac:dyDescent="0.25">
      <c r="A668" s="49">
        <v>913080837</v>
      </c>
      <c r="B668" s="49" t="s">
        <v>1205</v>
      </c>
    </row>
    <row r="669" spans="1:2" x14ac:dyDescent="0.25">
      <c r="A669" s="49">
        <v>928527959</v>
      </c>
      <c r="B669" s="49" t="s">
        <v>1510</v>
      </c>
    </row>
    <row r="670" spans="1:2" x14ac:dyDescent="0.25">
      <c r="A670" s="49">
        <v>928526371</v>
      </c>
      <c r="B670" s="49" t="s">
        <v>61</v>
      </c>
    </row>
    <row r="671" spans="1:2" x14ac:dyDescent="0.25">
      <c r="A671" s="49">
        <v>935704826</v>
      </c>
      <c r="B671" s="49" t="s">
        <v>609</v>
      </c>
    </row>
    <row r="672" spans="1:2" x14ac:dyDescent="0.25">
      <c r="A672" s="49">
        <v>1114535259</v>
      </c>
      <c r="B672" s="49" t="s">
        <v>844</v>
      </c>
    </row>
    <row r="673" spans="1:2" x14ac:dyDescent="0.25">
      <c r="A673" s="49">
        <v>1121187726</v>
      </c>
      <c r="B673" s="49" t="s">
        <v>1092</v>
      </c>
    </row>
    <row r="674" spans="1:2" x14ac:dyDescent="0.25">
      <c r="A674" s="49">
        <v>1122843204</v>
      </c>
      <c r="B674" s="49" t="s">
        <v>57</v>
      </c>
    </row>
    <row r="675" spans="1:2" x14ac:dyDescent="0.25">
      <c r="A675" s="49">
        <v>1134050439</v>
      </c>
      <c r="B675" s="49" t="s">
        <v>167</v>
      </c>
    </row>
    <row r="676" spans="1:2" x14ac:dyDescent="0.25">
      <c r="A676" s="49">
        <v>1140487095</v>
      </c>
      <c r="B676" s="49" t="s">
        <v>63</v>
      </c>
    </row>
    <row r="677" spans="1:2" x14ac:dyDescent="0.25">
      <c r="A677" s="49">
        <v>1147642558</v>
      </c>
      <c r="B677" s="49" t="s">
        <v>1440</v>
      </c>
    </row>
    <row r="678" spans="1:2" x14ac:dyDescent="0.25">
      <c r="A678" s="49">
        <v>1158001139</v>
      </c>
      <c r="B678" s="49" t="s">
        <v>243</v>
      </c>
    </row>
    <row r="679" spans="1:2" x14ac:dyDescent="0.25">
      <c r="A679" s="49">
        <v>1214807789</v>
      </c>
      <c r="B679" s="49" t="s">
        <v>1597</v>
      </c>
    </row>
    <row r="680" spans="1:2" x14ac:dyDescent="0.25">
      <c r="A680" s="49">
        <v>1355656917</v>
      </c>
      <c r="B680" s="49" t="s">
        <v>1811</v>
      </c>
    </row>
    <row r="681" spans="1:2" x14ac:dyDescent="0.25">
      <c r="A681" s="49">
        <v>1366126655</v>
      </c>
      <c r="B681" s="49" t="s">
        <v>1825</v>
      </c>
    </row>
    <row r="682" spans="1:2" x14ac:dyDescent="0.25">
      <c r="A682" s="49">
        <v>1368588317</v>
      </c>
      <c r="B682" s="49" t="s">
        <v>1829</v>
      </c>
    </row>
    <row r="683" spans="1:2" x14ac:dyDescent="0.25">
      <c r="A683" s="49">
        <v>630276730</v>
      </c>
      <c r="B683" s="49" t="s">
        <v>762</v>
      </c>
    </row>
    <row r="684" spans="1:2" x14ac:dyDescent="0.25">
      <c r="A684" s="49">
        <v>776731917</v>
      </c>
      <c r="B684" s="49" t="s">
        <v>1537</v>
      </c>
    </row>
    <row r="685" spans="1:2" x14ac:dyDescent="0.25">
      <c r="A685" s="49">
        <v>785143757</v>
      </c>
      <c r="B685" s="49" t="s">
        <v>142</v>
      </c>
    </row>
    <row r="686" spans="1:2" x14ac:dyDescent="0.25">
      <c r="A686" s="49">
        <v>907322871</v>
      </c>
      <c r="B686" s="49" t="s">
        <v>1395</v>
      </c>
    </row>
    <row r="687" spans="1:2" x14ac:dyDescent="0.25">
      <c r="A687" s="49">
        <v>875444761</v>
      </c>
      <c r="B687" s="49" t="s">
        <v>1189</v>
      </c>
    </row>
    <row r="688" spans="1:2" x14ac:dyDescent="0.25">
      <c r="A688" s="49">
        <v>934334546</v>
      </c>
      <c r="B688" s="49" t="s">
        <v>1415</v>
      </c>
    </row>
    <row r="689" spans="1:2" x14ac:dyDescent="0.25">
      <c r="A689" s="49">
        <v>1110798947</v>
      </c>
      <c r="B689" s="49" t="s">
        <v>1715</v>
      </c>
    </row>
    <row r="690" spans="1:2" x14ac:dyDescent="0.25">
      <c r="A690" s="49">
        <v>1122242785</v>
      </c>
      <c r="B690" s="49" t="s">
        <v>1054</v>
      </c>
    </row>
    <row r="691" spans="1:2" x14ac:dyDescent="0.25">
      <c r="A691" s="49">
        <v>1172495338</v>
      </c>
      <c r="B691" s="49" t="s">
        <v>1106</v>
      </c>
    </row>
    <row r="692" spans="1:2" x14ac:dyDescent="0.25">
      <c r="A692" s="49">
        <v>1341059142</v>
      </c>
      <c r="B692" s="49" t="s">
        <v>1764</v>
      </c>
    </row>
    <row r="693" spans="1:2" x14ac:dyDescent="0.25">
      <c r="A693" s="49">
        <v>613340952</v>
      </c>
      <c r="B693" s="49" t="s">
        <v>1288</v>
      </c>
    </row>
    <row r="694" spans="1:2" x14ac:dyDescent="0.25">
      <c r="A694" s="49">
        <v>617172846</v>
      </c>
      <c r="B694" s="49" t="s">
        <v>442</v>
      </c>
    </row>
    <row r="695" spans="1:2" x14ac:dyDescent="0.25">
      <c r="A695" s="49">
        <v>622580481</v>
      </c>
      <c r="B695" s="49" t="s">
        <v>1059</v>
      </c>
    </row>
    <row r="696" spans="1:2" x14ac:dyDescent="0.25">
      <c r="A696" s="49">
        <v>625556702</v>
      </c>
      <c r="B696" s="49" t="s">
        <v>1170</v>
      </c>
    </row>
    <row r="697" spans="1:2" x14ac:dyDescent="0.25">
      <c r="A697" s="49">
        <v>682939957</v>
      </c>
      <c r="B697" s="49" t="s">
        <v>518</v>
      </c>
    </row>
    <row r="698" spans="1:2" x14ac:dyDescent="0.25">
      <c r="A698" s="49">
        <v>683857366</v>
      </c>
      <c r="B698" s="49" t="s">
        <v>1548</v>
      </c>
    </row>
    <row r="699" spans="1:2" x14ac:dyDescent="0.25">
      <c r="A699" s="49">
        <v>710033125</v>
      </c>
      <c r="B699" s="49" t="s">
        <v>1272</v>
      </c>
    </row>
    <row r="700" spans="1:2" x14ac:dyDescent="0.25">
      <c r="A700" s="49">
        <v>719465896</v>
      </c>
      <c r="B700" s="49" t="s">
        <v>803</v>
      </c>
    </row>
    <row r="701" spans="1:2" x14ac:dyDescent="0.25">
      <c r="A701" s="49">
        <v>756398037</v>
      </c>
      <c r="B701" s="49" t="s">
        <v>1513</v>
      </c>
    </row>
    <row r="702" spans="1:2" x14ac:dyDescent="0.25">
      <c r="A702" s="49">
        <v>762403467</v>
      </c>
      <c r="B702" s="49" t="s">
        <v>596</v>
      </c>
    </row>
    <row r="703" spans="1:2" x14ac:dyDescent="0.25">
      <c r="A703" s="49">
        <v>776118708</v>
      </c>
      <c r="B703" s="49" t="s">
        <v>1513</v>
      </c>
    </row>
    <row r="704" spans="1:2" x14ac:dyDescent="0.25">
      <c r="A704" s="49">
        <v>776424885</v>
      </c>
      <c r="B704" s="49" t="s">
        <v>763</v>
      </c>
    </row>
    <row r="705" spans="1:2" x14ac:dyDescent="0.25">
      <c r="A705" s="49">
        <v>776561518</v>
      </c>
      <c r="B705" s="49" t="s">
        <v>400</v>
      </c>
    </row>
    <row r="706" spans="1:2" x14ac:dyDescent="0.25">
      <c r="A706" s="49">
        <v>778432265</v>
      </c>
      <c r="B706" s="49" t="s">
        <v>691</v>
      </c>
    </row>
    <row r="707" spans="1:2" x14ac:dyDescent="0.25">
      <c r="A707" s="49">
        <v>780819559</v>
      </c>
      <c r="B707" s="49" t="s">
        <v>419</v>
      </c>
    </row>
    <row r="708" spans="1:2" x14ac:dyDescent="0.25">
      <c r="A708" s="49">
        <v>782127331</v>
      </c>
      <c r="B708" s="49" t="s">
        <v>1165</v>
      </c>
    </row>
    <row r="709" spans="1:2" x14ac:dyDescent="0.25">
      <c r="A709" s="49">
        <v>784370148</v>
      </c>
      <c r="B709" s="49" t="s">
        <v>701</v>
      </c>
    </row>
    <row r="710" spans="1:2" x14ac:dyDescent="0.25">
      <c r="A710" s="49">
        <v>784477872</v>
      </c>
      <c r="B710" s="49" t="s">
        <v>979</v>
      </c>
    </row>
    <row r="711" spans="1:2" x14ac:dyDescent="0.25">
      <c r="A711" s="49">
        <v>785332644</v>
      </c>
      <c r="B711" s="49" t="s">
        <v>747</v>
      </c>
    </row>
    <row r="712" spans="1:2" x14ac:dyDescent="0.25">
      <c r="A712" s="49">
        <v>798181530</v>
      </c>
      <c r="B712" s="49" t="s">
        <v>1482</v>
      </c>
    </row>
    <row r="713" spans="1:2" x14ac:dyDescent="0.25">
      <c r="A713" s="49">
        <v>841087163</v>
      </c>
      <c r="B713" s="49" t="s">
        <v>1380</v>
      </c>
    </row>
    <row r="714" spans="1:2" x14ac:dyDescent="0.25">
      <c r="A714" s="49">
        <v>842598436</v>
      </c>
      <c r="B714" s="49" t="s">
        <v>1235</v>
      </c>
    </row>
    <row r="715" spans="1:2" x14ac:dyDescent="0.25">
      <c r="A715" s="49">
        <v>842597328</v>
      </c>
      <c r="B715" s="49" t="s">
        <v>1198</v>
      </c>
    </row>
    <row r="716" spans="1:2" x14ac:dyDescent="0.25">
      <c r="A716" s="49">
        <v>842716326</v>
      </c>
      <c r="B716" s="49" t="s">
        <v>1144</v>
      </c>
    </row>
    <row r="717" spans="1:2" x14ac:dyDescent="0.25">
      <c r="A717" s="49">
        <v>864731609</v>
      </c>
      <c r="B717" s="49" t="s">
        <v>727</v>
      </c>
    </row>
    <row r="718" spans="1:2" x14ac:dyDescent="0.25">
      <c r="A718" s="49">
        <v>871135808</v>
      </c>
      <c r="B718" s="49" t="s">
        <v>1285</v>
      </c>
    </row>
    <row r="719" spans="1:2" x14ac:dyDescent="0.25">
      <c r="A719" s="49">
        <v>1103374412</v>
      </c>
      <c r="B719" s="49" t="s">
        <v>855</v>
      </c>
    </row>
    <row r="720" spans="1:2" x14ac:dyDescent="0.25">
      <c r="A720" s="49">
        <v>1114809517</v>
      </c>
      <c r="B720" s="49" t="s">
        <v>846</v>
      </c>
    </row>
    <row r="721" spans="1:2" x14ac:dyDescent="0.25">
      <c r="A721" s="49">
        <v>1122915397</v>
      </c>
      <c r="B721" s="49" t="s">
        <v>1607</v>
      </c>
    </row>
    <row r="722" spans="1:2" x14ac:dyDescent="0.25">
      <c r="A722" s="49">
        <v>1179020173</v>
      </c>
      <c r="B722" s="49" t="s">
        <v>1392</v>
      </c>
    </row>
    <row r="723" spans="1:2" x14ac:dyDescent="0.25">
      <c r="A723" s="49">
        <v>1249715650</v>
      </c>
      <c r="B723" s="49" t="s">
        <v>1726</v>
      </c>
    </row>
    <row r="724" spans="1:2" x14ac:dyDescent="0.25">
      <c r="A724" s="49">
        <v>1345727021</v>
      </c>
      <c r="B724" s="49" t="s">
        <v>1799</v>
      </c>
    </row>
    <row r="725" spans="1:2" x14ac:dyDescent="0.25">
      <c r="A725" s="49">
        <v>1429875270</v>
      </c>
      <c r="B725" s="49" t="s">
        <v>1836</v>
      </c>
    </row>
    <row r="726" spans="1:2" x14ac:dyDescent="0.25">
      <c r="A726" s="49">
        <v>714162489</v>
      </c>
      <c r="B726" s="49" t="s">
        <v>1642</v>
      </c>
    </row>
    <row r="727" spans="1:2" x14ac:dyDescent="0.25">
      <c r="A727" s="49">
        <v>780834500</v>
      </c>
      <c r="B727" s="49" t="s">
        <v>443</v>
      </c>
    </row>
    <row r="728" spans="1:2" x14ac:dyDescent="0.25">
      <c r="A728" s="49">
        <v>898253921</v>
      </c>
      <c r="B728" s="49" t="s">
        <v>1546</v>
      </c>
    </row>
    <row r="729" spans="1:2" x14ac:dyDescent="0.25">
      <c r="A729" s="49">
        <v>782129214</v>
      </c>
      <c r="B729" s="49" t="s">
        <v>1219</v>
      </c>
    </row>
    <row r="730" spans="1:2" x14ac:dyDescent="0.25">
      <c r="A730" s="49">
        <v>882892128</v>
      </c>
      <c r="B730" s="49" t="s">
        <v>1105</v>
      </c>
    </row>
    <row r="731" spans="1:2" x14ac:dyDescent="0.25">
      <c r="A731" s="49">
        <v>936063257</v>
      </c>
      <c r="B731" s="49" t="s">
        <v>1702</v>
      </c>
    </row>
    <row r="732" spans="1:2" x14ac:dyDescent="0.25">
      <c r="A732" s="49">
        <v>1110366621</v>
      </c>
      <c r="B732" s="49" t="s">
        <v>773</v>
      </c>
    </row>
    <row r="733" spans="1:2" x14ac:dyDescent="0.25">
      <c r="A733" s="49">
        <v>1167219905</v>
      </c>
      <c r="B733" s="49" t="s">
        <v>1397</v>
      </c>
    </row>
    <row r="734" spans="1:2" x14ac:dyDescent="0.25">
      <c r="A734" s="49">
        <v>1194831036</v>
      </c>
      <c r="B734" s="49" t="s">
        <v>889</v>
      </c>
    </row>
    <row r="735" spans="1:2" x14ac:dyDescent="0.25">
      <c r="A735" s="49">
        <v>1341740892</v>
      </c>
      <c r="B735" s="49" t="s">
        <v>1765</v>
      </c>
    </row>
    <row r="736" spans="1:2" x14ac:dyDescent="0.25">
      <c r="A736" s="49">
        <v>617872763</v>
      </c>
      <c r="B736" s="49" t="s">
        <v>1353</v>
      </c>
    </row>
    <row r="737" spans="1:2" x14ac:dyDescent="0.25">
      <c r="A737" s="49">
        <v>637870417</v>
      </c>
      <c r="B737" s="49" t="s">
        <v>604</v>
      </c>
    </row>
    <row r="738" spans="1:2" x14ac:dyDescent="0.25">
      <c r="A738" s="49">
        <v>641855018</v>
      </c>
      <c r="B738" s="49" t="s">
        <v>632</v>
      </c>
    </row>
    <row r="739" spans="1:2" x14ac:dyDescent="0.25">
      <c r="A739" s="49">
        <v>676077873</v>
      </c>
      <c r="B739" s="49" t="s">
        <v>1534</v>
      </c>
    </row>
    <row r="740" spans="1:2" x14ac:dyDescent="0.25">
      <c r="A740" s="49">
        <v>759924242</v>
      </c>
      <c r="B740" s="49" t="s">
        <v>232</v>
      </c>
    </row>
    <row r="741" spans="1:2" x14ac:dyDescent="0.25">
      <c r="A741" s="49">
        <v>766934976</v>
      </c>
      <c r="B741" s="49" t="s">
        <v>831</v>
      </c>
    </row>
    <row r="742" spans="1:2" x14ac:dyDescent="0.25">
      <c r="A742" s="49">
        <v>778012921</v>
      </c>
      <c r="B742" s="63" t="s">
        <v>808</v>
      </c>
    </row>
    <row r="743" spans="1:2" x14ac:dyDescent="0.25">
      <c r="A743" s="49">
        <v>781940768</v>
      </c>
      <c r="B743" s="49" t="s">
        <v>1223</v>
      </c>
    </row>
    <row r="744" spans="1:2" x14ac:dyDescent="0.25">
      <c r="A744" s="49">
        <v>782128730</v>
      </c>
      <c r="B744" s="49" t="s">
        <v>1333</v>
      </c>
    </row>
    <row r="745" spans="1:2" x14ac:dyDescent="0.25">
      <c r="A745" s="49">
        <v>784479259</v>
      </c>
      <c r="B745" s="49" t="s">
        <v>978</v>
      </c>
    </row>
    <row r="746" spans="1:2" x14ac:dyDescent="0.25">
      <c r="A746" s="49">
        <v>816536117</v>
      </c>
      <c r="B746" s="49" t="s">
        <v>1311</v>
      </c>
    </row>
    <row r="747" spans="1:2" x14ac:dyDescent="0.25">
      <c r="A747" s="49">
        <v>819131018</v>
      </c>
      <c r="B747" s="49" t="s">
        <v>625</v>
      </c>
    </row>
    <row r="748" spans="1:2" x14ac:dyDescent="0.25">
      <c r="A748" s="49">
        <v>821990742</v>
      </c>
      <c r="B748" s="49" t="s">
        <v>514</v>
      </c>
    </row>
    <row r="749" spans="1:2" x14ac:dyDescent="0.25">
      <c r="A749" s="49">
        <v>826454726</v>
      </c>
      <c r="B749" s="49" t="s">
        <v>891</v>
      </c>
    </row>
    <row r="750" spans="1:2" x14ac:dyDescent="0.25">
      <c r="A750" s="49">
        <v>835448352</v>
      </c>
      <c r="B750" s="49" t="s">
        <v>1362</v>
      </c>
    </row>
    <row r="751" spans="1:2" x14ac:dyDescent="0.25">
      <c r="A751" s="49">
        <v>883075495</v>
      </c>
      <c r="B751" s="49" t="s">
        <v>1239</v>
      </c>
    </row>
    <row r="752" spans="1:2" x14ac:dyDescent="0.25">
      <c r="A752" s="49">
        <v>913252217</v>
      </c>
      <c r="B752" s="49" t="s">
        <v>3644</v>
      </c>
    </row>
    <row r="753" spans="1:2" x14ac:dyDescent="0.25">
      <c r="A753" s="49">
        <v>913731674</v>
      </c>
      <c r="B753" s="49" t="s">
        <v>1586</v>
      </c>
    </row>
    <row r="754" spans="1:2" x14ac:dyDescent="0.25">
      <c r="A754" s="49">
        <v>1103147488</v>
      </c>
      <c r="B754" s="49" t="s">
        <v>852</v>
      </c>
    </row>
    <row r="755" spans="1:2" x14ac:dyDescent="0.25">
      <c r="A755" s="49">
        <v>1151611160</v>
      </c>
      <c r="B755" s="49" t="s">
        <v>1323</v>
      </c>
    </row>
    <row r="756" spans="1:2" x14ac:dyDescent="0.25">
      <c r="A756" s="49">
        <v>1191751628</v>
      </c>
      <c r="B756" s="49" t="s">
        <v>912</v>
      </c>
    </row>
    <row r="757" spans="1:2" x14ac:dyDescent="0.25">
      <c r="A757" s="49">
        <v>1377973456</v>
      </c>
      <c r="B757" s="49" t="s">
        <v>60</v>
      </c>
    </row>
    <row r="758" spans="1:2" x14ac:dyDescent="0.25">
      <c r="A758" s="49">
        <v>1370938453</v>
      </c>
      <c r="B758" s="49" t="s">
        <v>938</v>
      </c>
    </row>
    <row r="759" spans="1:2" x14ac:dyDescent="0.25">
      <c r="A759" s="49">
        <v>1432294660</v>
      </c>
      <c r="B759" s="49" t="s">
        <v>1557</v>
      </c>
    </row>
    <row r="760" spans="1:2" x14ac:dyDescent="0.25">
      <c r="A760" s="49">
        <v>689262688</v>
      </c>
      <c r="B760" s="49" t="s">
        <v>755</v>
      </c>
    </row>
    <row r="761" spans="1:2" x14ac:dyDescent="0.25">
      <c r="A761" s="49">
        <v>1136500122</v>
      </c>
      <c r="B761" s="49" t="s">
        <v>1415</v>
      </c>
    </row>
    <row r="762" spans="1:2" x14ac:dyDescent="0.25">
      <c r="A762" s="49">
        <v>1172301982</v>
      </c>
      <c r="B762" s="49" t="s">
        <v>1106</v>
      </c>
    </row>
    <row r="763" spans="1:2" x14ac:dyDescent="0.25">
      <c r="A763" s="49">
        <v>1341354758</v>
      </c>
      <c r="B763" s="49" t="s">
        <v>1763</v>
      </c>
    </row>
    <row r="764" spans="1:2" x14ac:dyDescent="0.25">
      <c r="A764" s="49">
        <v>695606713</v>
      </c>
      <c r="B764" s="49" t="s">
        <v>1139</v>
      </c>
    </row>
    <row r="765" spans="1:2" x14ac:dyDescent="0.25">
      <c r="A765" s="49">
        <v>799469807</v>
      </c>
      <c r="B765" s="49" t="s">
        <v>1405</v>
      </c>
    </row>
    <row r="766" spans="1:2" x14ac:dyDescent="0.25">
      <c r="A766" s="49">
        <v>1368537457</v>
      </c>
      <c r="B766" s="49" t="s">
        <v>1831</v>
      </c>
    </row>
    <row r="767" spans="1:2" x14ac:dyDescent="0.25">
      <c r="A767" s="49">
        <v>1372548419</v>
      </c>
      <c r="B767" s="49" t="s">
        <v>1838</v>
      </c>
    </row>
    <row r="768" spans="1:2" x14ac:dyDescent="0.25">
      <c r="A768" s="49">
        <v>618906402</v>
      </c>
      <c r="B768" s="49" t="s">
        <v>454</v>
      </c>
    </row>
    <row r="769" spans="1:2" x14ac:dyDescent="0.25">
      <c r="A769" s="49">
        <v>648292954</v>
      </c>
      <c r="B769" s="49" t="s">
        <v>1421</v>
      </c>
    </row>
    <row r="770" spans="1:2" x14ac:dyDescent="0.25">
      <c r="A770" s="49">
        <v>649218238</v>
      </c>
      <c r="B770" s="49" t="s">
        <v>724</v>
      </c>
    </row>
    <row r="771" spans="1:2" x14ac:dyDescent="0.25">
      <c r="A771" s="49">
        <v>658093532</v>
      </c>
      <c r="B771" s="49" t="s">
        <v>667</v>
      </c>
    </row>
    <row r="772" spans="1:2" x14ac:dyDescent="0.25">
      <c r="A772" s="49">
        <v>693820291</v>
      </c>
      <c r="B772" s="49" t="s">
        <v>188</v>
      </c>
    </row>
    <row r="773" spans="1:2" x14ac:dyDescent="0.25">
      <c r="A773" s="49">
        <v>760067097</v>
      </c>
      <c r="B773" s="49" t="s">
        <v>1691</v>
      </c>
    </row>
    <row r="774" spans="1:2" x14ac:dyDescent="0.25">
      <c r="A774" s="49">
        <v>777655583</v>
      </c>
      <c r="B774" s="49" t="s">
        <v>320</v>
      </c>
    </row>
    <row r="775" spans="1:2" x14ac:dyDescent="0.25">
      <c r="A775" s="49">
        <v>779461592</v>
      </c>
      <c r="B775" s="49" t="s">
        <v>519</v>
      </c>
    </row>
    <row r="776" spans="1:2" x14ac:dyDescent="0.25">
      <c r="A776" s="49">
        <v>782164558</v>
      </c>
      <c r="B776" s="49" t="s">
        <v>315</v>
      </c>
    </row>
    <row r="777" spans="1:2" x14ac:dyDescent="0.25">
      <c r="A777" s="49">
        <v>784035997</v>
      </c>
      <c r="B777" s="49" t="s">
        <v>138</v>
      </c>
    </row>
    <row r="778" spans="1:2" x14ac:dyDescent="0.25">
      <c r="A778" s="49">
        <v>857189409</v>
      </c>
      <c r="B778" s="49" t="s">
        <v>1541</v>
      </c>
    </row>
    <row r="779" spans="1:2" x14ac:dyDescent="0.25">
      <c r="A779" s="49">
        <v>896796211</v>
      </c>
      <c r="B779" s="49" t="s">
        <v>1583</v>
      </c>
    </row>
    <row r="780" spans="1:2" x14ac:dyDescent="0.25">
      <c r="A780" s="49">
        <v>900848772</v>
      </c>
      <c r="B780" s="49" t="s">
        <v>1398</v>
      </c>
    </row>
    <row r="781" spans="1:2" x14ac:dyDescent="0.25">
      <c r="A781" s="49">
        <v>919292060</v>
      </c>
      <c r="B781" s="49" t="s">
        <v>74</v>
      </c>
    </row>
    <row r="782" spans="1:2" x14ac:dyDescent="0.25">
      <c r="A782" s="49">
        <v>1119724740</v>
      </c>
      <c r="B782" s="49" t="s">
        <v>1164</v>
      </c>
    </row>
    <row r="783" spans="1:2" x14ac:dyDescent="0.25">
      <c r="A783" s="49">
        <v>1120347945</v>
      </c>
      <c r="B783" s="49" t="s">
        <v>660</v>
      </c>
    </row>
    <row r="784" spans="1:2" x14ac:dyDescent="0.25">
      <c r="A784" s="49">
        <v>1147072711</v>
      </c>
      <c r="B784" s="49" t="s">
        <v>1375</v>
      </c>
    </row>
    <row r="785" spans="1:2" x14ac:dyDescent="0.25">
      <c r="A785" s="49">
        <v>1216621818</v>
      </c>
      <c r="B785" s="49" t="s">
        <v>1382</v>
      </c>
    </row>
    <row r="786" spans="1:2" x14ac:dyDescent="0.25">
      <c r="A786" s="49">
        <v>1338780863</v>
      </c>
      <c r="B786" s="49" t="s">
        <v>1741</v>
      </c>
    </row>
    <row r="787" spans="1:2" x14ac:dyDescent="0.25">
      <c r="A787" s="49">
        <v>1346243135</v>
      </c>
      <c r="B787" s="49" t="s">
        <v>1790</v>
      </c>
    </row>
    <row r="788" spans="1:2" x14ac:dyDescent="0.25">
      <c r="A788" s="49">
        <v>1346133628</v>
      </c>
      <c r="B788" s="49" t="s">
        <v>1794</v>
      </c>
    </row>
    <row r="789" spans="1:2" x14ac:dyDescent="0.25">
      <c r="A789" s="49">
        <v>1374484427</v>
      </c>
      <c r="B789" s="49" t="s">
        <v>1410</v>
      </c>
    </row>
    <row r="790" spans="1:2" x14ac:dyDescent="0.25">
      <c r="A790" s="49">
        <v>899209212</v>
      </c>
      <c r="B790" s="49" t="s">
        <v>1133</v>
      </c>
    </row>
    <row r="791" spans="1:2" x14ac:dyDescent="0.25">
      <c r="A791" s="49">
        <v>899200462</v>
      </c>
      <c r="B791" s="49" t="s">
        <v>603</v>
      </c>
    </row>
    <row r="792" spans="1:2" x14ac:dyDescent="0.25">
      <c r="A792" s="49">
        <v>899450481</v>
      </c>
      <c r="B792" s="49" t="s">
        <v>1171</v>
      </c>
    </row>
    <row r="793" spans="1:2" x14ac:dyDescent="0.25">
      <c r="A793" s="49">
        <v>676761779</v>
      </c>
      <c r="B793" s="49" t="s">
        <v>3655</v>
      </c>
    </row>
    <row r="794" spans="1:2" x14ac:dyDescent="0.25">
      <c r="A794" s="49">
        <v>792144256</v>
      </c>
      <c r="B794" s="49" t="s">
        <v>755</v>
      </c>
    </row>
    <row r="795" spans="1:2" x14ac:dyDescent="0.25">
      <c r="A795" s="49">
        <v>639999019</v>
      </c>
      <c r="B795" s="49" t="s">
        <v>1541</v>
      </c>
    </row>
    <row r="796" spans="1:2" x14ac:dyDescent="0.25">
      <c r="A796" s="49">
        <v>698658281</v>
      </c>
      <c r="B796" s="49" t="s">
        <v>1627</v>
      </c>
    </row>
    <row r="797" spans="1:2" x14ac:dyDescent="0.25">
      <c r="A797" s="49">
        <v>754213503</v>
      </c>
      <c r="B797" s="49" t="s">
        <v>1559</v>
      </c>
    </row>
    <row r="798" spans="1:2" x14ac:dyDescent="0.25">
      <c r="A798" s="49">
        <v>776792711</v>
      </c>
      <c r="B798" s="49" t="s">
        <v>376</v>
      </c>
    </row>
    <row r="799" spans="1:2" x14ac:dyDescent="0.25">
      <c r="A799" s="49">
        <v>777648449</v>
      </c>
      <c r="B799" s="49" t="s">
        <v>290</v>
      </c>
    </row>
    <row r="800" spans="1:2" x14ac:dyDescent="0.25">
      <c r="A800" s="49">
        <v>778013376</v>
      </c>
      <c r="B800" s="49" t="s">
        <v>793</v>
      </c>
    </row>
    <row r="801" spans="1:2" x14ac:dyDescent="0.25">
      <c r="A801" s="49">
        <v>780830883</v>
      </c>
      <c r="B801" s="49" t="s">
        <v>456</v>
      </c>
    </row>
    <row r="802" spans="1:2" x14ac:dyDescent="0.25">
      <c r="A802" s="49">
        <v>833040647</v>
      </c>
      <c r="B802" s="49" t="s">
        <v>705</v>
      </c>
    </row>
    <row r="803" spans="1:2" x14ac:dyDescent="0.25">
      <c r="A803" s="49">
        <v>843729731</v>
      </c>
      <c r="B803" s="49" t="s">
        <v>1010</v>
      </c>
    </row>
    <row r="804" spans="1:2" x14ac:dyDescent="0.25">
      <c r="A804" s="49">
        <v>1101890008</v>
      </c>
      <c r="B804" s="49" t="s">
        <v>1486</v>
      </c>
    </row>
    <row r="805" spans="1:2" x14ac:dyDescent="0.25">
      <c r="A805" s="49">
        <v>1103701714</v>
      </c>
      <c r="B805" s="49" t="s">
        <v>864</v>
      </c>
    </row>
    <row r="806" spans="1:2" x14ac:dyDescent="0.25">
      <c r="A806" s="49">
        <v>1114769396</v>
      </c>
      <c r="B806" s="49" t="s">
        <v>845</v>
      </c>
    </row>
    <row r="807" spans="1:2" x14ac:dyDescent="0.25">
      <c r="A807" s="49">
        <v>1124945467</v>
      </c>
      <c r="B807" s="49" t="s">
        <v>838</v>
      </c>
    </row>
    <row r="808" spans="1:2" x14ac:dyDescent="0.25">
      <c r="A808" s="49">
        <v>1144250775</v>
      </c>
      <c r="B808" s="49" t="s">
        <v>1290</v>
      </c>
    </row>
    <row r="809" spans="1:2" x14ac:dyDescent="0.25">
      <c r="A809" s="49">
        <v>1345887939</v>
      </c>
      <c r="B809" s="49" t="s">
        <v>1800</v>
      </c>
    </row>
    <row r="810" spans="1:2" x14ac:dyDescent="0.25">
      <c r="A810" s="49">
        <v>1360764293</v>
      </c>
      <c r="B810" s="49" t="s">
        <v>565</v>
      </c>
    </row>
    <row r="811" spans="1:2" x14ac:dyDescent="0.25">
      <c r="A811" s="49">
        <v>1447243064</v>
      </c>
      <c r="B811" s="49" t="s">
        <v>916</v>
      </c>
    </row>
    <row r="812" spans="1:2" x14ac:dyDescent="0.25">
      <c r="A812" s="49">
        <v>876426665</v>
      </c>
      <c r="B812" s="49" t="s">
        <v>62</v>
      </c>
    </row>
    <row r="813" spans="1:2" x14ac:dyDescent="0.25">
      <c r="A813" s="49">
        <v>886668410</v>
      </c>
      <c r="B813" s="49" t="s">
        <v>1593</v>
      </c>
    </row>
    <row r="814" spans="1:2" x14ac:dyDescent="0.25">
      <c r="A814" s="49">
        <v>898252717</v>
      </c>
      <c r="B814" s="49" t="s">
        <v>1543</v>
      </c>
    </row>
    <row r="815" spans="1:2" x14ac:dyDescent="0.25">
      <c r="A815" s="49">
        <v>690173648</v>
      </c>
      <c r="B815" s="49" t="s">
        <v>883</v>
      </c>
    </row>
    <row r="816" spans="1:2" x14ac:dyDescent="0.25">
      <c r="A816" s="49">
        <v>801326742</v>
      </c>
      <c r="B816" s="49" t="s">
        <v>145</v>
      </c>
    </row>
    <row r="817" spans="1:2" x14ac:dyDescent="0.25">
      <c r="A817" s="49">
        <v>1110297171</v>
      </c>
      <c r="B817" s="49" t="s">
        <v>1709</v>
      </c>
    </row>
    <row r="818" spans="1:2" x14ac:dyDescent="0.25">
      <c r="A818" s="49">
        <v>1339957142</v>
      </c>
      <c r="B818" s="49" t="s">
        <v>1747</v>
      </c>
    </row>
    <row r="819" spans="1:2" x14ac:dyDescent="0.25">
      <c r="A819" s="49">
        <v>641646315</v>
      </c>
      <c r="B819" s="49" t="s">
        <v>98</v>
      </c>
    </row>
    <row r="820" spans="1:2" x14ac:dyDescent="0.25">
      <c r="A820" s="49">
        <v>668489264</v>
      </c>
      <c r="B820" s="49" t="s">
        <v>1460</v>
      </c>
    </row>
    <row r="821" spans="1:2" x14ac:dyDescent="0.25">
      <c r="A821" s="49">
        <v>681780877</v>
      </c>
      <c r="B821" s="49" t="s">
        <v>293</v>
      </c>
    </row>
    <row r="822" spans="1:2" x14ac:dyDescent="0.25">
      <c r="A822" s="49">
        <v>696110862</v>
      </c>
      <c r="B822" s="49" t="s">
        <v>1472</v>
      </c>
    </row>
    <row r="823" spans="1:2" x14ac:dyDescent="0.25">
      <c r="A823" s="49">
        <v>738326925</v>
      </c>
      <c r="B823" s="49" t="s">
        <v>564</v>
      </c>
    </row>
    <row r="824" spans="1:2" x14ac:dyDescent="0.25">
      <c r="A824" s="49">
        <v>744173382</v>
      </c>
      <c r="B824" s="49" t="s">
        <v>961</v>
      </c>
    </row>
    <row r="825" spans="1:2" x14ac:dyDescent="0.25">
      <c r="A825" s="49">
        <v>758401579</v>
      </c>
      <c r="B825" s="49" t="s">
        <v>929</v>
      </c>
    </row>
    <row r="826" spans="1:2" x14ac:dyDescent="0.25">
      <c r="A826" s="49">
        <v>766040596</v>
      </c>
      <c r="B826" s="49" t="s">
        <v>754</v>
      </c>
    </row>
    <row r="827" spans="1:2" x14ac:dyDescent="0.25">
      <c r="A827" s="49">
        <v>777653386</v>
      </c>
      <c r="B827" s="49" t="s">
        <v>351</v>
      </c>
    </row>
    <row r="828" spans="1:2" x14ac:dyDescent="0.25">
      <c r="A828" s="49">
        <v>778014649</v>
      </c>
      <c r="B828" s="49" t="s">
        <v>781</v>
      </c>
    </row>
    <row r="829" spans="1:2" x14ac:dyDescent="0.25">
      <c r="A829" s="49">
        <v>778960334</v>
      </c>
      <c r="B829" s="49" t="s">
        <v>517</v>
      </c>
    </row>
    <row r="830" spans="1:2" x14ac:dyDescent="0.25">
      <c r="A830" s="49">
        <v>780607734</v>
      </c>
      <c r="B830" s="49" t="s">
        <v>1079</v>
      </c>
    </row>
    <row r="831" spans="1:2" x14ac:dyDescent="0.25">
      <c r="A831" s="49">
        <v>780825815</v>
      </c>
      <c r="B831" s="49" t="s">
        <v>415</v>
      </c>
    </row>
    <row r="832" spans="1:2" x14ac:dyDescent="0.25">
      <c r="A832" s="49">
        <v>784061435</v>
      </c>
      <c r="B832" s="49" t="s">
        <v>805</v>
      </c>
    </row>
    <row r="833" spans="1:2" x14ac:dyDescent="0.25">
      <c r="A833" s="49">
        <v>799489478</v>
      </c>
      <c r="B833" s="49" t="s">
        <v>1565</v>
      </c>
    </row>
    <row r="834" spans="1:2" x14ac:dyDescent="0.25">
      <c r="A834" s="49">
        <v>817213944</v>
      </c>
      <c r="B834" s="49" t="s">
        <v>1188</v>
      </c>
    </row>
    <row r="835" spans="1:2" x14ac:dyDescent="0.25">
      <c r="A835" s="49">
        <v>842702458</v>
      </c>
      <c r="B835" s="49" t="s">
        <v>1067</v>
      </c>
    </row>
    <row r="836" spans="1:2" x14ac:dyDescent="0.25">
      <c r="A836" s="49">
        <v>857196870</v>
      </c>
      <c r="B836" s="49" t="s">
        <v>1567</v>
      </c>
    </row>
    <row r="837" spans="1:2" x14ac:dyDescent="0.25">
      <c r="A837" s="49">
        <v>909418588</v>
      </c>
      <c r="B837" s="49" t="s">
        <v>1450</v>
      </c>
    </row>
    <row r="838" spans="1:2" x14ac:dyDescent="0.25">
      <c r="A838" s="49">
        <v>913081724</v>
      </c>
      <c r="B838" s="49" t="s">
        <v>1204</v>
      </c>
    </row>
    <row r="839" spans="1:2" x14ac:dyDescent="0.25">
      <c r="A839" s="49">
        <v>913058894</v>
      </c>
      <c r="B839" s="49" t="s">
        <v>1212</v>
      </c>
    </row>
    <row r="840" spans="1:2" x14ac:dyDescent="0.25">
      <c r="A840" s="49">
        <v>933863934</v>
      </c>
      <c r="B840" s="49" t="s">
        <v>89</v>
      </c>
    </row>
    <row r="841" spans="1:2" x14ac:dyDescent="0.25">
      <c r="A841" s="49">
        <v>1103708222</v>
      </c>
      <c r="B841" s="49" t="s">
        <v>865</v>
      </c>
    </row>
    <row r="842" spans="1:2" x14ac:dyDescent="0.25">
      <c r="A842" s="49">
        <v>1105688925</v>
      </c>
      <c r="B842" s="49" t="s">
        <v>1187</v>
      </c>
    </row>
    <row r="843" spans="1:2" x14ac:dyDescent="0.25">
      <c r="A843" s="49">
        <v>1134947252</v>
      </c>
      <c r="B843" s="49" t="s">
        <v>115</v>
      </c>
    </row>
    <row r="844" spans="1:2" x14ac:dyDescent="0.25">
      <c r="A844" s="49">
        <v>1397942522</v>
      </c>
      <c r="B844" s="49" t="s">
        <v>1825</v>
      </c>
    </row>
    <row r="845" spans="1:2" x14ac:dyDescent="0.25">
      <c r="A845" s="49">
        <v>828162281</v>
      </c>
      <c r="B845" s="49" t="s">
        <v>1000</v>
      </c>
    </row>
    <row r="846" spans="1:2" x14ac:dyDescent="0.25">
      <c r="A846" s="49">
        <v>917481881</v>
      </c>
      <c r="B846" s="49" t="s">
        <v>1707</v>
      </c>
    </row>
    <row r="847" spans="1:2" x14ac:dyDescent="0.25">
      <c r="A847" s="49">
        <v>1110890997</v>
      </c>
      <c r="B847" s="49" t="s">
        <v>1716</v>
      </c>
    </row>
    <row r="848" spans="1:2" x14ac:dyDescent="0.25">
      <c r="A848" s="49">
        <v>1147180396</v>
      </c>
      <c r="B848" s="49" t="s">
        <v>1524</v>
      </c>
    </row>
    <row r="849" spans="1:2" x14ac:dyDescent="0.25">
      <c r="A849" s="49">
        <v>1163400472</v>
      </c>
      <c r="B849" s="49" t="s">
        <v>1118</v>
      </c>
    </row>
    <row r="850" spans="1:2" x14ac:dyDescent="0.25">
      <c r="A850" s="49">
        <v>608715240</v>
      </c>
      <c r="B850" s="49" t="s">
        <v>1704</v>
      </c>
    </row>
    <row r="851" spans="1:2" x14ac:dyDescent="0.25">
      <c r="A851" s="49">
        <v>613078590</v>
      </c>
      <c r="B851" s="49" t="s">
        <v>664</v>
      </c>
    </row>
    <row r="852" spans="1:2" x14ac:dyDescent="0.25">
      <c r="A852" s="49">
        <v>641910148</v>
      </c>
      <c r="B852" s="49" t="s">
        <v>1280</v>
      </c>
    </row>
    <row r="853" spans="1:2" x14ac:dyDescent="0.25">
      <c r="A853" s="49">
        <v>659232464</v>
      </c>
      <c r="B853" s="49" t="s">
        <v>1070</v>
      </c>
    </row>
    <row r="854" spans="1:2" x14ac:dyDescent="0.25">
      <c r="A854" s="49">
        <v>696099279</v>
      </c>
      <c r="B854" s="49" t="s">
        <v>1465</v>
      </c>
    </row>
    <row r="855" spans="1:2" x14ac:dyDescent="0.25">
      <c r="A855" s="49">
        <v>708087087</v>
      </c>
      <c r="B855" s="49" t="s">
        <v>324</v>
      </c>
    </row>
    <row r="856" spans="1:2" x14ac:dyDescent="0.25">
      <c r="A856" s="49">
        <v>734998663</v>
      </c>
      <c r="B856" s="49" t="s">
        <v>1609</v>
      </c>
    </row>
    <row r="857" spans="1:2" x14ac:dyDescent="0.25">
      <c r="A857" s="49">
        <v>758402074</v>
      </c>
      <c r="B857" s="49" t="s">
        <v>917</v>
      </c>
    </row>
    <row r="858" spans="1:2" x14ac:dyDescent="0.25">
      <c r="A858" s="49">
        <v>776593928</v>
      </c>
      <c r="B858" s="49" t="s">
        <v>272</v>
      </c>
    </row>
    <row r="859" spans="1:2" x14ac:dyDescent="0.25">
      <c r="A859" s="49">
        <v>778962211</v>
      </c>
      <c r="B859" s="49" t="s">
        <v>279</v>
      </c>
    </row>
    <row r="860" spans="1:2" x14ac:dyDescent="0.25">
      <c r="A860" s="49">
        <v>780818365</v>
      </c>
      <c r="B860" s="49" t="s">
        <v>749</v>
      </c>
    </row>
    <row r="861" spans="1:2" x14ac:dyDescent="0.25">
      <c r="A861" s="49">
        <v>782128170</v>
      </c>
      <c r="B861" s="49" t="s">
        <v>1177</v>
      </c>
    </row>
    <row r="862" spans="1:2" x14ac:dyDescent="0.25">
      <c r="A862" s="49">
        <v>784476639</v>
      </c>
      <c r="B862" s="49" t="s">
        <v>1028</v>
      </c>
    </row>
    <row r="863" spans="1:2" x14ac:dyDescent="0.25">
      <c r="A863" s="49">
        <v>788875270</v>
      </c>
      <c r="B863" s="49" t="s">
        <v>150</v>
      </c>
    </row>
    <row r="864" spans="1:2" x14ac:dyDescent="0.25">
      <c r="A864" s="49">
        <v>868760387</v>
      </c>
      <c r="B864" s="49" t="s">
        <v>388</v>
      </c>
    </row>
    <row r="865" spans="1:2" x14ac:dyDescent="0.25">
      <c r="A865" s="49">
        <v>1105688960</v>
      </c>
      <c r="B865" s="49" t="s">
        <v>1663</v>
      </c>
    </row>
    <row r="866" spans="1:2" x14ac:dyDescent="0.25">
      <c r="A866" s="49">
        <v>1105682435</v>
      </c>
      <c r="B866" s="49" t="s">
        <v>62</v>
      </c>
    </row>
    <row r="867" spans="1:2" x14ac:dyDescent="0.25">
      <c r="A867" s="49">
        <v>1131894481</v>
      </c>
      <c r="B867" s="49" t="s">
        <v>109</v>
      </c>
    </row>
    <row r="868" spans="1:2" x14ac:dyDescent="0.25">
      <c r="A868" s="49">
        <v>1155422531</v>
      </c>
      <c r="B868" s="49" t="s">
        <v>1278</v>
      </c>
    </row>
    <row r="869" spans="1:2" x14ac:dyDescent="0.25">
      <c r="A869" s="49">
        <v>1167219906</v>
      </c>
      <c r="B869" s="49" t="s">
        <v>1397</v>
      </c>
    </row>
    <row r="870" spans="1:2" x14ac:dyDescent="0.25">
      <c r="A870" s="49">
        <v>1178968443</v>
      </c>
      <c r="B870" s="49" t="s">
        <v>1391</v>
      </c>
    </row>
    <row r="871" spans="1:2" x14ac:dyDescent="0.25">
      <c r="A871" s="49">
        <v>1344894472</v>
      </c>
      <c r="B871" s="49" t="s">
        <v>1255</v>
      </c>
    </row>
    <row r="872" spans="1:2" x14ac:dyDescent="0.25">
      <c r="A872" s="49">
        <v>1432364290</v>
      </c>
      <c r="B872" s="49" t="s">
        <v>696</v>
      </c>
    </row>
    <row r="873" spans="1:2" x14ac:dyDescent="0.25">
      <c r="A873" s="49">
        <v>897653609</v>
      </c>
      <c r="B873" s="49" t="s">
        <v>143</v>
      </c>
    </row>
    <row r="874" spans="1:2" x14ac:dyDescent="0.25">
      <c r="A874" s="49">
        <v>882915768</v>
      </c>
      <c r="B874" s="49" t="s">
        <v>1178</v>
      </c>
    </row>
    <row r="875" spans="1:2" x14ac:dyDescent="0.25">
      <c r="A875" s="49">
        <v>1127942445</v>
      </c>
      <c r="B875" s="49" t="s">
        <v>1445</v>
      </c>
    </row>
    <row r="876" spans="1:2" x14ac:dyDescent="0.25">
      <c r="A876" s="49">
        <v>731646777</v>
      </c>
      <c r="B876" s="49" t="s">
        <v>65</v>
      </c>
    </row>
    <row r="877" spans="1:2" x14ac:dyDescent="0.25">
      <c r="A877" s="49">
        <v>1346886595</v>
      </c>
      <c r="B877" s="49" t="s">
        <v>1786</v>
      </c>
    </row>
    <row r="878" spans="1:2" x14ac:dyDescent="0.25">
      <c r="A878" s="49">
        <v>636201627</v>
      </c>
      <c r="B878" s="49" t="s">
        <v>451</v>
      </c>
    </row>
    <row r="879" spans="1:2" x14ac:dyDescent="0.25">
      <c r="A879" s="49">
        <v>639423444</v>
      </c>
      <c r="B879" s="49" t="s">
        <v>1521</v>
      </c>
    </row>
    <row r="880" spans="1:2" x14ac:dyDescent="0.25">
      <c r="A880" s="49">
        <v>698762099</v>
      </c>
      <c r="B880" s="49" t="s">
        <v>726</v>
      </c>
    </row>
    <row r="881" spans="1:2" x14ac:dyDescent="0.25">
      <c r="A881" s="49">
        <v>706558187</v>
      </c>
      <c r="B881" s="49" t="s">
        <v>191</v>
      </c>
    </row>
    <row r="882" spans="1:2" x14ac:dyDescent="0.25">
      <c r="A882" s="49">
        <v>717068488</v>
      </c>
      <c r="B882" s="49" t="s">
        <v>820</v>
      </c>
    </row>
    <row r="883" spans="1:2" x14ac:dyDescent="0.25">
      <c r="A883" s="49">
        <v>717842773</v>
      </c>
      <c r="B883" s="49" t="s">
        <v>813</v>
      </c>
    </row>
    <row r="884" spans="1:2" x14ac:dyDescent="0.25">
      <c r="A884" s="49">
        <v>722972661</v>
      </c>
      <c r="B884" s="49" t="s">
        <v>1557</v>
      </c>
    </row>
    <row r="885" spans="1:2" x14ac:dyDescent="0.25">
      <c r="A885" s="49">
        <v>738111550</v>
      </c>
      <c r="B885" s="49" t="s">
        <v>577</v>
      </c>
    </row>
    <row r="886" spans="1:2" x14ac:dyDescent="0.25">
      <c r="A886" s="49">
        <v>760284558</v>
      </c>
      <c r="B886" s="49" t="s">
        <v>536</v>
      </c>
    </row>
    <row r="887" spans="1:2" x14ac:dyDescent="0.25">
      <c r="A887" s="49">
        <v>776412125</v>
      </c>
      <c r="B887" s="49" t="s">
        <v>1062</v>
      </c>
    </row>
    <row r="888" spans="1:2" x14ac:dyDescent="0.25">
      <c r="A888" s="49">
        <v>778011885</v>
      </c>
      <c r="B888" s="49" t="s">
        <v>813</v>
      </c>
    </row>
    <row r="889" spans="1:2" x14ac:dyDescent="0.25">
      <c r="A889" s="49">
        <v>780818153</v>
      </c>
      <c r="B889" s="49" t="s">
        <v>655</v>
      </c>
    </row>
    <row r="890" spans="1:2" x14ac:dyDescent="0.25">
      <c r="A890" s="49">
        <v>784341829</v>
      </c>
      <c r="B890" s="49" t="s">
        <v>680</v>
      </c>
    </row>
    <row r="891" spans="1:2" x14ac:dyDescent="0.25">
      <c r="A891" s="49">
        <v>784476833</v>
      </c>
      <c r="B891" s="49" t="s">
        <v>1026</v>
      </c>
    </row>
    <row r="892" spans="1:2" x14ac:dyDescent="0.25">
      <c r="A892" s="49">
        <v>789193382</v>
      </c>
      <c r="B892" s="49" t="s">
        <v>630</v>
      </c>
    </row>
    <row r="893" spans="1:2" x14ac:dyDescent="0.25">
      <c r="A893" s="49">
        <v>789191544</v>
      </c>
      <c r="B893" s="49" t="s">
        <v>627</v>
      </c>
    </row>
    <row r="894" spans="1:2" x14ac:dyDescent="0.25">
      <c r="A894" s="49">
        <v>792143739</v>
      </c>
      <c r="B894" s="49" t="s">
        <v>445</v>
      </c>
    </row>
    <row r="895" spans="1:2" x14ac:dyDescent="0.25">
      <c r="A895" s="49">
        <v>816535299</v>
      </c>
      <c r="B895" s="49" t="s">
        <v>1190</v>
      </c>
    </row>
    <row r="896" spans="1:2" x14ac:dyDescent="0.25">
      <c r="A896" s="49">
        <v>865763348</v>
      </c>
      <c r="B896" s="49" t="s">
        <v>1379</v>
      </c>
    </row>
    <row r="897" spans="1:2" x14ac:dyDescent="0.25">
      <c r="A897" s="49">
        <v>900848883</v>
      </c>
      <c r="B897" s="49" t="s">
        <v>1398</v>
      </c>
    </row>
    <row r="898" spans="1:2" x14ac:dyDescent="0.25">
      <c r="A898" s="49">
        <v>909409578</v>
      </c>
      <c r="B898" s="49" t="s">
        <v>943</v>
      </c>
    </row>
    <row r="899" spans="1:2" x14ac:dyDescent="0.25">
      <c r="A899" s="49">
        <v>1103873468</v>
      </c>
      <c r="B899" s="49" t="s">
        <v>313</v>
      </c>
    </row>
    <row r="900" spans="1:2" x14ac:dyDescent="0.25">
      <c r="A900" s="49">
        <v>1143985950</v>
      </c>
      <c r="B900" s="49" t="s">
        <v>1128</v>
      </c>
    </row>
    <row r="901" spans="1:2" x14ac:dyDescent="0.25">
      <c r="A901" s="49">
        <v>1173622505</v>
      </c>
      <c r="B901" s="49" t="s">
        <v>84</v>
      </c>
    </row>
    <row r="902" spans="1:2" x14ac:dyDescent="0.25">
      <c r="A902" s="49">
        <v>1372586653</v>
      </c>
      <c r="B902" s="49" t="s">
        <v>1838</v>
      </c>
    </row>
    <row r="903" spans="1:2" x14ac:dyDescent="0.25">
      <c r="A903" s="49">
        <v>1373050325</v>
      </c>
      <c r="B903" s="49" t="s">
        <v>796</v>
      </c>
    </row>
    <row r="904" spans="1:2" x14ac:dyDescent="0.25">
      <c r="A904" s="49">
        <v>715288061</v>
      </c>
      <c r="B904" s="49" t="s">
        <v>1444</v>
      </c>
    </row>
    <row r="905" spans="1:2" x14ac:dyDescent="0.25">
      <c r="A905" s="49">
        <v>675143194</v>
      </c>
      <c r="B905" s="49" t="s">
        <v>3657</v>
      </c>
    </row>
    <row r="906" spans="1:2" x14ac:dyDescent="0.25">
      <c r="A906" s="49">
        <v>1184770034</v>
      </c>
      <c r="B906" s="49" t="s">
        <v>1381</v>
      </c>
    </row>
    <row r="907" spans="1:2" x14ac:dyDescent="0.25">
      <c r="A907" s="49">
        <v>625236860</v>
      </c>
      <c r="B907" s="49" t="s">
        <v>408</v>
      </c>
    </row>
    <row r="908" spans="1:2" x14ac:dyDescent="0.25">
      <c r="A908" s="49">
        <v>649213275</v>
      </c>
      <c r="B908" s="49" t="s">
        <v>772</v>
      </c>
    </row>
    <row r="909" spans="1:2" x14ac:dyDescent="0.25">
      <c r="A909" s="49">
        <v>667478324</v>
      </c>
      <c r="B909" s="49" t="s">
        <v>495</v>
      </c>
    </row>
    <row r="910" spans="1:2" x14ac:dyDescent="0.25">
      <c r="A910" s="49">
        <v>668788509</v>
      </c>
      <c r="B910" s="49" t="s">
        <v>197</v>
      </c>
    </row>
    <row r="911" spans="1:2" x14ac:dyDescent="0.25">
      <c r="A911" s="49">
        <v>778014814</v>
      </c>
      <c r="B911" s="49" t="s">
        <v>790</v>
      </c>
    </row>
    <row r="912" spans="1:2" x14ac:dyDescent="0.25">
      <c r="A912" s="49">
        <v>778245203</v>
      </c>
      <c r="B912" s="49" t="s">
        <v>1085</v>
      </c>
    </row>
    <row r="913" spans="1:2" x14ac:dyDescent="0.25">
      <c r="A913" s="49">
        <v>781491001</v>
      </c>
      <c r="B913" s="49" t="s">
        <v>735</v>
      </c>
    </row>
    <row r="914" spans="1:2" x14ac:dyDescent="0.25">
      <c r="A914" s="49">
        <v>782121155</v>
      </c>
      <c r="B914" s="49" t="s">
        <v>1083</v>
      </c>
    </row>
    <row r="915" spans="1:2" x14ac:dyDescent="0.25">
      <c r="A915" s="49">
        <v>785885729</v>
      </c>
      <c r="B915" s="49" t="s">
        <v>1283</v>
      </c>
    </row>
    <row r="916" spans="1:2" x14ac:dyDescent="0.25">
      <c r="A916" s="49">
        <v>864535972</v>
      </c>
      <c r="B916" s="49" t="s">
        <v>1307</v>
      </c>
    </row>
    <row r="917" spans="1:2" x14ac:dyDescent="0.25">
      <c r="A917" s="49">
        <v>875424505</v>
      </c>
      <c r="B917" s="49" t="s">
        <v>1246</v>
      </c>
    </row>
    <row r="918" spans="1:2" x14ac:dyDescent="0.25">
      <c r="A918" s="49">
        <v>901675616</v>
      </c>
      <c r="B918" s="49" t="s">
        <v>1089</v>
      </c>
    </row>
    <row r="919" spans="1:2" x14ac:dyDescent="0.25">
      <c r="A919" s="49">
        <v>906021829</v>
      </c>
      <c r="B919" s="49" t="s">
        <v>551</v>
      </c>
    </row>
    <row r="920" spans="1:2" x14ac:dyDescent="0.25">
      <c r="A920" s="49">
        <v>928746286</v>
      </c>
      <c r="B920" s="49" t="s">
        <v>1386</v>
      </c>
    </row>
    <row r="921" spans="1:2" x14ac:dyDescent="0.25">
      <c r="A921" s="49">
        <v>1345235671</v>
      </c>
      <c r="B921" s="49" t="s">
        <v>1782</v>
      </c>
    </row>
    <row r="922" spans="1:2" x14ac:dyDescent="0.25">
      <c r="A922" s="49">
        <v>1359739801</v>
      </c>
      <c r="B922" s="49" t="s">
        <v>1815</v>
      </c>
    </row>
    <row r="923" spans="1:2" x14ac:dyDescent="0.25">
      <c r="A923" s="49">
        <v>1370900591</v>
      </c>
      <c r="B923" s="49" t="s">
        <v>913</v>
      </c>
    </row>
    <row r="924" spans="1:2" x14ac:dyDescent="0.25">
      <c r="A924" s="49">
        <v>695149100</v>
      </c>
      <c r="B924" s="49" t="s">
        <v>1687</v>
      </c>
    </row>
    <row r="925" spans="1:2" x14ac:dyDescent="0.25">
      <c r="A925" s="49">
        <v>899209364</v>
      </c>
      <c r="B925" s="49" t="s">
        <v>1133</v>
      </c>
    </row>
    <row r="926" spans="1:2" x14ac:dyDescent="0.25">
      <c r="A926" s="49">
        <v>639783634</v>
      </c>
      <c r="B926" s="49" t="s">
        <v>1551</v>
      </c>
    </row>
    <row r="927" spans="1:2" x14ac:dyDescent="0.25">
      <c r="A927" s="49">
        <v>683015074</v>
      </c>
      <c r="B927" s="49" t="s">
        <v>1490</v>
      </c>
    </row>
    <row r="928" spans="1:2" x14ac:dyDescent="0.25">
      <c r="A928" s="49">
        <v>906010792</v>
      </c>
      <c r="B928" s="49" t="s">
        <v>950</v>
      </c>
    </row>
    <row r="929" spans="1:2" x14ac:dyDescent="0.25">
      <c r="A929" s="49">
        <v>756007091</v>
      </c>
      <c r="B929" s="49" t="s">
        <v>1003</v>
      </c>
    </row>
    <row r="930" spans="1:2" x14ac:dyDescent="0.25">
      <c r="A930" s="49">
        <v>1125188852</v>
      </c>
      <c r="B930" s="49" t="s">
        <v>938</v>
      </c>
    </row>
    <row r="931" spans="1:2" x14ac:dyDescent="0.25">
      <c r="A931" s="49">
        <v>1229788387</v>
      </c>
      <c r="B931" s="49" t="s">
        <v>1722</v>
      </c>
    </row>
    <row r="932" spans="1:2" x14ac:dyDescent="0.25">
      <c r="A932" s="49">
        <v>614138595</v>
      </c>
      <c r="B932" s="49" t="s">
        <v>710</v>
      </c>
    </row>
    <row r="933" spans="1:2" x14ac:dyDescent="0.25">
      <c r="A933" s="49">
        <v>614138572</v>
      </c>
      <c r="B933" s="49" t="s">
        <v>286</v>
      </c>
    </row>
    <row r="934" spans="1:2" x14ac:dyDescent="0.25">
      <c r="A934" s="49">
        <v>614410513</v>
      </c>
      <c r="B934" s="49" t="s">
        <v>720</v>
      </c>
    </row>
    <row r="935" spans="1:2" x14ac:dyDescent="0.25">
      <c r="A935" s="49">
        <v>675458574</v>
      </c>
      <c r="B935" s="49" t="s">
        <v>1186</v>
      </c>
    </row>
    <row r="936" spans="1:2" x14ac:dyDescent="0.25">
      <c r="A936" s="49">
        <v>698639755</v>
      </c>
      <c r="B936" s="63" t="s">
        <v>1625</v>
      </c>
    </row>
    <row r="937" spans="1:2" x14ac:dyDescent="0.25">
      <c r="A937" s="49">
        <v>797831288</v>
      </c>
      <c r="B937" s="49" t="s">
        <v>1458</v>
      </c>
    </row>
    <row r="938" spans="1:2" x14ac:dyDescent="0.25">
      <c r="A938" s="49">
        <v>839670087</v>
      </c>
      <c r="B938" s="49" t="s">
        <v>1401</v>
      </c>
    </row>
    <row r="939" spans="1:2" x14ac:dyDescent="0.25">
      <c r="A939" s="49">
        <v>900855102</v>
      </c>
      <c r="B939" s="49" t="s">
        <v>104</v>
      </c>
    </row>
    <row r="940" spans="1:2" x14ac:dyDescent="0.25">
      <c r="A940" s="49">
        <v>1122694995</v>
      </c>
      <c r="B940" s="49" t="s">
        <v>427</v>
      </c>
    </row>
    <row r="941" spans="1:2" x14ac:dyDescent="0.25">
      <c r="A941" s="49">
        <v>1160009780</v>
      </c>
      <c r="B941" s="49" t="s">
        <v>1647</v>
      </c>
    </row>
    <row r="942" spans="1:2" x14ac:dyDescent="0.25">
      <c r="A942" s="49">
        <v>1175775668</v>
      </c>
      <c r="B942" s="49" t="s">
        <v>1385</v>
      </c>
    </row>
    <row r="943" spans="1:2" x14ac:dyDescent="0.25">
      <c r="A943" s="49">
        <v>682872326</v>
      </c>
      <c r="B943" s="49" t="s">
        <v>566</v>
      </c>
    </row>
    <row r="944" spans="1:2" x14ac:dyDescent="0.25">
      <c r="A944" s="49">
        <v>906020910</v>
      </c>
      <c r="B944" s="49" t="s">
        <v>1367</v>
      </c>
    </row>
    <row r="945" spans="1:2" x14ac:dyDescent="0.25">
      <c r="A945" s="49">
        <v>928628937</v>
      </c>
      <c r="B945" s="49" t="s">
        <v>1387</v>
      </c>
    </row>
    <row r="946" spans="1:2" x14ac:dyDescent="0.25">
      <c r="A946" s="49">
        <v>886828369</v>
      </c>
      <c r="B946" s="49" t="s">
        <v>1449</v>
      </c>
    </row>
    <row r="947" spans="1:2" x14ac:dyDescent="0.25">
      <c r="A947" s="49">
        <v>1110361587</v>
      </c>
      <c r="B947" s="49" t="s">
        <v>1708</v>
      </c>
    </row>
    <row r="948" spans="1:2" x14ac:dyDescent="0.25">
      <c r="A948" s="49">
        <v>1110852320</v>
      </c>
      <c r="B948" s="49" t="s">
        <v>1719</v>
      </c>
    </row>
    <row r="949" spans="1:2" x14ac:dyDescent="0.25">
      <c r="A949" s="49">
        <v>776431632</v>
      </c>
      <c r="B949" s="49" t="s">
        <v>1675</v>
      </c>
    </row>
    <row r="950" spans="1:2" x14ac:dyDescent="0.25">
      <c r="A950" s="49">
        <v>1113176620</v>
      </c>
      <c r="B950" s="49" t="s">
        <v>1295</v>
      </c>
    </row>
    <row r="951" spans="1:2" x14ac:dyDescent="0.25">
      <c r="A951" s="49">
        <v>1122326012</v>
      </c>
      <c r="B951" s="49" t="s">
        <v>1718</v>
      </c>
    </row>
    <row r="952" spans="1:2" x14ac:dyDescent="0.25">
      <c r="A952" s="49">
        <v>1125203230</v>
      </c>
      <c r="B952" s="49" t="s">
        <v>938</v>
      </c>
    </row>
    <row r="953" spans="1:2" x14ac:dyDescent="0.25">
      <c r="A953" s="49">
        <v>624080307</v>
      </c>
      <c r="B953" s="49" t="s">
        <v>3653</v>
      </c>
    </row>
    <row r="954" spans="1:2" x14ac:dyDescent="0.25">
      <c r="A954" s="49">
        <v>645851720</v>
      </c>
      <c r="B954" s="49" t="s">
        <v>972</v>
      </c>
    </row>
    <row r="955" spans="1:2" x14ac:dyDescent="0.25">
      <c r="A955" s="49">
        <v>646466137</v>
      </c>
      <c r="B955" s="49" t="s">
        <v>1192</v>
      </c>
    </row>
    <row r="956" spans="1:2" x14ac:dyDescent="0.25">
      <c r="A956" s="49">
        <v>655235626</v>
      </c>
      <c r="B956" s="49" t="s">
        <v>917</v>
      </c>
    </row>
    <row r="957" spans="1:2" x14ac:dyDescent="0.25">
      <c r="A957" s="49">
        <v>658077965</v>
      </c>
      <c r="B957" s="49" t="s">
        <v>1295</v>
      </c>
    </row>
    <row r="958" spans="1:2" x14ac:dyDescent="0.25">
      <c r="A958" s="49">
        <v>690095942</v>
      </c>
      <c r="B958" s="49" t="s">
        <v>1273</v>
      </c>
    </row>
    <row r="959" spans="1:2" x14ac:dyDescent="0.25">
      <c r="A959" s="49">
        <v>770047283</v>
      </c>
      <c r="B959" s="49" t="s">
        <v>1558</v>
      </c>
    </row>
    <row r="960" spans="1:2" x14ac:dyDescent="0.25">
      <c r="A960" s="49">
        <v>778011753</v>
      </c>
      <c r="B960" s="49" t="s">
        <v>812</v>
      </c>
    </row>
    <row r="961" spans="1:2" x14ac:dyDescent="0.25">
      <c r="A961" s="49">
        <v>797335187</v>
      </c>
      <c r="B961" s="49" t="s">
        <v>300</v>
      </c>
    </row>
    <row r="962" spans="1:2" x14ac:dyDescent="0.25">
      <c r="A962" s="49">
        <v>797608391</v>
      </c>
      <c r="B962" s="49" t="s">
        <v>1630</v>
      </c>
    </row>
    <row r="963" spans="1:2" x14ac:dyDescent="0.25">
      <c r="A963" s="49">
        <v>844554137</v>
      </c>
      <c r="B963" s="49" t="s">
        <v>958</v>
      </c>
    </row>
    <row r="964" spans="1:2" x14ac:dyDescent="0.25">
      <c r="A964" s="49">
        <v>921880496</v>
      </c>
      <c r="B964" s="49" t="s">
        <v>954</v>
      </c>
    </row>
    <row r="965" spans="1:2" x14ac:dyDescent="0.25">
      <c r="A965" s="49">
        <v>1139373282</v>
      </c>
      <c r="B965" s="49" t="s">
        <v>265</v>
      </c>
    </row>
    <row r="966" spans="1:2" x14ac:dyDescent="0.25">
      <c r="A966" s="49">
        <v>1363352485</v>
      </c>
      <c r="B966" s="49" t="s">
        <v>60</v>
      </c>
    </row>
    <row r="967" spans="1:2" x14ac:dyDescent="0.25">
      <c r="A967" s="49">
        <v>786233986</v>
      </c>
      <c r="B967" s="49" t="s">
        <v>55</v>
      </c>
    </row>
    <row r="968" spans="1:2" x14ac:dyDescent="0.25">
      <c r="A968" s="49">
        <v>1100217332</v>
      </c>
      <c r="B968" s="49" t="s">
        <v>778</v>
      </c>
    </row>
    <row r="969" spans="1:2" x14ac:dyDescent="0.25">
      <c r="A969" s="49">
        <v>662744736</v>
      </c>
      <c r="B969" s="49" t="s">
        <v>119</v>
      </c>
    </row>
    <row r="970" spans="1:2" x14ac:dyDescent="0.25">
      <c r="A970" s="49">
        <v>1289046782</v>
      </c>
      <c r="B970" s="49" t="s">
        <v>1733</v>
      </c>
    </row>
    <row r="971" spans="1:2" x14ac:dyDescent="0.25">
      <c r="A971" s="49">
        <v>1345002438</v>
      </c>
      <c r="B971" s="49" t="s">
        <v>1840</v>
      </c>
    </row>
    <row r="972" spans="1:2" x14ac:dyDescent="0.25">
      <c r="A972" s="49">
        <v>606188499</v>
      </c>
      <c r="B972" s="49" t="s">
        <v>406</v>
      </c>
    </row>
    <row r="973" spans="1:2" x14ac:dyDescent="0.25">
      <c r="A973" s="49">
        <v>617138387</v>
      </c>
      <c r="B973" s="49" t="s">
        <v>407</v>
      </c>
    </row>
    <row r="974" spans="1:2" x14ac:dyDescent="0.25">
      <c r="A974" s="49">
        <v>620265409</v>
      </c>
      <c r="B974" s="49" t="s">
        <v>1698</v>
      </c>
    </row>
    <row r="975" spans="1:2" x14ac:dyDescent="0.25">
      <c r="A975" s="49">
        <v>621416739</v>
      </c>
      <c r="B975" s="49" t="s">
        <v>230</v>
      </c>
    </row>
    <row r="976" spans="1:2" x14ac:dyDescent="0.25">
      <c r="A976" s="49">
        <v>716646570</v>
      </c>
      <c r="B976" s="49" t="s">
        <v>1316</v>
      </c>
    </row>
    <row r="977" spans="1:2" x14ac:dyDescent="0.25">
      <c r="A977" s="49">
        <v>758478111</v>
      </c>
      <c r="B977" s="49" t="s">
        <v>884</v>
      </c>
    </row>
    <row r="978" spans="1:2" x14ac:dyDescent="0.25">
      <c r="A978" s="49">
        <v>767474708</v>
      </c>
      <c r="B978" s="49" t="s">
        <v>139</v>
      </c>
    </row>
    <row r="979" spans="1:2" x14ac:dyDescent="0.25">
      <c r="A979" s="49">
        <v>778011570</v>
      </c>
      <c r="B979" s="49" t="s">
        <v>811</v>
      </c>
    </row>
    <row r="980" spans="1:2" x14ac:dyDescent="0.25">
      <c r="A980" s="49">
        <v>778011423</v>
      </c>
      <c r="B980" s="49" t="s">
        <v>787</v>
      </c>
    </row>
    <row r="981" spans="1:2" x14ac:dyDescent="0.25">
      <c r="A981" s="49">
        <v>782121551</v>
      </c>
      <c r="B981" s="49" t="s">
        <v>1206</v>
      </c>
    </row>
    <row r="982" spans="1:2" x14ac:dyDescent="0.25">
      <c r="A982" s="49">
        <v>783374910</v>
      </c>
      <c r="B982" s="49" t="s">
        <v>529</v>
      </c>
    </row>
    <row r="983" spans="1:2" x14ac:dyDescent="0.25">
      <c r="A983" s="49">
        <v>784346451</v>
      </c>
      <c r="B983" s="49" t="s">
        <v>683</v>
      </c>
    </row>
    <row r="984" spans="1:2" x14ac:dyDescent="0.25">
      <c r="A984" s="49">
        <v>784471205</v>
      </c>
      <c r="B984" s="49" t="s">
        <v>720</v>
      </c>
    </row>
    <row r="985" spans="1:2" x14ac:dyDescent="0.25">
      <c r="A985" s="49">
        <v>821721634</v>
      </c>
      <c r="B985" s="49" t="s">
        <v>508</v>
      </c>
    </row>
    <row r="986" spans="1:2" x14ac:dyDescent="0.25">
      <c r="A986" s="49">
        <v>863217697</v>
      </c>
      <c r="B986" s="49" t="s">
        <v>1615</v>
      </c>
    </row>
    <row r="987" spans="1:2" x14ac:dyDescent="0.25">
      <c r="A987" s="49">
        <v>871136539</v>
      </c>
      <c r="B987" s="49" t="s">
        <v>1285</v>
      </c>
    </row>
    <row r="988" spans="1:2" x14ac:dyDescent="0.25">
      <c r="A988" s="49">
        <v>901673590</v>
      </c>
      <c r="B988" s="49" t="s">
        <v>1129</v>
      </c>
    </row>
    <row r="989" spans="1:2" x14ac:dyDescent="0.25">
      <c r="A989" s="49">
        <v>919489361</v>
      </c>
      <c r="B989" s="49" t="s">
        <v>70</v>
      </c>
    </row>
    <row r="990" spans="1:2" x14ac:dyDescent="0.25">
      <c r="A990" s="49">
        <v>928910764</v>
      </c>
      <c r="B990" s="49" t="s">
        <v>56</v>
      </c>
    </row>
    <row r="991" spans="1:2" x14ac:dyDescent="0.25">
      <c r="A991" s="49">
        <v>933221326</v>
      </c>
      <c r="B991" s="49" t="s">
        <v>157</v>
      </c>
    </row>
    <row r="992" spans="1:2" x14ac:dyDescent="0.25">
      <c r="A992" s="49">
        <v>1103383198</v>
      </c>
      <c r="B992" s="49" t="s">
        <v>855</v>
      </c>
    </row>
    <row r="993" spans="1:2" x14ac:dyDescent="0.25">
      <c r="A993" s="49">
        <v>1124771677</v>
      </c>
      <c r="B993" s="49" t="s">
        <v>1666</v>
      </c>
    </row>
    <row r="994" spans="1:2" x14ac:dyDescent="0.25">
      <c r="A994" s="49">
        <v>1134050742</v>
      </c>
      <c r="B994" s="49" t="s">
        <v>168</v>
      </c>
    </row>
    <row r="995" spans="1:2" x14ac:dyDescent="0.25">
      <c r="A995" s="49">
        <v>1146826402</v>
      </c>
      <c r="B995" s="49" t="s">
        <v>1660</v>
      </c>
    </row>
    <row r="996" spans="1:2" x14ac:dyDescent="0.25">
      <c r="A996" s="49">
        <v>1163265608</v>
      </c>
      <c r="B996" s="49" t="s">
        <v>1013</v>
      </c>
    </row>
    <row r="997" spans="1:2" x14ac:dyDescent="0.25">
      <c r="A997" s="49">
        <v>1180627650</v>
      </c>
      <c r="B997" s="49" t="s">
        <v>113</v>
      </c>
    </row>
    <row r="998" spans="1:2" x14ac:dyDescent="0.25">
      <c r="A998" s="49">
        <v>1216641286</v>
      </c>
      <c r="B998" s="49" t="s">
        <v>1107</v>
      </c>
    </row>
    <row r="999" spans="1:2" x14ac:dyDescent="0.25">
      <c r="A999" s="49">
        <v>1341023321</v>
      </c>
      <c r="B999" s="49" t="s">
        <v>1758</v>
      </c>
    </row>
    <row r="1000" spans="1:2" x14ac:dyDescent="0.25">
      <c r="A1000" s="49">
        <v>917486113</v>
      </c>
      <c r="B1000" s="49" t="s">
        <v>1711</v>
      </c>
    </row>
    <row r="1001" spans="1:2" x14ac:dyDescent="0.25">
      <c r="A1001" s="49">
        <v>936084719</v>
      </c>
      <c r="B1001" s="49" t="s">
        <v>1679</v>
      </c>
    </row>
    <row r="1002" spans="1:2" x14ac:dyDescent="0.25">
      <c r="A1002" s="49">
        <v>1144478930</v>
      </c>
      <c r="B1002" s="49" t="s">
        <v>1658</v>
      </c>
    </row>
    <row r="1003" spans="1:2" x14ac:dyDescent="0.25">
      <c r="A1003" s="49">
        <v>1255572151</v>
      </c>
      <c r="B1003" s="49" t="s">
        <v>1725</v>
      </c>
    </row>
    <row r="1004" spans="1:2" x14ac:dyDescent="0.25">
      <c r="A1004" s="49">
        <v>1342798406</v>
      </c>
      <c r="B1004" s="49" t="s">
        <v>1770</v>
      </c>
    </row>
    <row r="1005" spans="1:2" x14ac:dyDescent="0.25">
      <c r="A1005" s="49">
        <v>651356958</v>
      </c>
      <c r="B1005" s="49" t="s">
        <v>413</v>
      </c>
    </row>
    <row r="1006" spans="1:2" x14ac:dyDescent="0.25">
      <c r="A1006" s="49">
        <v>701209136</v>
      </c>
      <c r="B1006" s="49" t="s">
        <v>1329</v>
      </c>
    </row>
    <row r="1007" spans="1:2" x14ac:dyDescent="0.25">
      <c r="A1007" s="49">
        <v>704085858</v>
      </c>
      <c r="B1007" s="49" t="s">
        <v>3644</v>
      </c>
    </row>
    <row r="1008" spans="1:2" x14ac:dyDescent="0.25">
      <c r="A1008" s="49">
        <v>717097768</v>
      </c>
      <c r="B1008" s="49" t="s">
        <v>826</v>
      </c>
    </row>
    <row r="1009" spans="1:2" x14ac:dyDescent="0.25">
      <c r="A1009" s="49">
        <v>717847824</v>
      </c>
      <c r="B1009" s="49" t="s">
        <v>816</v>
      </c>
    </row>
    <row r="1010" spans="1:2" x14ac:dyDescent="0.25">
      <c r="A1010" s="49">
        <v>721381571</v>
      </c>
      <c r="B1010" s="49" t="s">
        <v>971</v>
      </c>
    </row>
    <row r="1011" spans="1:2" x14ac:dyDescent="0.25">
      <c r="A1011" s="49">
        <v>754564613</v>
      </c>
      <c r="B1011" s="49" t="s">
        <v>1005</v>
      </c>
    </row>
    <row r="1012" spans="1:2" x14ac:dyDescent="0.25">
      <c r="A1012" s="49">
        <v>776743849</v>
      </c>
      <c r="B1012" s="49" t="s">
        <v>1147</v>
      </c>
    </row>
    <row r="1013" spans="1:2" x14ac:dyDescent="0.25">
      <c r="A1013" s="49">
        <v>778012981</v>
      </c>
      <c r="B1013" s="49" t="s">
        <v>809</v>
      </c>
    </row>
    <row r="1014" spans="1:2" x14ac:dyDescent="0.25">
      <c r="A1014" s="49">
        <v>778430345</v>
      </c>
      <c r="B1014" s="49" t="s">
        <v>700</v>
      </c>
    </row>
    <row r="1015" spans="1:2" x14ac:dyDescent="0.25">
      <c r="A1015" s="49">
        <v>781334254</v>
      </c>
      <c r="B1015" s="49" t="s">
        <v>1070</v>
      </c>
    </row>
    <row r="1016" spans="1:2" x14ac:dyDescent="0.25">
      <c r="A1016" s="49">
        <v>782128904</v>
      </c>
      <c r="B1016" s="49" t="s">
        <v>1221</v>
      </c>
    </row>
    <row r="1017" spans="1:2" x14ac:dyDescent="0.25">
      <c r="A1017" s="49">
        <v>782262192</v>
      </c>
      <c r="B1017" s="49" t="s">
        <v>298</v>
      </c>
    </row>
    <row r="1018" spans="1:2" x14ac:dyDescent="0.25">
      <c r="A1018" s="49">
        <v>795092361</v>
      </c>
      <c r="B1018" s="49" t="s">
        <v>106</v>
      </c>
    </row>
    <row r="1019" spans="1:2" x14ac:dyDescent="0.25">
      <c r="A1019" s="49">
        <v>821991389</v>
      </c>
      <c r="B1019" s="49" t="s">
        <v>512</v>
      </c>
    </row>
    <row r="1020" spans="1:2" x14ac:dyDescent="0.25">
      <c r="A1020" s="49">
        <v>863224520</v>
      </c>
      <c r="B1020" s="49" t="s">
        <v>1619</v>
      </c>
    </row>
    <row r="1021" spans="1:2" x14ac:dyDescent="0.25">
      <c r="A1021" s="49">
        <v>863218441</v>
      </c>
      <c r="B1021" s="49" t="s">
        <v>1616</v>
      </c>
    </row>
    <row r="1022" spans="1:2" x14ac:dyDescent="0.25">
      <c r="A1022" s="49">
        <v>886528696</v>
      </c>
      <c r="B1022" s="49" t="s">
        <v>1685</v>
      </c>
    </row>
    <row r="1023" spans="1:2" x14ac:dyDescent="0.25">
      <c r="A1023" s="49">
        <v>921852259</v>
      </c>
      <c r="B1023" s="49" t="s">
        <v>1486</v>
      </c>
    </row>
    <row r="1024" spans="1:2" x14ac:dyDescent="0.25">
      <c r="A1024" s="49">
        <v>1111184738</v>
      </c>
      <c r="B1024" s="49" t="s">
        <v>841</v>
      </c>
    </row>
    <row r="1025" spans="1:2" x14ac:dyDescent="0.25">
      <c r="A1025" s="49">
        <v>1120285010</v>
      </c>
      <c r="B1025" s="49" t="s">
        <v>173</v>
      </c>
    </row>
    <row r="1026" spans="1:2" x14ac:dyDescent="0.25">
      <c r="A1026" s="49">
        <v>1136519897</v>
      </c>
      <c r="B1026" s="49" t="s">
        <v>1034</v>
      </c>
    </row>
    <row r="1027" spans="1:2" x14ac:dyDescent="0.25">
      <c r="A1027" s="49">
        <v>1143208104</v>
      </c>
      <c r="B1027" s="49" t="s">
        <v>1145</v>
      </c>
    </row>
    <row r="1028" spans="1:2" x14ac:dyDescent="0.25">
      <c r="A1028" s="49">
        <v>1340606403</v>
      </c>
      <c r="B1028" s="49" t="s">
        <v>1768</v>
      </c>
    </row>
    <row r="1029" spans="1:2" x14ac:dyDescent="0.25">
      <c r="A1029" s="49">
        <v>1373120105</v>
      </c>
      <c r="B1029" s="49" t="s">
        <v>1475</v>
      </c>
    </row>
    <row r="1030" spans="1:2" x14ac:dyDescent="0.25">
      <c r="A1030" s="49">
        <v>759872270</v>
      </c>
      <c r="B1030" s="49" t="s">
        <v>221</v>
      </c>
    </row>
    <row r="1031" spans="1:2" x14ac:dyDescent="0.25">
      <c r="A1031" s="49">
        <v>873222387</v>
      </c>
      <c r="B1031" s="49" t="s">
        <v>1483</v>
      </c>
    </row>
    <row r="1032" spans="1:2" x14ac:dyDescent="0.25">
      <c r="A1032" s="49">
        <v>898144211</v>
      </c>
      <c r="B1032" s="49" t="s">
        <v>3662</v>
      </c>
    </row>
    <row r="1033" spans="1:2" x14ac:dyDescent="0.25">
      <c r="A1033" s="49">
        <v>682867585</v>
      </c>
      <c r="B1033" s="49" t="s">
        <v>562</v>
      </c>
    </row>
    <row r="1034" spans="1:2" x14ac:dyDescent="0.25">
      <c r="A1034" s="49">
        <v>760067037</v>
      </c>
      <c r="B1034" s="49" t="s">
        <v>1184</v>
      </c>
    </row>
    <row r="1035" spans="1:2" x14ac:dyDescent="0.25">
      <c r="A1035" s="49">
        <v>799732691</v>
      </c>
      <c r="B1035" s="49" t="s">
        <v>1592</v>
      </c>
    </row>
    <row r="1036" spans="1:2" x14ac:dyDescent="0.25">
      <c r="A1036" s="49">
        <v>875443604</v>
      </c>
      <c r="B1036" s="49" t="s">
        <v>1187</v>
      </c>
    </row>
    <row r="1037" spans="1:2" x14ac:dyDescent="0.25">
      <c r="A1037" s="49">
        <v>1162649653</v>
      </c>
      <c r="B1037" s="49" t="s">
        <v>1032</v>
      </c>
    </row>
    <row r="1038" spans="1:2" x14ac:dyDescent="0.25">
      <c r="A1038" s="49">
        <v>1184743368</v>
      </c>
      <c r="B1038" s="49" t="s">
        <v>942</v>
      </c>
    </row>
    <row r="1039" spans="1:2" x14ac:dyDescent="0.25">
      <c r="A1039" s="49">
        <v>758481804</v>
      </c>
      <c r="B1039" s="49" t="s">
        <v>1492</v>
      </c>
    </row>
    <row r="1040" spans="1:2" x14ac:dyDescent="0.25">
      <c r="A1040" s="49">
        <v>782129701</v>
      </c>
      <c r="B1040" s="49" t="s">
        <v>1227</v>
      </c>
    </row>
    <row r="1041" spans="1:2" x14ac:dyDescent="0.25">
      <c r="A1041" s="49">
        <v>1341355394</v>
      </c>
      <c r="B1041" s="49" t="s">
        <v>1760</v>
      </c>
    </row>
    <row r="1042" spans="1:2" x14ac:dyDescent="0.25">
      <c r="A1042" s="49">
        <v>611674642</v>
      </c>
      <c r="B1042" s="49" t="s">
        <v>984</v>
      </c>
    </row>
    <row r="1043" spans="1:2" x14ac:dyDescent="0.25">
      <c r="A1043" s="49">
        <v>619395604</v>
      </c>
      <c r="B1043" s="49" t="s">
        <v>979</v>
      </c>
    </row>
    <row r="1044" spans="1:2" x14ac:dyDescent="0.25">
      <c r="A1044" s="49">
        <v>682942268</v>
      </c>
      <c r="B1044" s="49" t="s">
        <v>1700</v>
      </c>
    </row>
    <row r="1045" spans="1:2" x14ac:dyDescent="0.25">
      <c r="A1045" s="49">
        <v>720273659</v>
      </c>
      <c r="B1045" s="49" t="s">
        <v>780</v>
      </c>
    </row>
    <row r="1046" spans="1:2" x14ac:dyDescent="0.25">
      <c r="A1046" s="49">
        <v>737659293</v>
      </c>
      <c r="B1046" s="49" t="s">
        <v>991</v>
      </c>
    </row>
    <row r="1047" spans="1:2" x14ac:dyDescent="0.25">
      <c r="A1047" s="49">
        <v>778012065</v>
      </c>
      <c r="B1047" s="49" t="s">
        <v>814</v>
      </c>
    </row>
    <row r="1048" spans="1:2" x14ac:dyDescent="0.25">
      <c r="A1048" s="49">
        <v>781334774</v>
      </c>
      <c r="B1048" s="49" t="s">
        <v>1302</v>
      </c>
    </row>
    <row r="1049" spans="1:2" x14ac:dyDescent="0.25">
      <c r="A1049" s="49">
        <v>782127928</v>
      </c>
      <c r="B1049" s="49" t="s">
        <v>1104</v>
      </c>
    </row>
    <row r="1050" spans="1:2" x14ac:dyDescent="0.25">
      <c r="A1050" s="49">
        <v>782121110</v>
      </c>
      <c r="B1050" s="49" t="s">
        <v>1090</v>
      </c>
    </row>
    <row r="1051" spans="1:2" x14ac:dyDescent="0.25">
      <c r="A1051" s="49">
        <v>789859822</v>
      </c>
      <c r="B1051" s="49" t="s">
        <v>627</v>
      </c>
    </row>
    <row r="1052" spans="1:2" x14ac:dyDescent="0.25">
      <c r="A1052" s="49">
        <v>789857617</v>
      </c>
      <c r="B1052" s="49" t="s">
        <v>1230</v>
      </c>
    </row>
    <row r="1053" spans="1:2" x14ac:dyDescent="0.25">
      <c r="A1053" s="49">
        <v>829007631</v>
      </c>
      <c r="B1053" s="49" t="s">
        <v>1663</v>
      </c>
    </row>
    <row r="1054" spans="1:2" x14ac:dyDescent="0.25">
      <c r="A1054" s="49">
        <v>833966159</v>
      </c>
      <c r="B1054" s="49" t="s">
        <v>836</v>
      </c>
    </row>
    <row r="1055" spans="1:2" x14ac:dyDescent="0.25">
      <c r="A1055" s="49">
        <v>865771139</v>
      </c>
      <c r="B1055" s="49" t="s">
        <v>1374</v>
      </c>
    </row>
    <row r="1056" spans="1:2" x14ac:dyDescent="0.25">
      <c r="A1056" s="49">
        <v>868771060</v>
      </c>
      <c r="B1056" s="49" t="s">
        <v>386</v>
      </c>
    </row>
    <row r="1057" spans="1:2" x14ac:dyDescent="0.25">
      <c r="A1057" s="49">
        <v>1150420048</v>
      </c>
      <c r="B1057" s="49" t="s">
        <v>257</v>
      </c>
    </row>
    <row r="1058" spans="1:2" x14ac:dyDescent="0.25">
      <c r="A1058" s="49">
        <v>1167808753</v>
      </c>
      <c r="B1058" s="49" t="s">
        <v>890</v>
      </c>
    </row>
    <row r="1059" spans="1:2" x14ac:dyDescent="0.25">
      <c r="A1059" s="49">
        <v>1281990258</v>
      </c>
      <c r="B1059" s="49" t="s">
        <v>64</v>
      </c>
    </row>
    <row r="1060" spans="1:2" x14ac:dyDescent="0.25">
      <c r="A1060" s="49">
        <v>1285902537</v>
      </c>
      <c r="B1060" s="49" t="s">
        <v>1680</v>
      </c>
    </row>
    <row r="1061" spans="1:2" x14ac:dyDescent="0.25">
      <c r="A1061" s="49">
        <v>1344779388</v>
      </c>
      <c r="B1061" s="49" t="s">
        <v>1784</v>
      </c>
    </row>
    <row r="1062" spans="1:2" x14ac:dyDescent="0.25">
      <c r="A1062" s="49">
        <v>839389092</v>
      </c>
      <c r="B1062" s="49" t="s">
        <v>1352</v>
      </c>
    </row>
    <row r="1063" spans="1:2" x14ac:dyDescent="0.25">
      <c r="A1063" s="49">
        <v>641130872</v>
      </c>
      <c r="B1063" s="49" t="s">
        <v>1563</v>
      </c>
    </row>
    <row r="1064" spans="1:2" x14ac:dyDescent="0.25">
      <c r="A1064" s="49">
        <v>799484887</v>
      </c>
      <c r="B1064" s="49" t="s">
        <v>1542</v>
      </c>
    </row>
    <row r="1065" spans="1:2" x14ac:dyDescent="0.25">
      <c r="A1065" s="49">
        <v>605723948</v>
      </c>
      <c r="B1065" s="49" t="s">
        <v>1218</v>
      </c>
    </row>
    <row r="1066" spans="1:2" x14ac:dyDescent="0.25">
      <c r="A1066" s="49">
        <v>668490188</v>
      </c>
      <c r="B1066" s="49" t="s">
        <v>1497</v>
      </c>
    </row>
    <row r="1067" spans="1:2" x14ac:dyDescent="0.25">
      <c r="A1067" s="49">
        <v>690289949</v>
      </c>
      <c r="B1067" s="49" t="s">
        <v>888</v>
      </c>
    </row>
    <row r="1068" spans="1:2" x14ac:dyDescent="0.25">
      <c r="A1068" s="49">
        <v>1133324232</v>
      </c>
      <c r="B1068" s="49" t="s">
        <v>161</v>
      </c>
    </row>
    <row r="1069" spans="1:2" x14ac:dyDescent="0.25">
      <c r="A1069" s="49">
        <v>1136507172</v>
      </c>
      <c r="B1069" s="49" t="s">
        <v>1034</v>
      </c>
    </row>
    <row r="1070" spans="1:2" x14ac:dyDescent="0.25">
      <c r="A1070" s="49">
        <v>1161141885</v>
      </c>
      <c r="B1070" s="49" t="s">
        <v>1029</v>
      </c>
    </row>
    <row r="1071" spans="1:2" x14ac:dyDescent="0.25">
      <c r="A1071" s="49">
        <v>1161021963</v>
      </c>
      <c r="B1071" s="49" t="s">
        <v>1030</v>
      </c>
    </row>
    <row r="1072" spans="1:2" x14ac:dyDescent="0.25">
      <c r="A1072" s="49">
        <v>1268321939</v>
      </c>
      <c r="B1072" s="49" t="s">
        <v>1727</v>
      </c>
    </row>
    <row r="1073" spans="1:2" x14ac:dyDescent="0.25">
      <c r="A1073" s="49">
        <v>613283903</v>
      </c>
      <c r="B1073" s="49" t="s">
        <v>401</v>
      </c>
    </row>
    <row r="1074" spans="1:2" x14ac:dyDescent="0.25">
      <c r="A1074" s="49">
        <v>618031278</v>
      </c>
      <c r="B1074" s="49" t="s">
        <v>1689</v>
      </c>
    </row>
    <row r="1075" spans="1:2" x14ac:dyDescent="0.25">
      <c r="A1075" s="49">
        <v>689645798</v>
      </c>
      <c r="B1075" s="49" t="s">
        <v>1301</v>
      </c>
    </row>
    <row r="1076" spans="1:2" x14ac:dyDescent="0.25">
      <c r="A1076" s="49">
        <v>708217485</v>
      </c>
      <c r="B1076" s="49" t="s">
        <v>737</v>
      </c>
    </row>
    <row r="1077" spans="1:2" x14ac:dyDescent="0.25">
      <c r="A1077" s="49">
        <v>770185536</v>
      </c>
      <c r="B1077" s="49" t="s">
        <v>1634</v>
      </c>
    </row>
    <row r="1078" spans="1:2" x14ac:dyDescent="0.25">
      <c r="A1078" s="49">
        <v>730259401</v>
      </c>
      <c r="B1078" s="63" t="s">
        <v>569</v>
      </c>
    </row>
    <row r="1079" spans="1:2" x14ac:dyDescent="0.25">
      <c r="A1079" s="49">
        <v>780835607</v>
      </c>
      <c r="B1079" s="49" t="s">
        <v>442</v>
      </c>
    </row>
    <row r="1080" spans="1:2" x14ac:dyDescent="0.25">
      <c r="A1080" s="49">
        <v>781331336</v>
      </c>
      <c r="B1080" s="49" t="s">
        <v>1291</v>
      </c>
    </row>
    <row r="1081" spans="1:2" x14ac:dyDescent="0.25">
      <c r="A1081" s="49">
        <v>782119452</v>
      </c>
      <c r="B1081" s="49" t="s">
        <v>1280</v>
      </c>
    </row>
    <row r="1082" spans="1:2" x14ac:dyDescent="0.25">
      <c r="A1082" s="49">
        <v>784370243</v>
      </c>
      <c r="B1082" s="49" t="s">
        <v>701</v>
      </c>
    </row>
    <row r="1083" spans="1:2" x14ac:dyDescent="0.25">
      <c r="A1083" s="49">
        <v>795087846</v>
      </c>
      <c r="B1083" s="49" t="s">
        <v>3750</v>
      </c>
    </row>
    <row r="1084" spans="1:2" x14ac:dyDescent="0.25">
      <c r="A1084" s="49">
        <v>797826870</v>
      </c>
      <c r="B1084" s="49" t="s">
        <v>1478</v>
      </c>
    </row>
    <row r="1085" spans="1:2" x14ac:dyDescent="0.25">
      <c r="A1085" s="49">
        <v>826588152</v>
      </c>
      <c r="B1085" s="49" t="s">
        <v>1466</v>
      </c>
    </row>
    <row r="1086" spans="1:2" x14ac:dyDescent="0.25">
      <c r="A1086" s="49">
        <v>835797803</v>
      </c>
      <c r="B1086" s="49" t="s">
        <v>1705</v>
      </c>
    </row>
    <row r="1087" spans="1:2" x14ac:dyDescent="0.25">
      <c r="A1087" s="49">
        <v>847051262</v>
      </c>
      <c r="B1087" s="49" t="s">
        <v>190</v>
      </c>
    </row>
    <row r="1088" spans="1:2" x14ac:dyDescent="0.25">
      <c r="A1088" s="49">
        <v>875437378</v>
      </c>
      <c r="B1088" s="49" t="s">
        <v>1073</v>
      </c>
    </row>
    <row r="1089" spans="1:2" x14ac:dyDescent="0.25">
      <c r="A1089" s="49">
        <v>918990937</v>
      </c>
      <c r="B1089" s="49" t="s">
        <v>273</v>
      </c>
    </row>
    <row r="1090" spans="1:2" x14ac:dyDescent="0.25">
      <c r="A1090" s="49">
        <v>923459884</v>
      </c>
      <c r="B1090" s="49" t="s">
        <v>948</v>
      </c>
    </row>
    <row r="1091" spans="1:2" x14ac:dyDescent="0.25">
      <c r="A1091" s="49">
        <v>1110811822</v>
      </c>
      <c r="B1091" s="49" t="s">
        <v>1714</v>
      </c>
    </row>
    <row r="1092" spans="1:2" x14ac:dyDescent="0.25">
      <c r="A1092" s="49">
        <v>1134002453</v>
      </c>
      <c r="B1092" s="49" t="s">
        <v>167</v>
      </c>
    </row>
    <row r="1093" spans="1:2" x14ac:dyDescent="0.25">
      <c r="A1093" s="49">
        <v>1135354402</v>
      </c>
      <c r="B1093" s="49" t="s">
        <v>1105</v>
      </c>
    </row>
    <row r="1094" spans="1:2" x14ac:dyDescent="0.25">
      <c r="A1094" s="49">
        <v>1158290024</v>
      </c>
      <c r="B1094" s="49" t="s">
        <v>241</v>
      </c>
    </row>
    <row r="1095" spans="1:2" x14ac:dyDescent="0.25">
      <c r="A1095" s="49">
        <v>1313391355</v>
      </c>
      <c r="B1095" s="49" t="s">
        <v>1176</v>
      </c>
    </row>
    <row r="1096" spans="1:2" x14ac:dyDescent="0.25">
      <c r="A1096" s="49">
        <v>1375723345</v>
      </c>
      <c r="B1096" s="49" t="s">
        <v>700</v>
      </c>
    </row>
    <row r="1097" spans="1:2" x14ac:dyDescent="0.25">
      <c r="A1097" s="49">
        <v>1443757870</v>
      </c>
      <c r="B1097" s="49" t="s">
        <v>1504</v>
      </c>
    </row>
    <row r="1098" spans="1:2" x14ac:dyDescent="0.25">
      <c r="A1098" s="49">
        <v>868547164</v>
      </c>
      <c r="B1098" s="49" t="s">
        <v>1701</v>
      </c>
    </row>
    <row r="1099" spans="1:2" x14ac:dyDescent="0.25">
      <c r="A1099" s="49">
        <v>649108334</v>
      </c>
      <c r="B1099" s="49" t="s">
        <v>1227</v>
      </c>
    </row>
    <row r="1100" spans="1:2" x14ac:dyDescent="0.25">
      <c r="A1100" s="49">
        <v>608151041</v>
      </c>
      <c r="B1100" s="49" t="s">
        <v>1036</v>
      </c>
    </row>
    <row r="1101" spans="1:2" x14ac:dyDescent="0.25">
      <c r="A1101" s="49">
        <v>1156429162</v>
      </c>
      <c r="B1101" s="49" t="s">
        <v>1621</v>
      </c>
    </row>
    <row r="1102" spans="1:2" x14ac:dyDescent="0.25">
      <c r="A1102" s="49">
        <v>1299578176</v>
      </c>
      <c r="B1102" s="49" t="s">
        <v>1736</v>
      </c>
    </row>
    <row r="1103" spans="1:2" x14ac:dyDescent="0.25">
      <c r="A1103" s="49">
        <v>1321597390</v>
      </c>
      <c r="B1103" s="49" t="s">
        <v>1740</v>
      </c>
    </row>
    <row r="1104" spans="1:2" x14ac:dyDescent="0.25">
      <c r="A1104" s="49">
        <v>1344975877</v>
      </c>
      <c r="B1104" s="49" t="s">
        <v>1780</v>
      </c>
    </row>
    <row r="1105" spans="1:2" x14ac:dyDescent="0.25">
      <c r="A1105" s="49">
        <v>605724226</v>
      </c>
      <c r="B1105" s="49" t="s">
        <v>431</v>
      </c>
    </row>
    <row r="1106" spans="1:2" x14ac:dyDescent="0.25">
      <c r="A1106" s="49">
        <v>618904287</v>
      </c>
      <c r="B1106" s="49" t="s">
        <v>489</v>
      </c>
    </row>
    <row r="1107" spans="1:2" x14ac:dyDescent="0.25">
      <c r="A1107" s="49">
        <v>619609620</v>
      </c>
      <c r="B1107" s="49" t="s">
        <v>612</v>
      </c>
    </row>
    <row r="1108" spans="1:2" x14ac:dyDescent="0.25">
      <c r="A1108" s="49">
        <v>760067248</v>
      </c>
      <c r="B1108" s="49" t="s">
        <v>1687</v>
      </c>
    </row>
    <row r="1109" spans="1:2" x14ac:dyDescent="0.25">
      <c r="A1109" s="49">
        <v>762232790</v>
      </c>
      <c r="B1109" s="49" t="s">
        <v>829</v>
      </c>
    </row>
    <row r="1110" spans="1:2" x14ac:dyDescent="0.25">
      <c r="A1110" s="49">
        <v>778432047</v>
      </c>
      <c r="B1110" s="49" t="s">
        <v>689</v>
      </c>
    </row>
    <row r="1111" spans="1:2" x14ac:dyDescent="0.25">
      <c r="A1111" s="49">
        <v>780815156</v>
      </c>
      <c r="B1111" s="49" t="s">
        <v>656</v>
      </c>
    </row>
    <row r="1112" spans="1:2" x14ac:dyDescent="0.25">
      <c r="A1112" s="49">
        <v>781134445</v>
      </c>
      <c r="B1112" s="49" t="s">
        <v>620</v>
      </c>
    </row>
    <row r="1113" spans="1:2" x14ac:dyDescent="0.25">
      <c r="A1113" s="49">
        <v>781334317</v>
      </c>
      <c r="B1113" s="49" t="s">
        <v>1210</v>
      </c>
    </row>
    <row r="1114" spans="1:2" x14ac:dyDescent="0.25">
      <c r="A1114" s="49">
        <v>781815580</v>
      </c>
      <c r="B1114" s="49" t="s">
        <v>131</v>
      </c>
    </row>
    <row r="1115" spans="1:2" x14ac:dyDescent="0.25">
      <c r="A1115" s="49">
        <v>782127592</v>
      </c>
      <c r="B1115" s="49" t="s">
        <v>1138</v>
      </c>
    </row>
    <row r="1116" spans="1:2" x14ac:dyDescent="0.25">
      <c r="A1116" s="49">
        <v>784347923</v>
      </c>
      <c r="B1116" s="49" t="s">
        <v>684</v>
      </c>
    </row>
    <row r="1117" spans="1:2" x14ac:dyDescent="0.25">
      <c r="A1117" s="49">
        <v>789858041</v>
      </c>
      <c r="B1117" s="49" t="s">
        <v>1611</v>
      </c>
    </row>
    <row r="1118" spans="1:2" x14ac:dyDescent="0.25">
      <c r="A1118" s="49">
        <v>792120379</v>
      </c>
      <c r="B1118" s="49" t="s">
        <v>1641</v>
      </c>
    </row>
    <row r="1119" spans="1:2" x14ac:dyDescent="0.25">
      <c r="A1119" s="49">
        <v>797339963</v>
      </c>
      <c r="B1119" s="49" t="s">
        <v>302</v>
      </c>
    </row>
    <row r="1120" spans="1:2" x14ac:dyDescent="0.25">
      <c r="A1120" s="49">
        <v>799480713</v>
      </c>
      <c r="B1120" s="49" t="s">
        <v>1540</v>
      </c>
    </row>
    <row r="1121" spans="1:2" x14ac:dyDescent="0.25">
      <c r="A1121" s="49">
        <v>821990437</v>
      </c>
      <c r="B1121" s="49" t="s">
        <v>515</v>
      </c>
    </row>
    <row r="1122" spans="1:2" x14ac:dyDescent="0.25">
      <c r="A1122" s="49">
        <v>835288871</v>
      </c>
      <c r="B1122" s="49" t="s">
        <v>1356</v>
      </c>
    </row>
    <row r="1123" spans="1:2" x14ac:dyDescent="0.25">
      <c r="A1123" s="49">
        <v>868771152</v>
      </c>
      <c r="B1123" s="49" t="s">
        <v>387</v>
      </c>
    </row>
    <row r="1124" spans="1:2" x14ac:dyDescent="0.25">
      <c r="A1124" s="49">
        <v>901069349</v>
      </c>
      <c r="B1124" s="49" t="s">
        <v>105</v>
      </c>
    </row>
    <row r="1125" spans="1:2" x14ac:dyDescent="0.25">
      <c r="A1125" s="49">
        <v>907422468</v>
      </c>
      <c r="B1125" s="49" t="s">
        <v>874</v>
      </c>
    </row>
    <row r="1126" spans="1:2" x14ac:dyDescent="0.25">
      <c r="A1126" s="49">
        <v>909418650</v>
      </c>
      <c r="B1126" s="49" t="s">
        <v>1450</v>
      </c>
    </row>
    <row r="1127" spans="1:2" x14ac:dyDescent="0.25">
      <c r="A1127" s="49">
        <v>913474842</v>
      </c>
      <c r="B1127" s="49" t="s">
        <v>3667</v>
      </c>
    </row>
    <row r="1128" spans="1:2" x14ac:dyDescent="0.25">
      <c r="A1128" s="49">
        <v>1110805485</v>
      </c>
      <c r="B1128" s="49" t="s">
        <v>1715</v>
      </c>
    </row>
    <row r="1129" spans="1:2" x14ac:dyDescent="0.25">
      <c r="A1129" s="49">
        <v>1165955818</v>
      </c>
      <c r="B1129" s="49" t="s">
        <v>125</v>
      </c>
    </row>
    <row r="1130" spans="1:2" x14ac:dyDescent="0.25">
      <c r="A1130" s="49">
        <v>1174671988</v>
      </c>
      <c r="B1130" s="49" t="s">
        <v>798</v>
      </c>
    </row>
    <row r="1131" spans="1:2" x14ac:dyDescent="0.25">
      <c r="A1131" s="49">
        <v>1346178903</v>
      </c>
      <c r="B1131" s="49" t="s">
        <v>1790</v>
      </c>
    </row>
    <row r="1132" spans="1:2" x14ac:dyDescent="0.25">
      <c r="A1132" s="49">
        <v>1419653928</v>
      </c>
      <c r="B1132" s="49" t="s">
        <v>1833</v>
      </c>
    </row>
    <row r="1133" spans="1:2" x14ac:dyDescent="0.25">
      <c r="A1133" s="49">
        <v>1432364228</v>
      </c>
      <c r="B1133" s="49" t="s">
        <v>827</v>
      </c>
    </row>
    <row r="1134" spans="1:2" x14ac:dyDescent="0.25">
      <c r="A1134" s="49">
        <v>1373198851</v>
      </c>
      <c r="B1134" s="49" t="s">
        <v>1793</v>
      </c>
    </row>
    <row r="1135" spans="1:2" x14ac:dyDescent="0.25">
      <c r="A1135" s="49">
        <v>618902458</v>
      </c>
      <c r="B1135" s="49" t="s">
        <v>460</v>
      </c>
    </row>
    <row r="1136" spans="1:2" x14ac:dyDescent="0.25">
      <c r="A1136" s="49">
        <v>836713177</v>
      </c>
      <c r="B1136" s="49" t="s">
        <v>3652</v>
      </c>
    </row>
    <row r="1137" spans="1:2" x14ac:dyDescent="0.25">
      <c r="A1137" s="49">
        <v>901681833</v>
      </c>
      <c r="B1137" s="49" t="s">
        <v>1174</v>
      </c>
    </row>
    <row r="1138" spans="1:2" x14ac:dyDescent="0.25">
      <c r="A1138" s="49">
        <v>611295836</v>
      </c>
      <c r="B1138" s="49" t="s">
        <v>1219</v>
      </c>
    </row>
    <row r="1139" spans="1:2" x14ac:dyDescent="0.25">
      <c r="A1139" s="49">
        <v>785731325</v>
      </c>
      <c r="B1139" s="49" t="s">
        <v>1179</v>
      </c>
    </row>
    <row r="1140" spans="1:2" x14ac:dyDescent="0.25">
      <c r="A1140" s="49">
        <v>1341709047</v>
      </c>
      <c r="B1140" s="49" t="s">
        <v>1767</v>
      </c>
    </row>
    <row r="1141" spans="1:2" x14ac:dyDescent="0.25">
      <c r="A1141" s="49">
        <v>608715900</v>
      </c>
      <c r="B1141" s="49" t="s">
        <v>1654</v>
      </c>
    </row>
    <row r="1142" spans="1:2" x14ac:dyDescent="0.25">
      <c r="A1142" s="49">
        <v>638882919</v>
      </c>
      <c r="B1142" s="49" t="s">
        <v>1682</v>
      </c>
    </row>
    <row r="1143" spans="1:2" x14ac:dyDescent="0.25">
      <c r="A1143" s="49">
        <v>641653427</v>
      </c>
      <c r="B1143" s="49" t="s">
        <v>366</v>
      </c>
    </row>
    <row r="1144" spans="1:2" x14ac:dyDescent="0.25">
      <c r="A1144" s="49">
        <v>719458975</v>
      </c>
      <c r="B1144" s="49" t="s">
        <v>795</v>
      </c>
    </row>
    <row r="1145" spans="1:2" x14ac:dyDescent="0.25">
      <c r="A1145" s="49">
        <v>728167453</v>
      </c>
      <c r="B1145" s="49" t="s">
        <v>718</v>
      </c>
    </row>
    <row r="1146" spans="1:2" x14ac:dyDescent="0.25">
      <c r="A1146" s="49">
        <v>758401960</v>
      </c>
      <c r="B1146" s="49" t="s">
        <v>914</v>
      </c>
    </row>
    <row r="1147" spans="1:2" x14ac:dyDescent="0.25">
      <c r="A1147" s="49">
        <v>765927307</v>
      </c>
      <c r="B1147" s="49" t="s">
        <v>834</v>
      </c>
    </row>
    <row r="1148" spans="1:2" x14ac:dyDescent="0.25">
      <c r="A1148" s="49">
        <v>767697387</v>
      </c>
      <c r="B1148" s="49" t="s">
        <v>181</v>
      </c>
    </row>
    <row r="1149" spans="1:2" x14ac:dyDescent="0.25">
      <c r="A1149" s="49">
        <v>784051292</v>
      </c>
      <c r="B1149" s="49" t="s">
        <v>668</v>
      </c>
    </row>
    <row r="1150" spans="1:2" x14ac:dyDescent="0.25">
      <c r="A1150" s="49">
        <v>835446494</v>
      </c>
      <c r="B1150" s="49" t="s">
        <v>1361</v>
      </c>
    </row>
    <row r="1151" spans="1:2" x14ac:dyDescent="0.25">
      <c r="A1151" s="49">
        <v>860117884</v>
      </c>
      <c r="B1151" s="49" t="s">
        <v>1649</v>
      </c>
    </row>
    <row r="1152" spans="1:2" x14ac:dyDescent="0.25">
      <c r="A1152" s="49">
        <v>868111800</v>
      </c>
      <c r="B1152" s="49" t="s">
        <v>384</v>
      </c>
    </row>
    <row r="1153" spans="1:2" x14ac:dyDescent="0.25">
      <c r="A1153" s="49">
        <v>869243365</v>
      </c>
      <c r="B1153" s="49" t="s">
        <v>399</v>
      </c>
    </row>
    <row r="1154" spans="1:2" x14ac:dyDescent="0.25">
      <c r="A1154" s="49">
        <v>912663875</v>
      </c>
      <c r="B1154" s="49" t="s">
        <v>1369</v>
      </c>
    </row>
    <row r="1155" spans="1:2" x14ac:dyDescent="0.25">
      <c r="A1155" s="49">
        <v>928909990</v>
      </c>
      <c r="B1155" s="49" t="s">
        <v>1451</v>
      </c>
    </row>
    <row r="1156" spans="1:2" x14ac:dyDescent="0.25">
      <c r="A1156" s="49">
        <v>929151060</v>
      </c>
      <c r="B1156" s="49" t="s">
        <v>1023</v>
      </c>
    </row>
    <row r="1157" spans="1:2" x14ac:dyDescent="0.25">
      <c r="A1157" s="49">
        <v>936070100</v>
      </c>
      <c r="B1157" s="49" t="s">
        <v>1446</v>
      </c>
    </row>
    <row r="1158" spans="1:2" x14ac:dyDescent="0.25">
      <c r="A1158" s="49">
        <v>1119552544</v>
      </c>
      <c r="B1158" s="49" t="s">
        <v>575</v>
      </c>
    </row>
    <row r="1159" spans="1:2" x14ac:dyDescent="0.25">
      <c r="A1159" s="49">
        <v>1155435115</v>
      </c>
      <c r="B1159" s="49" t="s">
        <v>1154</v>
      </c>
    </row>
    <row r="1160" spans="1:2" x14ac:dyDescent="0.25">
      <c r="A1160" s="49">
        <v>1190495682</v>
      </c>
      <c r="B1160" s="49" t="s">
        <v>919</v>
      </c>
    </row>
    <row r="1161" spans="1:2" x14ac:dyDescent="0.25">
      <c r="A1161" s="49">
        <v>1207495686</v>
      </c>
      <c r="B1161" s="49" t="s">
        <v>1720</v>
      </c>
    </row>
    <row r="1162" spans="1:2" x14ac:dyDescent="0.25">
      <c r="A1162" s="49">
        <v>1346054495</v>
      </c>
      <c r="B1162" s="49" t="s">
        <v>1799</v>
      </c>
    </row>
    <row r="1163" spans="1:2" x14ac:dyDescent="0.25">
      <c r="A1163" s="49">
        <v>1355291716</v>
      </c>
      <c r="B1163" s="49" t="s">
        <v>68</v>
      </c>
    </row>
    <row r="1164" spans="1:2" x14ac:dyDescent="0.25">
      <c r="A1164" s="49">
        <v>1362322665</v>
      </c>
      <c r="B1164" s="49" t="s">
        <v>102</v>
      </c>
    </row>
    <row r="1165" spans="1:2" x14ac:dyDescent="0.25">
      <c r="A1165" s="49">
        <v>1377066022</v>
      </c>
      <c r="B1165" s="49" t="s">
        <v>1813</v>
      </c>
    </row>
    <row r="1166" spans="1:2" x14ac:dyDescent="0.25">
      <c r="A1166" s="49">
        <v>1410730996</v>
      </c>
      <c r="B1166" s="49" t="s">
        <v>1829</v>
      </c>
    </row>
    <row r="1167" spans="1:2" x14ac:dyDescent="0.25">
      <c r="A1167" s="49">
        <v>1375749015</v>
      </c>
      <c r="B1167" s="49" t="s">
        <v>700</v>
      </c>
    </row>
    <row r="1168" spans="1:2" x14ac:dyDescent="0.25">
      <c r="A1168" s="49">
        <v>758486092</v>
      </c>
      <c r="B1168" s="49" t="s">
        <v>1499</v>
      </c>
    </row>
    <row r="1169" spans="1:2" x14ac:dyDescent="0.25">
      <c r="A1169" s="49">
        <v>886668691</v>
      </c>
      <c r="B1169" s="49" t="s">
        <v>1594</v>
      </c>
    </row>
    <row r="1170" spans="1:2" x14ac:dyDescent="0.25">
      <c r="A1170" s="49">
        <v>886665841</v>
      </c>
      <c r="B1170" s="49" t="s">
        <v>1454</v>
      </c>
    </row>
    <row r="1171" spans="1:2" x14ac:dyDescent="0.25">
      <c r="A1171" s="49">
        <v>817214570</v>
      </c>
      <c r="B1171" s="49" t="s">
        <v>1418</v>
      </c>
    </row>
    <row r="1172" spans="1:2" x14ac:dyDescent="0.25">
      <c r="A1172" s="49">
        <v>1341354741</v>
      </c>
      <c r="B1172" s="49" t="s">
        <v>1763</v>
      </c>
    </row>
    <row r="1173" spans="1:2" x14ac:dyDescent="0.25">
      <c r="A1173" s="49">
        <v>611409465</v>
      </c>
      <c r="B1173" s="49" t="s">
        <v>520</v>
      </c>
    </row>
    <row r="1174" spans="1:2" x14ac:dyDescent="0.25">
      <c r="A1174" s="49">
        <v>620264071</v>
      </c>
      <c r="B1174" s="49" t="s">
        <v>1667</v>
      </c>
    </row>
    <row r="1175" spans="1:2" x14ac:dyDescent="0.25">
      <c r="A1175" s="49">
        <v>649607108</v>
      </c>
      <c r="B1175" s="49" t="s">
        <v>490</v>
      </c>
    </row>
    <row r="1176" spans="1:2" x14ac:dyDescent="0.25">
      <c r="A1176" s="49">
        <v>696317912</v>
      </c>
      <c r="B1176" s="49" t="s">
        <v>893</v>
      </c>
    </row>
    <row r="1177" spans="1:2" x14ac:dyDescent="0.25">
      <c r="A1177" s="49">
        <v>711510689</v>
      </c>
      <c r="B1177" s="49" t="s">
        <v>658</v>
      </c>
    </row>
    <row r="1178" spans="1:2" x14ac:dyDescent="0.25">
      <c r="A1178" s="49">
        <v>754272685</v>
      </c>
      <c r="B1178" s="49" t="s">
        <v>908</v>
      </c>
    </row>
    <row r="1179" spans="1:2" x14ac:dyDescent="0.25">
      <c r="A1179" s="49">
        <v>759929074</v>
      </c>
      <c r="B1179" s="49" t="s">
        <v>246</v>
      </c>
    </row>
    <row r="1180" spans="1:2" x14ac:dyDescent="0.25">
      <c r="A1180" s="49">
        <v>667481307</v>
      </c>
      <c r="B1180" s="49" t="s">
        <v>498</v>
      </c>
    </row>
    <row r="1181" spans="1:2" x14ac:dyDescent="0.25">
      <c r="A1181" s="49">
        <v>780796320</v>
      </c>
      <c r="B1181" s="49" t="s">
        <v>1082</v>
      </c>
    </row>
    <row r="1182" spans="1:2" x14ac:dyDescent="0.25">
      <c r="A1182" s="49">
        <v>784481224</v>
      </c>
      <c r="B1182" s="49" t="s">
        <v>984</v>
      </c>
    </row>
    <row r="1183" spans="1:2" x14ac:dyDescent="0.25">
      <c r="A1183" s="49">
        <v>784477793</v>
      </c>
      <c r="B1183" s="49" t="s">
        <v>970</v>
      </c>
    </row>
    <row r="1184" spans="1:2" x14ac:dyDescent="0.25">
      <c r="A1184" s="49">
        <v>792143036</v>
      </c>
      <c r="B1184" s="49" t="s">
        <v>641</v>
      </c>
    </row>
    <row r="1185" spans="1:2" x14ac:dyDescent="0.25">
      <c r="A1185" s="49">
        <v>801698570</v>
      </c>
      <c r="B1185" s="49" t="s">
        <v>299</v>
      </c>
    </row>
    <row r="1186" spans="1:2" x14ac:dyDescent="0.25">
      <c r="A1186" s="49">
        <v>816679254</v>
      </c>
      <c r="B1186" s="49" t="s">
        <v>940</v>
      </c>
    </row>
    <row r="1187" spans="1:2" x14ac:dyDescent="0.25">
      <c r="A1187" s="49">
        <v>821988169</v>
      </c>
      <c r="B1187" s="49" t="s">
        <v>833</v>
      </c>
    </row>
    <row r="1188" spans="1:2" x14ac:dyDescent="0.25">
      <c r="A1188" s="49">
        <v>867410381</v>
      </c>
      <c r="B1188" s="49" t="s">
        <v>1669</v>
      </c>
    </row>
    <row r="1189" spans="1:2" x14ac:dyDescent="0.25">
      <c r="A1189" s="49">
        <v>868767149</v>
      </c>
      <c r="B1189" s="49" t="s">
        <v>389</v>
      </c>
    </row>
    <row r="1190" spans="1:2" x14ac:dyDescent="0.25">
      <c r="A1190" s="49">
        <v>913078672</v>
      </c>
      <c r="B1190" s="49" t="s">
        <v>1201</v>
      </c>
    </row>
    <row r="1191" spans="1:2" x14ac:dyDescent="0.25">
      <c r="A1191" s="49">
        <v>1100069687</v>
      </c>
      <c r="B1191" s="49" t="s">
        <v>156</v>
      </c>
    </row>
    <row r="1192" spans="1:2" x14ac:dyDescent="0.25">
      <c r="A1192" s="49">
        <v>1122740867</v>
      </c>
      <c r="B1192" s="49" t="s">
        <v>1494</v>
      </c>
    </row>
    <row r="1193" spans="1:2" x14ac:dyDescent="0.25">
      <c r="A1193" s="49">
        <v>1148976394</v>
      </c>
      <c r="B1193" s="49" t="s">
        <v>1441</v>
      </c>
    </row>
    <row r="1194" spans="1:2" x14ac:dyDescent="0.25">
      <c r="A1194" s="49">
        <v>1313391360</v>
      </c>
      <c r="B1194" s="49" t="s">
        <v>1176</v>
      </c>
    </row>
    <row r="1195" spans="1:2" x14ac:dyDescent="0.25">
      <c r="A1195" s="49">
        <v>1346312926</v>
      </c>
      <c r="B1195" s="49" t="s">
        <v>1802</v>
      </c>
    </row>
    <row r="1196" spans="1:2" x14ac:dyDescent="0.25">
      <c r="A1196" s="49">
        <v>1360022717</v>
      </c>
      <c r="B1196" s="49" t="s">
        <v>1817</v>
      </c>
    </row>
    <row r="1197" spans="1:2" x14ac:dyDescent="0.25">
      <c r="A1197" s="49">
        <v>1359585661</v>
      </c>
      <c r="B1197" s="49" t="s">
        <v>1817</v>
      </c>
    </row>
    <row r="1198" spans="1:2" x14ac:dyDescent="0.25">
      <c r="A1198" s="49">
        <v>1446340706</v>
      </c>
      <c r="B1198" s="49" t="s">
        <v>988</v>
      </c>
    </row>
    <row r="1199" spans="1:2" x14ac:dyDescent="0.25">
      <c r="A1199" s="49">
        <v>895931600</v>
      </c>
      <c r="B1199" s="49" t="s">
        <v>1132</v>
      </c>
    </row>
    <row r="1200" spans="1:2" x14ac:dyDescent="0.25">
      <c r="A1200" s="49">
        <v>641033415</v>
      </c>
      <c r="B1200" s="49" t="s">
        <v>1573</v>
      </c>
    </row>
    <row r="1201" spans="1:2" x14ac:dyDescent="0.25">
      <c r="A1201" s="49">
        <v>776431955</v>
      </c>
      <c r="B1201" s="49" t="s">
        <v>631</v>
      </c>
    </row>
    <row r="1202" spans="1:2" x14ac:dyDescent="0.25">
      <c r="A1202" s="49">
        <v>836741503</v>
      </c>
      <c r="B1202" s="49" t="s">
        <v>1489</v>
      </c>
    </row>
    <row r="1203" spans="1:2" x14ac:dyDescent="0.25">
      <c r="A1203" s="49">
        <v>934694468</v>
      </c>
      <c r="B1203" s="49" t="s">
        <v>1410</v>
      </c>
    </row>
    <row r="1204" spans="1:2" x14ac:dyDescent="0.25">
      <c r="A1204" s="49">
        <v>1146972361</v>
      </c>
      <c r="B1204" s="49" t="s">
        <v>1404</v>
      </c>
    </row>
    <row r="1205" spans="1:2" x14ac:dyDescent="0.25">
      <c r="A1205" s="49">
        <v>1298758612</v>
      </c>
      <c r="B1205" s="49" t="s">
        <v>1734</v>
      </c>
    </row>
    <row r="1206" spans="1:2" x14ac:dyDescent="0.25">
      <c r="A1206" s="49">
        <v>609316701</v>
      </c>
      <c r="B1206" s="49" t="s">
        <v>730</v>
      </c>
    </row>
    <row r="1207" spans="1:2" x14ac:dyDescent="0.25">
      <c r="A1207" s="49">
        <v>614138607</v>
      </c>
      <c r="B1207" s="49" t="s">
        <v>745</v>
      </c>
    </row>
    <row r="1208" spans="1:2" x14ac:dyDescent="0.25">
      <c r="A1208" s="49">
        <v>614138606</v>
      </c>
      <c r="B1208" s="49" t="s">
        <v>372</v>
      </c>
    </row>
    <row r="1209" spans="1:2" x14ac:dyDescent="0.25">
      <c r="A1209" s="49">
        <v>618906198</v>
      </c>
      <c r="B1209" s="49" t="s">
        <v>455</v>
      </c>
    </row>
    <row r="1210" spans="1:2" x14ac:dyDescent="0.25">
      <c r="A1210" s="49">
        <v>662720845</v>
      </c>
      <c r="B1210" s="49" t="s">
        <v>123</v>
      </c>
    </row>
    <row r="1211" spans="1:2" x14ac:dyDescent="0.25">
      <c r="A1211" s="49">
        <v>734112395</v>
      </c>
      <c r="B1211" s="49" t="s">
        <v>1439</v>
      </c>
    </row>
    <row r="1212" spans="1:2" x14ac:dyDescent="0.25">
      <c r="A1212" s="49">
        <v>776564573</v>
      </c>
      <c r="B1212" s="49" t="s">
        <v>569</v>
      </c>
    </row>
    <row r="1213" spans="1:2" x14ac:dyDescent="0.25">
      <c r="A1213" s="49">
        <v>721561264</v>
      </c>
      <c r="B1213" s="49" t="s">
        <v>765</v>
      </c>
    </row>
    <row r="1214" spans="1:2" x14ac:dyDescent="0.25">
      <c r="A1214" s="49">
        <v>777659944</v>
      </c>
      <c r="B1214" s="49" t="s">
        <v>325</v>
      </c>
    </row>
    <row r="1215" spans="1:2" x14ac:dyDescent="0.25">
      <c r="A1215" s="49">
        <v>780835380</v>
      </c>
      <c r="B1215" s="49" t="s">
        <v>477</v>
      </c>
    </row>
    <row r="1216" spans="1:2" x14ac:dyDescent="0.25">
      <c r="A1216" s="49">
        <v>781345733</v>
      </c>
      <c r="B1216" s="49" t="s">
        <v>1332</v>
      </c>
    </row>
    <row r="1217" spans="1:2" x14ac:dyDescent="0.25">
      <c r="A1217" s="49">
        <v>785146971</v>
      </c>
      <c r="B1217" s="49" t="s">
        <v>733</v>
      </c>
    </row>
    <row r="1218" spans="1:2" x14ac:dyDescent="0.25">
      <c r="A1218" s="49">
        <v>785146901</v>
      </c>
      <c r="B1218" s="49" t="s">
        <v>733</v>
      </c>
    </row>
    <row r="1219" spans="1:2" x14ac:dyDescent="0.25">
      <c r="A1219" s="49">
        <v>817096112</v>
      </c>
      <c r="B1219" s="49" t="s">
        <v>832</v>
      </c>
    </row>
    <row r="1220" spans="1:2" x14ac:dyDescent="0.25">
      <c r="A1220" s="49">
        <v>785739167</v>
      </c>
      <c r="B1220" s="49" t="s">
        <v>1260</v>
      </c>
    </row>
    <row r="1221" spans="1:2" x14ac:dyDescent="0.25">
      <c r="A1221" s="49">
        <v>835449366</v>
      </c>
      <c r="B1221" s="49" t="s">
        <v>1362</v>
      </c>
    </row>
    <row r="1222" spans="1:2" x14ac:dyDescent="0.25">
      <c r="A1222" s="49">
        <v>868110113</v>
      </c>
      <c r="B1222" s="49" t="s">
        <v>383</v>
      </c>
    </row>
    <row r="1223" spans="1:2" x14ac:dyDescent="0.25">
      <c r="A1223" s="49">
        <v>912759022</v>
      </c>
      <c r="B1223" s="49" t="s">
        <v>598</v>
      </c>
    </row>
    <row r="1224" spans="1:2" x14ac:dyDescent="0.25">
      <c r="A1224" s="49">
        <v>913483161</v>
      </c>
      <c r="B1224" s="49" t="s">
        <v>3648</v>
      </c>
    </row>
    <row r="1225" spans="1:2" x14ac:dyDescent="0.25">
      <c r="A1225" s="49">
        <v>928524815</v>
      </c>
      <c r="B1225" s="49" t="s">
        <v>1509</v>
      </c>
    </row>
    <row r="1226" spans="1:2" x14ac:dyDescent="0.25">
      <c r="A1226" s="49">
        <v>929149015</v>
      </c>
      <c r="B1226" s="49" t="s">
        <v>1508</v>
      </c>
    </row>
    <row r="1227" spans="1:2" x14ac:dyDescent="0.25">
      <c r="A1227" s="49">
        <v>935730431</v>
      </c>
      <c r="B1227" s="49" t="s">
        <v>590</v>
      </c>
    </row>
    <row r="1228" spans="1:2" x14ac:dyDescent="0.25">
      <c r="A1228" s="49">
        <v>1105714565</v>
      </c>
      <c r="B1228" s="49" t="s">
        <v>1596</v>
      </c>
    </row>
    <row r="1229" spans="1:2" x14ac:dyDescent="0.25">
      <c r="A1229" s="49">
        <v>1122880828</v>
      </c>
      <c r="B1229" s="49" t="s">
        <v>61</v>
      </c>
    </row>
    <row r="1230" spans="1:2" x14ac:dyDescent="0.25">
      <c r="A1230" s="49">
        <v>1131201782</v>
      </c>
      <c r="B1230" s="49" t="s">
        <v>80</v>
      </c>
    </row>
    <row r="1231" spans="1:2" x14ac:dyDescent="0.25">
      <c r="A1231" s="49">
        <v>1134535808</v>
      </c>
      <c r="B1231" s="49" t="s">
        <v>108</v>
      </c>
    </row>
    <row r="1232" spans="1:2" x14ac:dyDescent="0.25">
      <c r="A1232" s="49">
        <v>1147707177</v>
      </c>
      <c r="B1232" s="49" t="s">
        <v>1020</v>
      </c>
    </row>
    <row r="1233" spans="1:2" x14ac:dyDescent="0.25">
      <c r="A1233" s="49">
        <v>1149787882</v>
      </c>
      <c r="B1233" s="49" t="s">
        <v>1413</v>
      </c>
    </row>
    <row r="1234" spans="1:2" x14ac:dyDescent="0.25">
      <c r="A1234" s="49">
        <v>1355291864</v>
      </c>
      <c r="B1234" s="49" t="s">
        <v>68</v>
      </c>
    </row>
    <row r="1235" spans="1:2" x14ac:dyDescent="0.25">
      <c r="A1235" s="49">
        <v>1359485614</v>
      </c>
      <c r="B1235" s="49" t="s">
        <v>1816</v>
      </c>
    </row>
    <row r="1236" spans="1:2" x14ac:dyDescent="0.25">
      <c r="A1236" s="49">
        <v>1419932724</v>
      </c>
      <c r="B1236" s="49" t="s">
        <v>1833</v>
      </c>
    </row>
    <row r="1237" spans="1:2" x14ac:dyDescent="0.25">
      <c r="A1237" s="49">
        <v>817214927</v>
      </c>
      <c r="B1237" s="49" t="s">
        <v>3664</v>
      </c>
    </row>
    <row r="1238" spans="1:2" x14ac:dyDescent="0.25">
      <c r="A1238" s="49">
        <v>899205344</v>
      </c>
      <c r="B1238" s="49" t="s">
        <v>1315</v>
      </c>
    </row>
    <row r="1239" spans="1:2" x14ac:dyDescent="0.25">
      <c r="A1239" s="49">
        <v>886666250</v>
      </c>
      <c r="B1239" s="49" t="s">
        <v>1607</v>
      </c>
    </row>
    <row r="1240" spans="1:2" x14ac:dyDescent="0.25">
      <c r="A1240" s="49">
        <v>1100216390</v>
      </c>
      <c r="B1240" s="49" t="s">
        <v>778</v>
      </c>
    </row>
    <row r="1241" spans="1:2" x14ac:dyDescent="0.25">
      <c r="A1241" s="49">
        <v>1110833853</v>
      </c>
      <c r="B1241" s="49" t="s">
        <v>1719</v>
      </c>
    </row>
    <row r="1242" spans="1:2" x14ac:dyDescent="0.25">
      <c r="A1242" s="49">
        <v>1110818361</v>
      </c>
      <c r="B1242" s="49" t="s">
        <v>1714</v>
      </c>
    </row>
    <row r="1243" spans="1:2" x14ac:dyDescent="0.25">
      <c r="A1243" s="49">
        <v>780817653</v>
      </c>
      <c r="B1243" s="49" t="s">
        <v>659</v>
      </c>
    </row>
    <row r="1244" spans="1:2" x14ac:dyDescent="0.25">
      <c r="A1244" s="49">
        <v>625580018</v>
      </c>
      <c r="B1244" s="49" t="s">
        <v>980</v>
      </c>
    </row>
    <row r="1245" spans="1:2" x14ac:dyDescent="0.25">
      <c r="A1245" s="49">
        <v>651413972</v>
      </c>
      <c r="B1245" s="49" t="s">
        <v>1318</v>
      </c>
    </row>
    <row r="1246" spans="1:2" x14ac:dyDescent="0.25">
      <c r="A1246" s="49">
        <v>660265731</v>
      </c>
      <c r="B1246" s="49" t="s">
        <v>186</v>
      </c>
    </row>
    <row r="1247" spans="1:2" x14ac:dyDescent="0.25">
      <c r="A1247" s="49">
        <v>677034992</v>
      </c>
      <c r="B1247" s="49" t="s">
        <v>1515</v>
      </c>
    </row>
    <row r="1248" spans="1:2" x14ac:dyDescent="0.25">
      <c r="A1248" s="49">
        <v>709011206</v>
      </c>
      <c r="B1248" s="49" t="s">
        <v>1072</v>
      </c>
    </row>
    <row r="1249" spans="1:2" x14ac:dyDescent="0.25">
      <c r="A1249" s="49">
        <v>710396934</v>
      </c>
      <c r="B1249" s="49" t="s">
        <v>897</v>
      </c>
    </row>
    <row r="1250" spans="1:2" x14ac:dyDescent="0.25">
      <c r="A1250" s="49">
        <v>711512272</v>
      </c>
      <c r="B1250" s="49" t="s">
        <v>657</v>
      </c>
    </row>
    <row r="1251" spans="1:2" x14ac:dyDescent="0.25">
      <c r="A1251" s="49">
        <v>719469725</v>
      </c>
      <c r="B1251" s="49" t="s">
        <v>802</v>
      </c>
    </row>
    <row r="1252" spans="1:2" x14ac:dyDescent="0.25">
      <c r="A1252" s="49">
        <v>738290479</v>
      </c>
      <c r="B1252" s="49" t="s">
        <v>592</v>
      </c>
    </row>
    <row r="1253" spans="1:2" x14ac:dyDescent="0.25">
      <c r="A1253" s="49">
        <v>779461099</v>
      </c>
      <c r="B1253" s="49" t="s">
        <v>317</v>
      </c>
    </row>
    <row r="1254" spans="1:2" x14ac:dyDescent="0.25">
      <c r="A1254" s="49">
        <v>779928176</v>
      </c>
      <c r="B1254" s="49" t="s">
        <v>772</v>
      </c>
    </row>
    <row r="1255" spans="1:2" x14ac:dyDescent="0.25">
      <c r="A1255" s="49">
        <v>781134049</v>
      </c>
      <c r="B1255" s="49" t="s">
        <v>616</v>
      </c>
    </row>
    <row r="1256" spans="1:2" x14ac:dyDescent="0.25">
      <c r="A1256" s="49">
        <v>781331421</v>
      </c>
      <c r="B1256" s="49" t="s">
        <v>1284</v>
      </c>
    </row>
    <row r="1257" spans="1:2" x14ac:dyDescent="0.25">
      <c r="A1257" s="49">
        <v>785200710</v>
      </c>
      <c r="B1257" s="49" t="s">
        <v>743</v>
      </c>
    </row>
    <row r="1258" spans="1:2" x14ac:dyDescent="0.25">
      <c r="A1258" s="49">
        <v>797612574</v>
      </c>
      <c r="B1258" s="49" t="s">
        <v>1468</v>
      </c>
    </row>
    <row r="1259" spans="1:2" x14ac:dyDescent="0.25">
      <c r="A1259" s="49">
        <v>835446237</v>
      </c>
      <c r="B1259" s="49" t="s">
        <v>1360</v>
      </c>
    </row>
    <row r="1260" spans="1:2" x14ac:dyDescent="0.25">
      <c r="A1260" s="49">
        <v>841088134</v>
      </c>
      <c r="B1260" s="49" t="s">
        <v>1380</v>
      </c>
    </row>
    <row r="1261" spans="1:2" x14ac:dyDescent="0.25">
      <c r="A1261" s="49">
        <v>875609436</v>
      </c>
      <c r="B1261" s="49" t="s">
        <v>545</v>
      </c>
    </row>
    <row r="1262" spans="1:2" x14ac:dyDescent="0.25">
      <c r="A1262" s="49">
        <v>900848111</v>
      </c>
      <c r="B1262" s="49" t="s">
        <v>1399</v>
      </c>
    </row>
    <row r="1263" spans="1:2" x14ac:dyDescent="0.25">
      <c r="A1263" s="49">
        <v>909420860</v>
      </c>
      <c r="B1263" s="49" t="s">
        <v>902</v>
      </c>
    </row>
    <row r="1264" spans="1:2" x14ac:dyDescent="0.25">
      <c r="A1264" s="49">
        <v>1105708200</v>
      </c>
      <c r="B1264" s="49" t="s">
        <v>883</v>
      </c>
    </row>
    <row r="1265" spans="1:2" x14ac:dyDescent="0.25">
      <c r="A1265" s="49">
        <v>1146793939</v>
      </c>
      <c r="B1265" s="49" t="s">
        <v>1660</v>
      </c>
    </row>
    <row r="1266" spans="1:2" x14ac:dyDescent="0.25">
      <c r="A1266" s="49">
        <v>1345785631</v>
      </c>
      <c r="B1266" s="49" t="s">
        <v>1797</v>
      </c>
    </row>
    <row r="1267" spans="1:2" x14ac:dyDescent="0.25">
      <c r="A1267" s="49">
        <v>1366757859</v>
      </c>
      <c r="B1267" s="49" t="s">
        <v>1828</v>
      </c>
    </row>
    <row r="1268" spans="1:2" x14ac:dyDescent="0.25">
      <c r="A1268" s="49">
        <v>640010178</v>
      </c>
      <c r="B1268" s="49" t="s">
        <v>1587</v>
      </c>
    </row>
    <row r="1269" spans="1:2" x14ac:dyDescent="0.25">
      <c r="A1269" s="49">
        <v>899118827</v>
      </c>
      <c r="B1269" s="49" t="s">
        <v>602</v>
      </c>
    </row>
    <row r="1270" spans="1:2" x14ac:dyDescent="0.25">
      <c r="A1270" s="49">
        <v>1133330966</v>
      </c>
      <c r="B1270" s="49" t="s">
        <v>164</v>
      </c>
    </row>
    <row r="1271" spans="1:2" x14ac:dyDescent="0.25">
      <c r="A1271" s="49">
        <v>1165075960</v>
      </c>
      <c r="B1271" s="49" t="s">
        <v>1597</v>
      </c>
    </row>
    <row r="1272" spans="1:2" x14ac:dyDescent="0.25">
      <c r="A1272" s="49">
        <v>1341059570</v>
      </c>
      <c r="B1272" s="49" t="s">
        <v>1762</v>
      </c>
    </row>
    <row r="1273" spans="1:2" x14ac:dyDescent="0.25">
      <c r="A1273" s="49">
        <v>606799559</v>
      </c>
      <c r="B1273" s="49" t="s">
        <v>622</v>
      </c>
    </row>
    <row r="1274" spans="1:2" x14ac:dyDescent="0.25">
      <c r="A1274" s="49">
        <v>609337682</v>
      </c>
      <c r="B1274" s="49" t="s">
        <v>1422</v>
      </c>
    </row>
    <row r="1275" spans="1:2" x14ac:dyDescent="0.25">
      <c r="A1275" s="49">
        <v>611550970</v>
      </c>
      <c r="B1275" s="49" t="s">
        <v>279</v>
      </c>
    </row>
    <row r="1276" spans="1:2" x14ac:dyDescent="0.25">
      <c r="A1276" s="49">
        <v>641276239</v>
      </c>
      <c r="B1276" s="49" t="s">
        <v>1456</v>
      </c>
    </row>
    <row r="1277" spans="1:2" x14ac:dyDescent="0.25">
      <c r="A1277" s="49">
        <v>664574975</v>
      </c>
      <c r="B1277" s="49" t="s">
        <v>1442</v>
      </c>
    </row>
    <row r="1278" spans="1:2" x14ac:dyDescent="0.25">
      <c r="A1278" s="49">
        <v>702191413</v>
      </c>
      <c r="B1278" s="49" t="s">
        <v>533</v>
      </c>
    </row>
    <row r="1279" spans="1:2" x14ac:dyDescent="0.25">
      <c r="A1279" s="49">
        <v>704099472</v>
      </c>
      <c r="B1279" s="49" t="s">
        <v>3660</v>
      </c>
    </row>
    <row r="1280" spans="1:2" x14ac:dyDescent="0.25">
      <c r="A1280" s="49">
        <v>717843358</v>
      </c>
      <c r="B1280" s="49" t="s">
        <v>814</v>
      </c>
    </row>
    <row r="1281" spans="1:2" x14ac:dyDescent="0.25">
      <c r="A1281" s="49">
        <v>734492837</v>
      </c>
      <c r="B1281" s="49" t="s">
        <v>706</v>
      </c>
    </row>
    <row r="1282" spans="1:2" x14ac:dyDescent="0.25">
      <c r="A1282" s="49">
        <v>764722147</v>
      </c>
      <c r="B1282" s="49" t="s">
        <v>1134</v>
      </c>
    </row>
    <row r="1283" spans="1:2" x14ac:dyDescent="0.25">
      <c r="A1283" s="49">
        <v>781490943</v>
      </c>
      <c r="B1283" s="49" t="s">
        <v>735</v>
      </c>
    </row>
    <row r="1284" spans="1:2" x14ac:dyDescent="0.25">
      <c r="A1284" s="49">
        <v>782120229</v>
      </c>
      <c r="B1284" s="49" t="s">
        <v>1160</v>
      </c>
    </row>
    <row r="1285" spans="1:2" x14ac:dyDescent="0.25">
      <c r="A1285" s="49">
        <v>784035928</v>
      </c>
      <c r="B1285" s="49" t="s">
        <v>138</v>
      </c>
    </row>
    <row r="1286" spans="1:2" x14ac:dyDescent="0.25">
      <c r="A1286" s="49">
        <v>789196573</v>
      </c>
      <c r="B1286" s="49" t="s">
        <v>669</v>
      </c>
    </row>
    <row r="1287" spans="1:2" x14ac:dyDescent="0.25">
      <c r="A1287" s="49">
        <v>835445913</v>
      </c>
      <c r="B1287" s="49" t="s">
        <v>1360</v>
      </c>
    </row>
    <row r="1288" spans="1:2" x14ac:dyDescent="0.25">
      <c r="A1288" s="49">
        <v>863224080</v>
      </c>
      <c r="B1288" s="49" t="s">
        <v>1618</v>
      </c>
    </row>
    <row r="1289" spans="1:2" x14ac:dyDescent="0.25">
      <c r="A1289" s="49">
        <v>868771681</v>
      </c>
      <c r="B1289" s="49" t="s">
        <v>392</v>
      </c>
    </row>
    <row r="1290" spans="1:2" x14ac:dyDescent="0.25">
      <c r="A1290" s="49">
        <v>895941525</v>
      </c>
      <c r="B1290" s="49" t="s">
        <v>1666</v>
      </c>
    </row>
    <row r="1291" spans="1:2" x14ac:dyDescent="0.25">
      <c r="A1291" s="49">
        <v>909415084</v>
      </c>
      <c r="B1291" s="49" t="s">
        <v>944</v>
      </c>
    </row>
    <row r="1292" spans="1:2" x14ac:dyDescent="0.25">
      <c r="A1292" s="49">
        <v>909398332</v>
      </c>
      <c r="B1292" s="49" t="s">
        <v>1092</v>
      </c>
    </row>
    <row r="1293" spans="1:2" x14ac:dyDescent="0.25">
      <c r="A1293" s="49">
        <v>913673990</v>
      </c>
      <c r="B1293" s="49" t="s">
        <v>99</v>
      </c>
    </row>
    <row r="1294" spans="1:2" x14ac:dyDescent="0.25">
      <c r="A1294" s="49">
        <v>918979312</v>
      </c>
      <c r="B1294" s="49" t="s">
        <v>91</v>
      </c>
    </row>
    <row r="1295" spans="1:2" x14ac:dyDescent="0.25">
      <c r="A1295" s="49">
        <v>919294428</v>
      </c>
      <c r="B1295" s="49" t="s">
        <v>73</v>
      </c>
    </row>
    <row r="1296" spans="1:2" x14ac:dyDescent="0.25">
      <c r="A1296" s="49">
        <v>921848853</v>
      </c>
      <c r="B1296" s="49" t="s">
        <v>525</v>
      </c>
    </row>
    <row r="1297" spans="1:2" x14ac:dyDescent="0.25">
      <c r="A1297" s="49">
        <v>935721227</v>
      </c>
      <c r="B1297" s="49" t="s">
        <v>1334</v>
      </c>
    </row>
    <row r="1298" spans="1:2" x14ac:dyDescent="0.25">
      <c r="A1298" s="49">
        <v>1182267901</v>
      </c>
      <c r="B1298" s="49" t="s">
        <v>1717</v>
      </c>
    </row>
    <row r="1299" spans="1:2" x14ac:dyDescent="0.25">
      <c r="A1299" s="49">
        <v>1202308121</v>
      </c>
      <c r="B1299" s="49" t="s">
        <v>1384</v>
      </c>
    </row>
    <row r="1300" spans="1:2" x14ac:dyDescent="0.25">
      <c r="A1300" s="49">
        <v>1323492809</v>
      </c>
      <c r="B1300" s="49" t="s">
        <v>1577</v>
      </c>
    </row>
    <row r="1301" spans="1:2" x14ac:dyDescent="0.25">
      <c r="A1301" s="49">
        <v>1366109827</v>
      </c>
      <c r="B1301" s="49" t="s">
        <v>1822</v>
      </c>
    </row>
    <row r="1302" spans="1:2" x14ac:dyDescent="0.25">
      <c r="A1302" s="49">
        <v>1370984775</v>
      </c>
      <c r="B1302" s="49" t="s">
        <v>1835</v>
      </c>
    </row>
    <row r="1303" spans="1:2" x14ac:dyDescent="0.25">
      <c r="A1303" s="49">
        <v>1432342724</v>
      </c>
      <c r="B1303" s="49" t="s">
        <v>781</v>
      </c>
    </row>
    <row r="1304" spans="1:2" x14ac:dyDescent="0.25">
      <c r="A1304" s="49">
        <v>1447381082</v>
      </c>
      <c r="B1304" s="49" t="s">
        <v>945</v>
      </c>
    </row>
    <row r="1305" spans="1:2" x14ac:dyDescent="0.25">
      <c r="A1305" s="49">
        <v>1379637821</v>
      </c>
      <c r="B1305" s="49" t="s">
        <v>1800</v>
      </c>
    </row>
    <row r="1306" spans="1:2" x14ac:dyDescent="0.25">
      <c r="A1306" s="49">
        <v>766759985</v>
      </c>
      <c r="B1306" s="49" t="s">
        <v>3647</v>
      </c>
    </row>
    <row r="1307" spans="1:2" x14ac:dyDescent="0.25">
      <c r="A1307" s="49">
        <v>825616398</v>
      </c>
      <c r="B1307" s="49" t="s">
        <v>1493</v>
      </c>
    </row>
    <row r="1308" spans="1:2" x14ac:dyDescent="0.25">
      <c r="A1308" s="49">
        <v>835460779</v>
      </c>
      <c r="B1308" s="49" t="s">
        <v>1363</v>
      </c>
    </row>
    <row r="1309" spans="1:2" x14ac:dyDescent="0.25">
      <c r="A1309" s="49">
        <v>776734766</v>
      </c>
      <c r="B1309" s="49" t="s">
        <v>1549</v>
      </c>
    </row>
    <row r="1310" spans="1:2" x14ac:dyDescent="0.25">
      <c r="A1310" s="49">
        <v>738465355</v>
      </c>
      <c r="B1310" s="49" t="s">
        <v>591</v>
      </c>
    </row>
    <row r="1311" spans="1:2" x14ac:dyDescent="0.25">
      <c r="A1311" s="49">
        <v>681770205</v>
      </c>
      <c r="B1311" s="49" t="s">
        <v>707</v>
      </c>
    </row>
    <row r="1312" spans="1:2" x14ac:dyDescent="0.25">
      <c r="A1312" s="49">
        <v>682864614</v>
      </c>
      <c r="B1312" s="49" t="s">
        <v>575</v>
      </c>
    </row>
    <row r="1313" spans="1:2" x14ac:dyDescent="0.25">
      <c r="A1313" s="49">
        <v>706992968</v>
      </c>
      <c r="B1313" s="49" t="s">
        <v>613</v>
      </c>
    </row>
    <row r="1314" spans="1:2" x14ac:dyDescent="0.25">
      <c r="A1314" s="49">
        <v>759546243</v>
      </c>
      <c r="B1314" s="49" t="s">
        <v>1640</v>
      </c>
    </row>
    <row r="1315" spans="1:2" x14ac:dyDescent="0.25">
      <c r="A1315" s="49">
        <v>776591747</v>
      </c>
      <c r="B1315" s="49" t="s">
        <v>1700</v>
      </c>
    </row>
    <row r="1316" spans="1:2" x14ac:dyDescent="0.25">
      <c r="A1316" s="49">
        <v>778254832</v>
      </c>
      <c r="B1316" s="49" t="s">
        <v>1088</v>
      </c>
    </row>
    <row r="1317" spans="1:2" x14ac:dyDescent="0.25">
      <c r="A1317" s="49">
        <v>784335947</v>
      </c>
      <c r="B1317" s="49" t="s">
        <v>675</v>
      </c>
    </row>
    <row r="1318" spans="1:2" x14ac:dyDescent="0.25">
      <c r="A1318" s="49">
        <v>825619282</v>
      </c>
      <c r="B1318" s="49" t="s">
        <v>1539</v>
      </c>
    </row>
    <row r="1319" spans="1:2" x14ac:dyDescent="0.25">
      <c r="A1319" s="49">
        <v>876023439</v>
      </c>
      <c r="B1319" s="49" t="s">
        <v>543</v>
      </c>
    </row>
    <row r="1320" spans="1:2" x14ac:dyDescent="0.25">
      <c r="A1320" s="49">
        <v>907425175</v>
      </c>
      <c r="B1320" s="49" t="s">
        <v>152</v>
      </c>
    </row>
    <row r="1321" spans="1:2" x14ac:dyDescent="0.25">
      <c r="A1321" s="49">
        <v>918556530</v>
      </c>
      <c r="B1321" s="49" t="s">
        <v>79</v>
      </c>
    </row>
    <row r="1322" spans="1:2" x14ac:dyDescent="0.25">
      <c r="A1322" s="49">
        <v>929151005</v>
      </c>
      <c r="B1322" s="49" t="s">
        <v>1417</v>
      </c>
    </row>
    <row r="1323" spans="1:2" x14ac:dyDescent="0.25">
      <c r="A1323" s="49">
        <v>1134953567</v>
      </c>
      <c r="B1323" s="49" t="s">
        <v>115</v>
      </c>
    </row>
    <row r="1324" spans="1:2" x14ac:dyDescent="0.25">
      <c r="A1324" s="49">
        <v>1136489050</v>
      </c>
      <c r="B1324" s="49" t="s">
        <v>920</v>
      </c>
    </row>
    <row r="1325" spans="1:2" x14ac:dyDescent="0.25">
      <c r="A1325" s="49">
        <v>1423230364</v>
      </c>
      <c r="B1325" s="49" t="s">
        <v>99</v>
      </c>
    </row>
    <row r="1326" spans="1:2" x14ac:dyDescent="0.25">
      <c r="A1326" s="49">
        <v>1429810104</v>
      </c>
      <c r="B1326" s="49" t="s">
        <v>882</v>
      </c>
    </row>
    <row r="1327" spans="1:2" x14ac:dyDescent="0.25">
      <c r="A1327" s="49">
        <v>1447242948</v>
      </c>
      <c r="B1327" s="49" t="s">
        <v>1465</v>
      </c>
    </row>
    <row r="1328" spans="1:2" x14ac:dyDescent="0.25">
      <c r="A1328" s="49">
        <v>781294495</v>
      </c>
      <c r="B1328" s="49" t="s">
        <v>767</v>
      </c>
    </row>
    <row r="1329" spans="1:2" x14ac:dyDescent="0.25">
      <c r="A1329" s="49">
        <v>878695816</v>
      </c>
      <c r="B1329" s="49" t="s">
        <v>1021</v>
      </c>
    </row>
    <row r="1330" spans="1:2" x14ac:dyDescent="0.25">
      <c r="A1330" s="49">
        <v>898255620</v>
      </c>
      <c r="B1330" s="49" t="s">
        <v>1547</v>
      </c>
    </row>
    <row r="1331" spans="1:2" x14ac:dyDescent="0.25">
      <c r="A1331" s="49">
        <v>857202700</v>
      </c>
      <c r="B1331" s="49" t="s">
        <v>1494</v>
      </c>
    </row>
    <row r="1332" spans="1:2" x14ac:dyDescent="0.25">
      <c r="A1332" s="49">
        <v>1182254921</v>
      </c>
      <c r="B1332" s="49" t="s">
        <v>1717</v>
      </c>
    </row>
    <row r="1333" spans="1:2" x14ac:dyDescent="0.25">
      <c r="A1333" s="49">
        <v>1345001014</v>
      </c>
      <c r="B1333" s="49" t="s">
        <v>1778</v>
      </c>
    </row>
    <row r="1334" spans="1:2" x14ac:dyDescent="0.25">
      <c r="A1334" s="49">
        <v>608151042</v>
      </c>
      <c r="B1334" s="49" t="s">
        <v>338</v>
      </c>
    </row>
    <row r="1335" spans="1:2" x14ac:dyDescent="0.25">
      <c r="A1335" s="49">
        <v>613358132</v>
      </c>
      <c r="B1335" s="49" t="s">
        <v>1340</v>
      </c>
    </row>
    <row r="1336" spans="1:2" x14ac:dyDescent="0.25">
      <c r="A1336" s="49">
        <v>629009506</v>
      </c>
      <c r="B1336" s="49" t="s">
        <v>195</v>
      </c>
    </row>
    <row r="1337" spans="1:2" x14ac:dyDescent="0.25">
      <c r="A1337" s="49">
        <v>648457829</v>
      </c>
      <c r="B1337" s="49" t="s">
        <v>711</v>
      </c>
    </row>
    <row r="1338" spans="1:2" x14ac:dyDescent="0.25">
      <c r="A1338" s="49">
        <v>689256063</v>
      </c>
      <c r="B1338" s="49" t="s">
        <v>174</v>
      </c>
    </row>
    <row r="1339" spans="1:2" x14ac:dyDescent="0.25">
      <c r="A1339" s="49">
        <v>696104695</v>
      </c>
      <c r="B1339" s="49" t="s">
        <v>1474</v>
      </c>
    </row>
    <row r="1340" spans="1:2" x14ac:dyDescent="0.25">
      <c r="A1340" s="49">
        <v>723442340</v>
      </c>
      <c r="B1340" s="49" t="s">
        <v>1477</v>
      </c>
    </row>
    <row r="1341" spans="1:2" x14ac:dyDescent="0.25">
      <c r="A1341" s="49">
        <v>776564182</v>
      </c>
      <c r="B1341" s="49" t="s">
        <v>599</v>
      </c>
    </row>
    <row r="1342" spans="1:2" x14ac:dyDescent="0.25">
      <c r="A1342" s="49">
        <v>777650474</v>
      </c>
      <c r="B1342" s="49" t="s">
        <v>395</v>
      </c>
    </row>
    <row r="1343" spans="1:2" x14ac:dyDescent="0.25">
      <c r="A1343" s="49">
        <v>785192547</v>
      </c>
      <c r="B1343" s="49" t="s">
        <v>741</v>
      </c>
    </row>
    <row r="1344" spans="1:2" x14ac:dyDescent="0.25">
      <c r="A1344" s="49">
        <v>785169828</v>
      </c>
      <c r="B1344" s="49" t="s">
        <v>741</v>
      </c>
    </row>
    <row r="1345" spans="1:2" x14ac:dyDescent="0.25">
      <c r="A1345" s="49">
        <v>785147552</v>
      </c>
      <c r="B1345" s="49" t="s">
        <v>734</v>
      </c>
    </row>
    <row r="1346" spans="1:2" x14ac:dyDescent="0.25">
      <c r="A1346" s="49">
        <v>839388152</v>
      </c>
      <c r="B1346" s="49" t="s">
        <v>1351</v>
      </c>
    </row>
    <row r="1347" spans="1:2" x14ac:dyDescent="0.25">
      <c r="A1347" s="49">
        <v>900861630</v>
      </c>
      <c r="B1347" s="49" t="s">
        <v>102</v>
      </c>
    </row>
    <row r="1348" spans="1:2" x14ac:dyDescent="0.25">
      <c r="A1348" s="49">
        <v>1103128312</v>
      </c>
      <c r="B1348" s="49" t="s">
        <v>851</v>
      </c>
    </row>
    <row r="1349" spans="1:2" x14ac:dyDescent="0.25">
      <c r="A1349" s="49">
        <v>1113226394</v>
      </c>
      <c r="B1349" s="49" t="s">
        <v>1246</v>
      </c>
    </row>
    <row r="1350" spans="1:2" x14ac:dyDescent="0.25">
      <c r="A1350" s="49">
        <v>1131079769</v>
      </c>
      <c r="B1350" s="49" t="s">
        <v>107</v>
      </c>
    </row>
    <row r="1351" spans="1:2" x14ac:dyDescent="0.25">
      <c r="A1351" s="49">
        <v>1141527908</v>
      </c>
      <c r="B1351" s="49" t="s">
        <v>1605</v>
      </c>
    </row>
    <row r="1352" spans="1:2" x14ac:dyDescent="0.25">
      <c r="A1352" s="49">
        <v>1143189610</v>
      </c>
      <c r="B1352" s="49" t="s">
        <v>1123</v>
      </c>
    </row>
    <row r="1353" spans="1:2" x14ac:dyDescent="0.25">
      <c r="A1353" s="49">
        <v>1144224893</v>
      </c>
      <c r="B1353" s="49" t="s">
        <v>1290</v>
      </c>
    </row>
    <row r="1354" spans="1:2" x14ac:dyDescent="0.25">
      <c r="A1354" s="49">
        <v>1151795617</v>
      </c>
      <c r="B1354" s="49" t="s">
        <v>1157</v>
      </c>
    </row>
    <row r="1355" spans="1:2" x14ac:dyDescent="0.25">
      <c r="A1355" s="49">
        <v>1289281737</v>
      </c>
      <c r="B1355" s="49" t="s">
        <v>1030</v>
      </c>
    </row>
    <row r="1356" spans="1:2" x14ac:dyDescent="0.25">
      <c r="A1356" s="49">
        <v>1345525557</v>
      </c>
      <c r="B1356" s="49" t="s">
        <v>1785</v>
      </c>
    </row>
    <row r="1357" spans="1:2" x14ac:dyDescent="0.25">
      <c r="A1357" s="49">
        <v>898253717</v>
      </c>
      <c r="B1357" s="49" t="s">
        <v>1545</v>
      </c>
    </row>
    <row r="1358" spans="1:2" x14ac:dyDescent="0.25">
      <c r="A1358" s="49">
        <v>917667996</v>
      </c>
      <c r="B1358" s="49" t="s">
        <v>1706</v>
      </c>
    </row>
    <row r="1359" spans="1:2" x14ac:dyDescent="0.25">
      <c r="A1359" s="49">
        <v>917662726</v>
      </c>
      <c r="B1359" s="49" t="s">
        <v>1713</v>
      </c>
    </row>
    <row r="1360" spans="1:2" x14ac:dyDescent="0.25">
      <c r="A1360" s="49">
        <v>608438263</v>
      </c>
      <c r="B1360" s="49" t="s">
        <v>1025</v>
      </c>
    </row>
    <row r="1361" spans="1:2" x14ac:dyDescent="0.25">
      <c r="A1361" s="49">
        <v>640489719</v>
      </c>
      <c r="B1361" s="49" t="s">
        <v>1508</v>
      </c>
    </row>
    <row r="1362" spans="1:2" x14ac:dyDescent="0.25">
      <c r="A1362" s="49">
        <v>785731434</v>
      </c>
      <c r="B1362" s="49" t="s">
        <v>1179</v>
      </c>
    </row>
    <row r="1363" spans="1:2" x14ac:dyDescent="0.25">
      <c r="A1363" s="49">
        <v>1165031178</v>
      </c>
      <c r="B1363" s="49" t="s">
        <v>1597</v>
      </c>
    </row>
    <row r="1364" spans="1:2" x14ac:dyDescent="0.25">
      <c r="A1364" s="49">
        <v>1342817295</v>
      </c>
      <c r="B1364" s="49" t="s">
        <v>1774</v>
      </c>
    </row>
    <row r="1365" spans="1:2" x14ac:dyDescent="0.25">
      <c r="A1365" s="49">
        <v>618905165</v>
      </c>
      <c r="B1365" s="49" t="s">
        <v>441</v>
      </c>
    </row>
    <row r="1366" spans="1:2" x14ac:dyDescent="0.25">
      <c r="A1366" s="49">
        <v>684421085</v>
      </c>
      <c r="B1366" s="49" t="s">
        <v>240</v>
      </c>
    </row>
    <row r="1367" spans="1:2" x14ac:dyDescent="0.25">
      <c r="A1367" s="49">
        <v>708220083</v>
      </c>
      <c r="B1367" s="49" t="s">
        <v>738</v>
      </c>
    </row>
    <row r="1368" spans="1:2" x14ac:dyDescent="0.25">
      <c r="A1368" s="49">
        <v>776400118</v>
      </c>
      <c r="B1368" s="49" t="s">
        <v>1064</v>
      </c>
    </row>
    <row r="1369" spans="1:2" x14ac:dyDescent="0.25">
      <c r="A1369" s="49">
        <v>776731595</v>
      </c>
      <c r="B1369" s="49" t="s">
        <v>1436</v>
      </c>
    </row>
    <row r="1370" spans="1:2" x14ac:dyDescent="0.25">
      <c r="A1370" s="49">
        <v>778291948</v>
      </c>
      <c r="B1370" s="49" t="s">
        <v>1086</v>
      </c>
    </row>
    <row r="1371" spans="1:2" x14ac:dyDescent="0.25">
      <c r="A1371" s="49">
        <v>778432154</v>
      </c>
      <c r="B1371" s="49" t="s">
        <v>699</v>
      </c>
    </row>
    <row r="1372" spans="1:2" x14ac:dyDescent="0.25">
      <c r="A1372" s="49">
        <v>779464763</v>
      </c>
      <c r="B1372" s="49" t="s">
        <v>403</v>
      </c>
    </row>
    <row r="1373" spans="1:2" x14ac:dyDescent="0.25">
      <c r="A1373" s="49">
        <v>782149752</v>
      </c>
      <c r="B1373" s="49" t="s">
        <v>282</v>
      </c>
    </row>
    <row r="1374" spans="1:2" x14ac:dyDescent="0.25">
      <c r="A1374" s="49">
        <v>782122964</v>
      </c>
      <c r="B1374" s="49" t="s">
        <v>1328</v>
      </c>
    </row>
    <row r="1375" spans="1:2" x14ac:dyDescent="0.25">
      <c r="A1375" s="49">
        <v>785144968</v>
      </c>
      <c r="B1375" s="49" t="s">
        <v>147</v>
      </c>
    </row>
    <row r="1376" spans="1:2" x14ac:dyDescent="0.25">
      <c r="A1376" s="49">
        <v>836882663</v>
      </c>
      <c r="B1376" s="49" t="s">
        <v>737</v>
      </c>
    </row>
    <row r="1377" spans="1:2" x14ac:dyDescent="0.25">
      <c r="A1377" s="49">
        <v>871888439</v>
      </c>
      <c r="B1377" s="49" t="s">
        <v>1462</v>
      </c>
    </row>
    <row r="1378" spans="1:2" x14ac:dyDescent="0.25">
      <c r="A1378" s="49">
        <v>876204872</v>
      </c>
      <c r="B1378" s="49" t="s">
        <v>539</v>
      </c>
    </row>
    <row r="1379" spans="1:2" x14ac:dyDescent="0.25">
      <c r="A1379" s="49">
        <v>900863203</v>
      </c>
      <c r="B1379" s="49" t="s">
        <v>102</v>
      </c>
    </row>
    <row r="1380" spans="1:2" x14ac:dyDescent="0.25">
      <c r="A1380" s="49">
        <v>1105675997</v>
      </c>
      <c r="B1380" s="49" t="s">
        <v>59</v>
      </c>
    </row>
    <row r="1381" spans="1:2" x14ac:dyDescent="0.25">
      <c r="A1381" s="49">
        <v>1142736755</v>
      </c>
      <c r="B1381" s="49" t="s">
        <v>1671</v>
      </c>
    </row>
    <row r="1382" spans="1:2" x14ac:dyDescent="0.25">
      <c r="A1382" s="49">
        <v>1163398116</v>
      </c>
      <c r="B1382" s="49" t="s">
        <v>86</v>
      </c>
    </row>
    <row r="1383" spans="1:2" x14ac:dyDescent="0.25">
      <c r="A1383" s="49">
        <v>1183728553</v>
      </c>
      <c r="B1383" s="49" t="s">
        <v>121</v>
      </c>
    </row>
    <row r="1384" spans="1:2" x14ac:dyDescent="0.25">
      <c r="A1384" s="49">
        <v>1281983769</v>
      </c>
      <c r="B1384" s="49" t="s">
        <v>64</v>
      </c>
    </row>
    <row r="1385" spans="1:2" x14ac:dyDescent="0.25">
      <c r="A1385" s="49">
        <v>1356024906</v>
      </c>
      <c r="B1385" s="49" t="s">
        <v>1806</v>
      </c>
    </row>
    <row r="1386" spans="1:2" x14ac:dyDescent="0.25">
      <c r="A1386" s="49">
        <v>1374191710</v>
      </c>
      <c r="B1386" s="49" t="s">
        <v>1818</v>
      </c>
    </row>
    <row r="1387" spans="1:2" x14ac:dyDescent="0.25">
      <c r="A1387" s="49">
        <v>909405634</v>
      </c>
      <c r="B1387" s="49" t="s">
        <v>1096</v>
      </c>
    </row>
    <row r="1388" spans="1:2" x14ac:dyDescent="0.25">
      <c r="A1388" s="49">
        <v>899446121</v>
      </c>
      <c r="B1388" s="49" t="s">
        <v>64</v>
      </c>
    </row>
    <row r="1389" spans="1:2" x14ac:dyDescent="0.25">
      <c r="A1389" s="49">
        <v>689719146</v>
      </c>
      <c r="B1389" s="49" t="s">
        <v>1302</v>
      </c>
    </row>
    <row r="1390" spans="1:2" x14ac:dyDescent="0.25">
      <c r="A1390" s="49">
        <v>1152304592</v>
      </c>
      <c r="B1390" s="49" t="s">
        <v>1487</v>
      </c>
    </row>
    <row r="1391" spans="1:2" x14ac:dyDescent="0.25">
      <c r="A1391" s="49">
        <v>616575598</v>
      </c>
      <c r="B1391" s="49" t="s">
        <v>1199</v>
      </c>
    </row>
    <row r="1392" spans="1:2" x14ac:dyDescent="0.25">
      <c r="A1392" s="49">
        <v>618904532</v>
      </c>
      <c r="B1392" s="49" t="s">
        <v>437</v>
      </c>
    </row>
    <row r="1393" spans="1:2" x14ac:dyDescent="0.25">
      <c r="A1393" s="49">
        <v>649597016</v>
      </c>
      <c r="B1393" s="49" t="s">
        <v>433</v>
      </c>
    </row>
    <row r="1394" spans="1:2" x14ac:dyDescent="0.25">
      <c r="A1394" s="49">
        <v>689257667</v>
      </c>
      <c r="B1394" s="49" t="s">
        <v>259</v>
      </c>
    </row>
    <row r="1395" spans="1:2" x14ac:dyDescent="0.25">
      <c r="A1395" s="49">
        <v>690452402</v>
      </c>
      <c r="B1395" s="49" t="s">
        <v>304</v>
      </c>
    </row>
    <row r="1396" spans="1:2" x14ac:dyDescent="0.25">
      <c r="A1396" s="49">
        <v>698774433</v>
      </c>
      <c r="B1396" s="49" t="s">
        <v>1173</v>
      </c>
    </row>
    <row r="1397" spans="1:2" x14ac:dyDescent="0.25">
      <c r="A1397" s="49">
        <v>717891774</v>
      </c>
      <c r="B1397" s="49" t="s">
        <v>808</v>
      </c>
    </row>
    <row r="1398" spans="1:2" x14ac:dyDescent="0.25">
      <c r="A1398" s="49">
        <v>758404045</v>
      </c>
      <c r="B1398" s="49" t="s">
        <v>935</v>
      </c>
    </row>
    <row r="1399" spans="1:2" x14ac:dyDescent="0.25">
      <c r="A1399" s="49">
        <v>780818303</v>
      </c>
      <c r="B1399" s="49" t="s">
        <v>748</v>
      </c>
    </row>
    <row r="1400" spans="1:2" x14ac:dyDescent="0.25">
      <c r="A1400" s="49">
        <v>784068719</v>
      </c>
      <c r="B1400" s="49" t="s">
        <v>670</v>
      </c>
    </row>
    <row r="1401" spans="1:2" x14ac:dyDescent="0.25">
      <c r="A1401" s="49">
        <v>784479869</v>
      </c>
      <c r="B1401" s="49" t="s">
        <v>702</v>
      </c>
    </row>
    <row r="1402" spans="1:2" x14ac:dyDescent="0.25">
      <c r="A1402" s="49">
        <v>792143994</v>
      </c>
      <c r="B1402" s="49" t="s">
        <v>724</v>
      </c>
    </row>
    <row r="1403" spans="1:2" x14ac:dyDescent="0.25">
      <c r="A1403" s="49">
        <v>792143642</v>
      </c>
      <c r="B1403" s="49" t="s">
        <v>652</v>
      </c>
    </row>
    <row r="1404" spans="1:2" x14ac:dyDescent="0.25">
      <c r="A1404" s="49">
        <v>839667855</v>
      </c>
      <c r="B1404" s="49" t="s">
        <v>1247</v>
      </c>
    </row>
    <row r="1405" spans="1:2" x14ac:dyDescent="0.25">
      <c r="A1405" s="49">
        <v>860107480</v>
      </c>
      <c r="B1405" s="49" t="s">
        <v>1652</v>
      </c>
    </row>
    <row r="1406" spans="1:2" x14ac:dyDescent="0.25">
      <c r="A1406" s="49">
        <v>861909439</v>
      </c>
      <c r="B1406" s="49" t="s">
        <v>1580</v>
      </c>
    </row>
    <row r="1407" spans="1:2" x14ac:dyDescent="0.25">
      <c r="A1407" s="49">
        <v>1124795044</v>
      </c>
      <c r="B1407" s="49" t="s">
        <v>1666</v>
      </c>
    </row>
    <row r="1408" spans="1:2" x14ac:dyDescent="0.25">
      <c r="A1408" s="49">
        <v>1141375343</v>
      </c>
      <c r="B1408" s="49" t="s">
        <v>1602</v>
      </c>
    </row>
    <row r="1409" spans="1:2" x14ac:dyDescent="0.25">
      <c r="A1409" s="49">
        <v>1142731362</v>
      </c>
      <c r="B1409" s="49" t="s">
        <v>1324</v>
      </c>
    </row>
    <row r="1410" spans="1:2" x14ac:dyDescent="0.25">
      <c r="A1410" s="49">
        <v>1157050473</v>
      </c>
      <c r="B1410" s="49" t="s">
        <v>1120</v>
      </c>
    </row>
    <row r="1411" spans="1:2" x14ac:dyDescent="0.25">
      <c r="A1411" s="49">
        <v>1185204123</v>
      </c>
      <c r="B1411" s="49" t="s">
        <v>1431</v>
      </c>
    </row>
    <row r="1412" spans="1:2" x14ac:dyDescent="0.25">
      <c r="A1412" s="49">
        <v>1187433517</v>
      </c>
      <c r="B1412" s="49" t="s">
        <v>921</v>
      </c>
    </row>
    <row r="1413" spans="1:2" x14ac:dyDescent="0.25">
      <c r="A1413" s="49">
        <v>1345786104</v>
      </c>
      <c r="B1413" s="49" t="s">
        <v>1798</v>
      </c>
    </row>
    <row r="1414" spans="1:2" x14ac:dyDescent="0.25">
      <c r="A1414" s="49">
        <v>1356032495</v>
      </c>
      <c r="B1414" s="49" t="s">
        <v>1810</v>
      </c>
    </row>
    <row r="1415" spans="1:2" x14ac:dyDescent="0.25">
      <c r="A1415" s="49">
        <v>1373094109</v>
      </c>
      <c r="B1415" s="49" t="s">
        <v>675</v>
      </c>
    </row>
    <row r="1416" spans="1:2" x14ac:dyDescent="0.25">
      <c r="A1416" s="49">
        <v>1437755710</v>
      </c>
      <c r="B1416" s="49" t="s">
        <v>3670</v>
      </c>
    </row>
    <row r="1417" spans="1:2" x14ac:dyDescent="0.25">
      <c r="A1417" s="49">
        <v>1376402131</v>
      </c>
      <c r="B1417" s="49" t="s">
        <v>1251</v>
      </c>
    </row>
    <row r="1418" spans="1:2" x14ac:dyDescent="0.25">
      <c r="A1418" s="49">
        <v>1379646563</v>
      </c>
      <c r="B1418" s="49" t="s">
        <v>1537</v>
      </c>
    </row>
    <row r="1419" spans="1:2" x14ac:dyDescent="0.25">
      <c r="A1419" s="49">
        <v>623172459</v>
      </c>
      <c r="B1419" s="49" t="s">
        <v>1048</v>
      </c>
    </row>
    <row r="1420" spans="1:2" x14ac:dyDescent="0.25">
      <c r="A1420" s="49">
        <v>816551258</v>
      </c>
      <c r="B1420" s="49" t="s">
        <v>591</v>
      </c>
    </row>
    <row r="1421" spans="1:2" x14ac:dyDescent="0.25">
      <c r="A1421" s="49">
        <v>610134997</v>
      </c>
      <c r="B1421" s="49" t="s">
        <v>1326</v>
      </c>
    </row>
    <row r="1422" spans="1:2" x14ac:dyDescent="0.25">
      <c r="A1422" s="49">
        <v>776563048</v>
      </c>
      <c r="B1422" s="49" t="s">
        <v>571</v>
      </c>
    </row>
    <row r="1423" spans="1:2" x14ac:dyDescent="0.25">
      <c r="A1423" s="49">
        <v>682871866</v>
      </c>
      <c r="B1423" s="49" t="s">
        <v>565</v>
      </c>
    </row>
    <row r="1424" spans="1:2" x14ac:dyDescent="0.25">
      <c r="A1424" s="49">
        <v>778432936</v>
      </c>
      <c r="B1424" s="49" t="s">
        <v>561</v>
      </c>
    </row>
    <row r="1425" spans="1:2" x14ac:dyDescent="0.25">
      <c r="A1425" s="49">
        <v>836706143</v>
      </c>
      <c r="B1425" s="49" t="s">
        <v>3649</v>
      </c>
    </row>
    <row r="1426" spans="1:2" x14ac:dyDescent="0.25">
      <c r="A1426" s="49">
        <v>1342804806</v>
      </c>
      <c r="B1426" s="49" t="s">
        <v>1770</v>
      </c>
    </row>
    <row r="1427" spans="1:2" x14ac:dyDescent="0.25">
      <c r="A1427" s="49">
        <v>610134978</v>
      </c>
      <c r="B1427" s="49" t="s">
        <v>990</v>
      </c>
    </row>
    <row r="1428" spans="1:2" x14ac:dyDescent="0.25">
      <c r="A1428" s="49">
        <v>625315750</v>
      </c>
      <c r="B1428" s="49" t="s">
        <v>445</v>
      </c>
    </row>
    <row r="1429" spans="1:2" x14ac:dyDescent="0.25">
      <c r="A1429" s="49">
        <v>655235071</v>
      </c>
      <c r="B1429" s="49" t="s">
        <v>914</v>
      </c>
    </row>
    <row r="1430" spans="1:2" x14ac:dyDescent="0.25">
      <c r="A1430" s="49">
        <v>667478788</v>
      </c>
      <c r="B1430" s="49" t="s">
        <v>496</v>
      </c>
    </row>
    <row r="1431" spans="1:2" x14ac:dyDescent="0.25">
      <c r="A1431" s="49">
        <v>674985349</v>
      </c>
      <c r="B1431" s="49" t="s">
        <v>1569</v>
      </c>
    </row>
    <row r="1432" spans="1:2" x14ac:dyDescent="0.25">
      <c r="A1432" s="49">
        <v>676969273</v>
      </c>
      <c r="B1432" s="49" t="s">
        <v>563</v>
      </c>
    </row>
    <row r="1433" spans="1:2" x14ac:dyDescent="0.25">
      <c r="A1433" s="49">
        <v>762435534</v>
      </c>
      <c r="B1433" s="49" t="s">
        <v>292</v>
      </c>
    </row>
    <row r="1434" spans="1:2" x14ac:dyDescent="0.25">
      <c r="A1434" s="49">
        <v>767696352</v>
      </c>
      <c r="B1434" s="49" t="s">
        <v>176</v>
      </c>
    </row>
    <row r="1435" spans="1:2" x14ac:dyDescent="0.25">
      <c r="A1435" s="49">
        <v>776792860</v>
      </c>
      <c r="B1435" s="49" t="s">
        <v>372</v>
      </c>
    </row>
    <row r="1436" spans="1:2" x14ac:dyDescent="0.25">
      <c r="A1436" s="49">
        <v>777653891</v>
      </c>
      <c r="B1436" s="49" t="s">
        <v>359</v>
      </c>
    </row>
    <row r="1437" spans="1:2" x14ac:dyDescent="0.25">
      <c r="A1437" s="49">
        <v>778014594</v>
      </c>
      <c r="B1437" s="49" t="s">
        <v>780</v>
      </c>
    </row>
    <row r="1438" spans="1:2" x14ac:dyDescent="0.25">
      <c r="A1438" s="49">
        <v>778012358</v>
      </c>
      <c r="B1438" s="49" t="s">
        <v>816</v>
      </c>
    </row>
    <row r="1439" spans="1:2" x14ac:dyDescent="0.25">
      <c r="A1439" s="49">
        <v>778431232</v>
      </c>
      <c r="B1439" s="49" t="s">
        <v>708</v>
      </c>
    </row>
    <row r="1440" spans="1:2" x14ac:dyDescent="0.25">
      <c r="A1440" s="49">
        <v>779902498</v>
      </c>
      <c r="B1440" s="49" t="s">
        <v>549</v>
      </c>
    </row>
    <row r="1441" spans="1:2" x14ac:dyDescent="0.25">
      <c r="A1441" s="49">
        <v>781940850</v>
      </c>
      <c r="B1441" s="49" t="s">
        <v>1224</v>
      </c>
    </row>
    <row r="1442" spans="1:2" x14ac:dyDescent="0.25">
      <c r="A1442" s="49">
        <v>857020173</v>
      </c>
      <c r="B1442" s="49" t="s">
        <v>1408</v>
      </c>
    </row>
    <row r="1443" spans="1:2" x14ac:dyDescent="0.25">
      <c r="A1443" s="49">
        <v>877485030</v>
      </c>
      <c r="B1443" s="49" t="s">
        <v>544</v>
      </c>
    </row>
    <row r="1444" spans="1:2" x14ac:dyDescent="0.25">
      <c r="A1444" s="49">
        <v>1103735019</v>
      </c>
      <c r="B1444" s="49" t="s">
        <v>866</v>
      </c>
    </row>
    <row r="1445" spans="1:2" x14ac:dyDescent="0.25">
      <c r="A1445" s="49">
        <v>1126053791</v>
      </c>
      <c r="B1445" s="49" t="s">
        <v>1403</v>
      </c>
    </row>
    <row r="1446" spans="1:2" x14ac:dyDescent="0.25">
      <c r="A1446" s="49">
        <v>1131176180</v>
      </c>
      <c r="B1446" s="49" t="s">
        <v>80</v>
      </c>
    </row>
    <row r="1447" spans="1:2" x14ac:dyDescent="0.25">
      <c r="A1447" s="49">
        <v>1135208690</v>
      </c>
      <c r="B1447" s="49" t="s">
        <v>71</v>
      </c>
    </row>
    <row r="1448" spans="1:2" x14ac:dyDescent="0.25">
      <c r="A1448" s="49">
        <v>1355396778</v>
      </c>
      <c r="B1448" s="49" t="s">
        <v>3660</v>
      </c>
    </row>
    <row r="1449" spans="1:2" x14ac:dyDescent="0.25">
      <c r="A1449" s="49">
        <v>1375850321</v>
      </c>
      <c r="B1449" s="49" t="s">
        <v>687</v>
      </c>
    </row>
    <row r="1450" spans="1:2" x14ac:dyDescent="0.25">
      <c r="A1450" s="49">
        <v>672136190</v>
      </c>
      <c r="B1450" s="49" t="s">
        <v>1499</v>
      </c>
    </row>
    <row r="1451" spans="1:2" x14ac:dyDescent="0.25">
      <c r="A1451" s="49">
        <v>900854206</v>
      </c>
      <c r="B1451" s="49" t="s">
        <v>1452</v>
      </c>
    </row>
    <row r="1452" spans="1:2" x14ac:dyDescent="0.25">
      <c r="A1452" s="49">
        <v>618909053</v>
      </c>
      <c r="B1452" s="49" t="s">
        <v>1020</v>
      </c>
    </row>
    <row r="1453" spans="1:2" x14ac:dyDescent="0.25">
      <c r="A1453" s="49">
        <v>639534214</v>
      </c>
      <c r="B1453" s="49" t="s">
        <v>1509</v>
      </c>
    </row>
    <row r="1454" spans="1:2" x14ac:dyDescent="0.25">
      <c r="A1454" s="49">
        <v>1122253947</v>
      </c>
      <c r="B1454" s="49" t="s">
        <v>945</v>
      </c>
    </row>
    <row r="1455" spans="1:2" x14ac:dyDescent="0.25">
      <c r="A1455" s="49">
        <v>1135858995</v>
      </c>
      <c r="B1455" s="49" t="s">
        <v>1498</v>
      </c>
    </row>
    <row r="1456" spans="1:2" x14ac:dyDescent="0.25">
      <c r="A1456" s="49">
        <v>1289264349</v>
      </c>
      <c r="B1456" s="49" t="s">
        <v>1733</v>
      </c>
    </row>
    <row r="1457" spans="1:2" x14ac:dyDescent="0.25">
      <c r="A1457" s="49">
        <v>609859313</v>
      </c>
      <c r="B1457" s="49" t="s">
        <v>1264</v>
      </c>
    </row>
    <row r="1458" spans="1:2" x14ac:dyDescent="0.25">
      <c r="A1458" s="49">
        <v>614138579</v>
      </c>
      <c r="B1458" s="49" t="s">
        <v>325</v>
      </c>
    </row>
    <row r="1459" spans="1:2" x14ac:dyDescent="0.25">
      <c r="A1459" s="49">
        <v>618904766</v>
      </c>
      <c r="B1459" s="49" t="s">
        <v>426</v>
      </c>
    </row>
    <row r="1460" spans="1:2" x14ac:dyDescent="0.25">
      <c r="A1460" s="49">
        <v>637556628</v>
      </c>
      <c r="B1460" s="49" t="s">
        <v>1209</v>
      </c>
    </row>
    <row r="1461" spans="1:2" x14ac:dyDescent="0.25">
      <c r="A1461" s="49">
        <v>646568515</v>
      </c>
      <c r="B1461" s="49" t="s">
        <v>1110</v>
      </c>
    </row>
    <row r="1462" spans="1:2" x14ac:dyDescent="0.25">
      <c r="A1462" s="49">
        <v>681771928</v>
      </c>
      <c r="B1462" s="49" t="s">
        <v>708</v>
      </c>
    </row>
    <row r="1463" spans="1:2" x14ac:dyDescent="0.25">
      <c r="A1463" s="49">
        <v>756014282</v>
      </c>
      <c r="B1463" s="49" t="s">
        <v>1261</v>
      </c>
    </row>
    <row r="1464" spans="1:2" x14ac:dyDescent="0.25">
      <c r="A1464" s="49">
        <v>759871689</v>
      </c>
      <c r="B1464" s="49" t="s">
        <v>644</v>
      </c>
    </row>
    <row r="1465" spans="1:2" x14ac:dyDescent="0.25">
      <c r="A1465" s="49">
        <v>779927899</v>
      </c>
      <c r="B1465" s="49" t="s">
        <v>650</v>
      </c>
    </row>
    <row r="1466" spans="1:2" x14ac:dyDescent="0.25">
      <c r="A1466" s="49">
        <v>784338378</v>
      </c>
      <c r="B1466" s="49" t="s">
        <v>678</v>
      </c>
    </row>
    <row r="1467" spans="1:2" x14ac:dyDescent="0.25">
      <c r="A1467" s="49">
        <v>792142116</v>
      </c>
      <c r="B1467" s="49" t="s">
        <v>362</v>
      </c>
    </row>
    <row r="1468" spans="1:2" x14ac:dyDescent="0.25">
      <c r="A1468" s="49">
        <v>868110790</v>
      </c>
      <c r="B1468" s="49" t="s">
        <v>384</v>
      </c>
    </row>
    <row r="1469" spans="1:2" x14ac:dyDescent="0.25">
      <c r="A1469" s="49">
        <v>868105849</v>
      </c>
      <c r="B1469" s="49" t="s">
        <v>381</v>
      </c>
    </row>
    <row r="1470" spans="1:2" x14ac:dyDescent="0.25">
      <c r="A1470" s="49">
        <v>868771758</v>
      </c>
      <c r="B1470" s="49" t="s">
        <v>386</v>
      </c>
    </row>
    <row r="1471" spans="1:2" x14ac:dyDescent="0.25">
      <c r="A1471" s="49">
        <v>871888287</v>
      </c>
      <c r="B1471" s="49" t="s">
        <v>1462</v>
      </c>
    </row>
    <row r="1472" spans="1:2" x14ac:dyDescent="0.25">
      <c r="A1472" s="49">
        <v>874969739</v>
      </c>
      <c r="B1472" s="49" t="s">
        <v>661</v>
      </c>
    </row>
    <row r="1473" spans="1:2" x14ac:dyDescent="0.25">
      <c r="A1473" s="49">
        <v>919479371</v>
      </c>
      <c r="B1473" s="49" t="s">
        <v>86</v>
      </c>
    </row>
    <row r="1474" spans="1:2" x14ac:dyDescent="0.25">
      <c r="A1474" s="49">
        <v>1135202363</v>
      </c>
      <c r="B1474" s="49" t="s">
        <v>71</v>
      </c>
    </row>
    <row r="1475" spans="1:2" x14ac:dyDescent="0.25">
      <c r="A1475" s="49">
        <v>1339761131</v>
      </c>
      <c r="B1475" s="49" t="s">
        <v>1753</v>
      </c>
    </row>
    <row r="1476" spans="1:2" x14ac:dyDescent="0.25">
      <c r="A1476" s="49">
        <v>1340480906</v>
      </c>
      <c r="B1476" s="49" t="s">
        <v>1754</v>
      </c>
    </row>
    <row r="1477" spans="1:2" x14ac:dyDescent="0.25">
      <c r="A1477" s="49">
        <v>1346132560</v>
      </c>
      <c r="B1477" s="49" t="s">
        <v>1796</v>
      </c>
    </row>
    <row r="1478" spans="1:2" x14ac:dyDescent="0.25">
      <c r="A1478" s="49">
        <v>782127213</v>
      </c>
      <c r="B1478" s="49" t="s">
        <v>1314</v>
      </c>
    </row>
    <row r="1479" spans="1:2" x14ac:dyDescent="0.25">
      <c r="A1479" s="49">
        <v>873056140</v>
      </c>
      <c r="B1479" s="49" t="s">
        <v>178</v>
      </c>
    </row>
    <row r="1480" spans="1:2" x14ac:dyDescent="0.25">
      <c r="A1480" s="49">
        <v>785734560</v>
      </c>
      <c r="B1480" s="49" t="s">
        <v>1181</v>
      </c>
    </row>
    <row r="1481" spans="1:2" x14ac:dyDescent="0.25">
      <c r="A1481" s="49">
        <v>1133889650</v>
      </c>
      <c r="B1481" s="49" t="s">
        <v>163</v>
      </c>
    </row>
    <row r="1482" spans="1:2" x14ac:dyDescent="0.25">
      <c r="A1482" s="49">
        <v>1135712657</v>
      </c>
      <c r="B1482" s="49" t="s">
        <v>1498</v>
      </c>
    </row>
    <row r="1483" spans="1:2" x14ac:dyDescent="0.25">
      <c r="A1483" s="49">
        <v>776562069</v>
      </c>
      <c r="B1483" s="49" t="s">
        <v>583</v>
      </c>
    </row>
    <row r="1484" spans="1:2" x14ac:dyDescent="0.25">
      <c r="A1484" s="49">
        <v>1344893342</v>
      </c>
      <c r="B1484" s="49" t="s">
        <v>1343</v>
      </c>
    </row>
    <row r="1485" spans="1:2" x14ac:dyDescent="0.25">
      <c r="A1485" s="49">
        <v>780819082</v>
      </c>
      <c r="B1485" s="49" t="s">
        <v>406</v>
      </c>
    </row>
    <row r="1486" spans="1:2" x14ac:dyDescent="0.25">
      <c r="A1486" s="49">
        <v>781335746</v>
      </c>
      <c r="B1486" s="49" t="s">
        <v>1305</v>
      </c>
    </row>
    <row r="1487" spans="1:2" x14ac:dyDescent="0.25">
      <c r="A1487" s="49">
        <v>1355389214</v>
      </c>
      <c r="B1487" s="49" t="s">
        <v>68</v>
      </c>
    </row>
    <row r="1488" spans="1:2" x14ac:dyDescent="0.25">
      <c r="A1488" s="49">
        <v>645140485</v>
      </c>
      <c r="B1488" s="49" t="s">
        <v>988</v>
      </c>
    </row>
    <row r="1489" spans="1:2" x14ac:dyDescent="0.25">
      <c r="A1489" s="49">
        <v>681957766</v>
      </c>
      <c r="B1489" s="49" t="s">
        <v>1268</v>
      </c>
    </row>
    <row r="1490" spans="1:2" x14ac:dyDescent="0.25">
      <c r="A1490" s="49">
        <v>698622822</v>
      </c>
      <c r="B1490" s="49" t="s">
        <v>1624</v>
      </c>
    </row>
    <row r="1491" spans="1:2" x14ac:dyDescent="0.25">
      <c r="A1491" s="49">
        <v>717066465</v>
      </c>
      <c r="B1491" s="49" t="s">
        <v>819</v>
      </c>
    </row>
    <row r="1492" spans="1:2" x14ac:dyDescent="0.25">
      <c r="A1492" s="49">
        <v>718186456</v>
      </c>
      <c r="B1492" s="49" t="s">
        <v>790</v>
      </c>
    </row>
    <row r="1493" spans="1:2" x14ac:dyDescent="0.25">
      <c r="A1493" s="49">
        <v>762077774</v>
      </c>
      <c r="B1493" s="49" t="s">
        <v>3639</v>
      </c>
    </row>
    <row r="1494" spans="1:2" x14ac:dyDescent="0.25">
      <c r="A1494" s="49">
        <v>776789880</v>
      </c>
      <c r="B1494" s="49" t="s">
        <v>1121</v>
      </c>
    </row>
    <row r="1495" spans="1:2" x14ac:dyDescent="0.25">
      <c r="A1495" s="49">
        <v>777662510</v>
      </c>
      <c r="B1495" s="49" t="s">
        <v>331</v>
      </c>
    </row>
    <row r="1496" spans="1:2" x14ac:dyDescent="0.25">
      <c r="A1496" s="49">
        <v>785168869</v>
      </c>
      <c r="B1496" s="49" t="s">
        <v>740</v>
      </c>
    </row>
    <row r="1497" spans="1:2" x14ac:dyDescent="0.25">
      <c r="A1497" s="49">
        <v>798181967</v>
      </c>
      <c r="B1497" s="49" t="s">
        <v>1421</v>
      </c>
    </row>
    <row r="1498" spans="1:2" x14ac:dyDescent="0.25">
      <c r="A1498" s="49">
        <v>877480028</v>
      </c>
      <c r="B1498" s="49" t="s">
        <v>544</v>
      </c>
    </row>
    <row r="1499" spans="1:2" x14ac:dyDescent="0.25">
      <c r="A1499" s="49">
        <v>913082462</v>
      </c>
      <c r="B1499" s="49" t="s">
        <v>1204</v>
      </c>
    </row>
    <row r="1500" spans="1:2" x14ac:dyDescent="0.25">
      <c r="A1500" s="49">
        <v>919313818</v>
      </c>
      <c r="B1500" s="49" t="s">
        <v>90</v>
      </c>
    </row>
    <row r="1501" spans="1:2" x14ac:dyDescent="0.25">
      <c r="A1501" s="49">
        <v>1103335245</v>
      </c>
      <c r="B1501" s="49" t="s">
        <v>854</v>
      </c>
    </row>
    <row r="1502" spans="1:2" x14ac:dyDescent="0.25">
      <c r="A1502" s="49">
        <v>1105219042</v>
      </c>
      <c r="B1502" s="49" t="s">
        <v>553</v>
      </c>
    </row>
    <row r="1503" spans="1:2" x14ac:dyDescent="0.25">
      <c r="A1503" s="49">
        <v>1155495433</v>
      </c>
      <c r="B1503" s="49" t="s">
        <v>1155</v>
      </c>
    </row>
    <row r="1504" spans="1:2" x14ac:dyDescent="0.25">
      <c r="A1504" s="49">
        <v>1163393459</v>
      </c>
      <c r="B1504" s="49" t="s">
        <v>254</v>
      </c>
    </row>
    <row r="1505" spans="1:2" x14ac:dyDescent="0.25">
      <c r="A1505" s="49">
        <v>1173573076</v>
      </c>
      <c r="B1505" s="49" t="s">
        <v>85</v>
      </c>
    </row>
    <row r="1506" spans="1:2" x14ac:dyDescent="0.25">
      <c r="A1506" s="49">
        <v>1175800554</v>
      </c>
      <c r="B1506" s="49" t="s">
        <v>101</v>
      </c>
    </row>
    <row r="1507" spans="1:2" x14ac:dyDescent="0.25">
      <c r="A1507" s="49">
        <v>1286573695</v>
      </c>
      <c r="B1507" s="49" t="s">
        <v>881</v>
      </c>
    </row>
    <row r="1508" spans="1:2" x14ac:dyDescent="0.25">
      <c r="A1508" s="49">
        <v>1299065049</v>
      </c>
      <c r="B1508" s="49" t="s">
        <v>1734</v>
      </c>
    </row>
    <row r="1509" spans="1:2" x14ac:dyDescent="0.25">
      <c r="A1509" s="49">
        <v>1438122318</v>
      </c>
      <c r="B1509" s="49" t="s">
        <v>3673</v>
      </c>
    </row>
    <row r="1510" spans="1:2" x14ac:dyDescent="0.25">
      <c r="A1510" s="49">
        <v>789229098</v>
      </c>
      <c r="B1510" s="49" t="s">
        <v>1638</v>
      </c>
    </row>
    <row r="1511" spans="1:2" x14ac:dyDescent="0.25">
      <c r="A1511" s="49">
        <v>777650954</v>
      </c>
      <c r="B1511" s="49" t="s">
        <v>580</v>
      </c>
    </row>
    <row r="1512" spans="1:2" x14ac:dyDescent="0.25">
      <c r="A1512" s="49">
        <v>900849741</v>
      </c>
      <c r="B1512" s="49" t="s">
        <v>1451</v>
      </c>
    </row>
    <row r="1513" spans="1:2" x14ac:dyDescent="0.25">
      <c r="A1513" s="49">
        <v>759931750</v>
      </c>
      <c r="B1513" s="49" t="s">
        <v>1601</v>
      </c>
    </row>
    <row r="1514" spans="1:2" x14ac:dyDescent="0.25">
      <c r="A1514" s="49">
        <v>906181948</v>
      </c>
      <c r="B1514" s="49" t="s">
        <v>58</v>
      </c>
    </row>
    <row r="1515" spans="1:2" x14ac:dyDescent="0.25">
      <c r="A1515" s="49">
        <v>898253404</v>
      </c>
      <c r="B1515" s="49" t="s">
        <v>1543</v>
      </c>
    </row>
    <row r="1516" spans="1:2" x14ac:dyDescent="0.25">
      <c r="A1516" s="49">
        <v>1134044433</v>
      </c>
      <c r="B1516" s="49" t="s">
        <v>168</v>
      </c>
    </row>
    <row r="1517" spans="1:2" x14ac:dyDescent="0.25">
      <c r="A1517" s="49">
        <v>1141033562</v>
      </c>
      <c r="B1517" s="49" t="s">
        <v>63</v>
      </c>
    </row>
    <row r="1518" spans="1:2" x14ac:dyDescent="0.25">
      <c r="A1518" s="49">
        <v>1147162043</v>
      </c>
      <c r="B1518" s="49" t="s">
        <v>1461</v>
      </c>
    </row>
    <row r="1519" spans="1:2" x14ac:dyDescent="0.25">
      <c r="A1519" s="49">
        <v>1149366549</v>
      </c>
      <c r="B1519" s="49" t="s">
        <v>999</v>
      </c>
    </row>
    <row r="1520" spans="1:2" x14ac:dyDescent="0.25">
      <c r="A1520" s="49">
        <v>1163431778</v>
      </c>
      <c r="B1520" s="49" t="s">
        <v>1118</v>
      </c>
    </row>
    <row r="1521" spans="1:2" x14ac:dyDescent="0.25">
      <c r="A1521" s="49">
        <v>1181876367</v>
      </c>
      <c r="B1521" s="49" t="s">
        <v>1717</v>
      </c>
    </row>
    <row r="1522" spans="1:2" x14ac:dyDescent="0.25">
      <c r="A1522" s="49">
        <v>612229248</v>
      </c>
      <c r="B1522" s="49" t="s">
        <v>312</v>
      </c>
    </row>
    <row r="1523" spans="1:2" x14ac:dyDescent="0.25">
      <c r="A1523" s="49">
        <v>612229243</v>
      </c>
      <c r="B1523" s="49" t="s">
        <v>336</v>
      </c>
    </row>
    <row r="1524" spans="1:2" x14ac:dyDescent="0.25">
      <c r="A1524" s="49">
        <v>641049486</v>
      </c>
      <c r="B1524" s="49" t="s">
        <v>1109</v>
      </c>
    </row>
    <row r="1525" spans="1:2" x14ac:dyDescent="0.25">
      <c r="A1525" s="49">
        <v>661033399</v>
      </c>
      <c r="B1525" s="49" t="s">
        <v>1554</v>
      </c>
    </row>
    <row r="1526" spans="1:2" x14ac:dyDescent="0.25">
      <c r="A1526" s="49">
        <v>672270317</v>
      </c>
      <c r="B1526" s="49" t="s">
        <v>353</v>
      </c>
    </row>
    <row r="1527" spans="1:2" x14ac:dyDescent="0.25">
      <c r="A1527" s="49">
        <v>712972929</v>
      </c>
      <c r="B1527" s="49" t="s">
        <v>1141</v>
      </c>
    </row>
    <row r="1528" spans="1:2" x14ac:dyDescent="0.25">
      <c r="A1528" s="49">
        <v>719973229</v>
      </c>
      <c r="B1528" s="49" t="s">
        <v>930</v>
      </c>
    </row>
    <row r="1529" spans="1:2" x14ac:dyDescent="0.25">
      <c r="A1529" s="49">
        <v>750156958</v>
      </c>
      <c r="B1529" s="49" t="s">
        <v>1481</v>
      </c>
    </row>
    <row r="1530" spans="1:2" x14ac:dyDescent="0.25">
      <c r="A1530" s="49">
        <v>758403788</v>
      </c>
      <c r="B1530" s="49" t="s">
        <v>893</v>
      </c>
    </row>
    <row r="1531" spans="1:2" x14ac:dyDescent="0.25">
      <c r="A1531" s="49">
        <v>766944965</v>
      </c>
      <c r="B1531" s="49" t="s">
        <v>183</v>
      </c>
    </row>
    <row r="1532" spans="1:2" x14ac:dyDescent="0.25">
      <c r="A1532" s="49">
        <v>776743030</v>
      </c>
      <c r="B1532" s="49" t="s">
        <v>1655</v>
      </c>
    </row>
    <row r="1533" spans="1:2" x14ac:dyDescent="0.25">
      <c r="A1533" s="49">
        <v>777660380</v>
      </c>
      <c r="B1533" s="49" t="s">
        <v>342</v>
      </c>
    </row>
    <row r="1534" spans="1:2" x14ac:dyDescent="0.25">
      <c r="A1534" s="49">
        <v>777653293</v>
      </c>
      <c r="B1534" s="49" t="s">
        <v>319</v>
      </c>
    </row>
    <row r="1535" spans="1:2" x14ac:dyDescent="0.25">
      <c r="A1535" s="49">
        <v>779902212</v>
      </c>
      <c r="B1535" s="49" t="s">
        <v>563</v>
      </c>
    </row>
    <row r="1536" spans="1:2" x14ac:dyDescent="0.25">
      <c r="A1536" s="49">
        <v>780818921</v>
      </c>
      <c r="B1536" s="49" t="s">
        <v>370</v>
      </c>
    </row>
    <row r="1537" spans="1:2" x14ac:dyDescent="0.25">
      <c r="A1537" s="49">
        <v>781941093</v>
      </c>
      <c r="B1537" s="49" t="s">
        <v>1225</v>
      </c>
    </row>
    <row r="1538" spans="1:2" x14ac:dyDescent="0.25">
      <c r="A1538" s="49">
        <v>792120076</v>
      </c>
      <c r="B1538" s="49" t="s">
        <v>1640</v>
      </c>
    </row>
    <row r="1539" spans="1:2" x14ac:dyDescent="0.25">
      <c r="A1539" s="49">
        <v>797658138</v>
      </c>
      <c r="B1539" s="49" t="s">
        <v>1465</v>
      </c>
    </row>
    <row r="1540" spans="1:2" x14ac:dyDescent="0.25">
      <c r="A1540" s="49">
        <v>800350755</v>
      </c>
      <c r="B1540" s="49" t="s">
        <v>247</v>
      </c>
    </row>
    <row r="1541" spans="1:2" x14ac:dyDescent="0.25">
      <c r="A1541" s="49">
        <v>817096191</v>
      </c>
      <c r="B1541" s="49" t="s">
        <v>832</v>
      </c>
    </row>
    <row r="1542" spans="1:2" x14ac:dyDescent="0.25">
      <c r="A1542" s="49">
        <v>857018708</v>
      </c>
      <c r="B1542" s="49" t="s">
        <v>1529</v>
      </c>
    </row>
    <row r="1543" spans="1:2" x14ac:dyDescent="0.25">
      <c r="A1543" s="49">
        <v>907415805</v>
      </c>
      <c r="B1543" s="49" t="s">
        <v>870</v>
      </c>
    </row>
    <row r="1544" spans="1:2" x14ac:dyDescent="0.25">
      <c r="A1544" s="49">
        <v>1103333532</v>
      </c>
      <c r="B1544" s="49" t="s">
        <v>859</v>
      </c>
    </row>
    <row r="1545" spans="1:2" x14ac:dyDescent="0.25">
      <c r="A1545" s="49">
        <v>1159154975</v>
      </c>
      <c r="B1545" s="49" t="s">
        <v>234</v>
      </c>
    </row>
    <row r="1546" spans="1:2" x14ac:dyDescent="0.25">
      <c r="A1546" s="49">
        <v>1166149215</v>
      </c>
      <c r="B1546" s="49" t="s">
        <v>159</v>
      </c>
    </row>
    <row r="1547" spans="1:2" x14ac:dyDescent="0.25">
      <c r="A1547" s="49">
        <v>1174766559</v>
      </c>
      <c r="B1547" s="49" t="s">
        <v>798</v>
      </c>
    </row>
    <row r="1548" spans="1:2" x14ac:dyDescent="0.25">
      <c r="A1548" s="49">
        <v>1174671667</v>
      </c>
      <c r="B1548" s="49" t="s">
        <v>1552</v>
      </c>
    </row>
    <row r="1549" spans="1:2" x14ac:dyDescent="0.25">
      <c r="A1549" s="49">
        <v>1298609891</v>
      </c>
      <c r="B1549" s="49" t="s">
        <v>1735</v>
      </c>
    </row>
    <row r="1550" spans="1:2" x14ac:dyDescent="0.25">
      <c r="A1550" s="49">
        <v>1344776566</v>
      </c>
      <c r="B1550" s="49" t="s">
        <v>1167</v>
      </c>
    </row>
    <row r="1551" spans="1:2" x14ac:dyDescent="0.25">
      <c r="A1551" s="49">
        <v>1370976963</v>
      </c>
      <c r="B1551" s="49" t="s">
        <v>158</v>
      </c>
    </row>
    <row r="1552" spans="1:2" x14ac:dyDescent="0.25">
      <c r="A1552" s="49">
        <v>706984976</v>
      </c>
      <c r="B1552" s="49" t="s">
        <v>199</v>
      </c>
    </row>
    <row r="1553" spans="1:2" x14ac:dyDescent="0.25">
      <c r="A1553" s="49">
        <v>836708108</v>
      </c>
      <c r="B1553" s="49" t="s">
        <v>3649</v>
      </c>
    </row>
    <row r="1554" spans="1:2" x14ac:dyDescent="0.25">
      <c r="A1554" s="49">
        <v>905886451</v>
      </c>
      <c r="B1554" s="49" t="s">
        <v>1249</v>
      </c>
    </row>
    <row r="1555" spans="1:2" x14ac:dyDescent="0.25">
      <c r="A1555" s="49">
        <v>935576888</v>
      </c>
      <c r="B1555" s="49" t="s">
        <v>409</v>
      </c>
    </row>
    <row r="1556" spans="1:2" x14ac:dyDescent="0.25">
      <c r="A1556" s="49">
        <v>1144173802</v>
      </c>
      <c r="B1556" s="49" t="s">
        <v>1254</v>
      </c>
    </row>
    <row r="1557" spans="1:2" x14ac:dyDescent="0.25">
      <c r="A1557" s="49">
        <v>1298809987</v>
      </c>
      <c r="B1557" s="49" t="s">
        <v>1734</v>
      </c>
    </row>
    <row r="1558" spans="1:2" x14ac:dyDescent="0.25">
      <c r="A1558" s="49">
        <v>625235611</v>
      </c>
      <c r="B1558" s="49" t="s">
        <v>422</v>
      </c>
    </row>
    <row r="1559" spans="1:2" x14ac:dyDescent="0.25">
      <c r="A1559" s="49">
        <v>642210795</v>
      </c>
      <c r="B1559" s="49" t="s">
        <v>1114</v>
      </c>
    </row>
    <row r="1560" spans="1:2" x14ac:dyDescent="0.25">
      <c r="A1560" s="49">
        <v>676815482</v>
      </c>
      <c r="B1560" s="49" t="s">
        <v>1101</v>
      </c>
    </row>
    <row r="1561" spans="1:2" x14ac:dyDescent="0.25">
      <c r="A1561" s="49">
        <v>683022203</v>
      </c>
      <c r="B1561" s="49" t="s">
        <v>1522</v>
      </c>
    </row>
    <row r="1562" spans="1:2" x14ac:dyDescent="0.25">
      <c r="A1562" s="49">
        <v>684419204</v>
      </c>
      <c r="B1562" s="49" t="s">
        <v>226</v>
      </c>
    </row>
    <row r="1563" spans="1:2" x14ac:dyDescent="0.25">
      <c r="A1563" s="49">
        <v>719495431</v>
      </c>
      <c r="B1563" s="49" t="s">
        <v>785</v>
      </c>
    </row>
    <row r="1564" spans="1:2" x14ac:dyDescent="0.25">
      <c r="A1564" s="49">
        <v>758488287</v>
      </c>
      <c r="B1564" s="49" t="s">
        <v>1417</v>
      </c>
    </row>
    <row r="1565" spans="1:2" x14ac:dyDescent="0.25">
      <c r="A1565" s="49">
        <v>780669379</v>
      </c>
      <c r="B1565" s="49" t="s">
        <v>1078</v>
      </c>
    </row>
    <row r="1566" spans="1:2" x14ac:dyDescent="0.25">
      <c r="A1566" s="49">
        <v>781331830</v>
      </c>
      <c r="B1566" s="49" t="s">
        <v>1288</v>
      </c>
    </row>
    <row r="1567" spans="1:2" x14ac:dyDescent="0.25">
      <c r="A1567" s="49">
        <v>782309342</v>
      </c>
      <c r="B1567" s="49" t="s">
        <v>523</v>
      </c>
    </row>
    <row r="1568" spans="1:2" x14ac:dyDescent="0.25">
      <c r="A1568" s="49">
        <v>785146376</v>
      </c>
      <c r="B1568" s="49" t="s">
        <v>732</v>
      </c>
    </row>
    <row r="1569" spans="1:2" x14ac:dyDescent="0.25">
      <c r="A1569" s="49">
        <v>826588687</v>
      </c>
      <c r="B1569" s="49" t="s">
        <v>1365</v>
      </c>
    </row>
    <row r="1570" spans="1:2" x14ac:dyDescent="0.25">
      <c r="A1570" s="49">
        <v>883105094</v>
      </c>
      <c r="B1570" s="49" t="s">
        <v>1281</v>
      </c>
    </row>
    <row r="1571" spans="1:2" x14ac:dyDescent="0.25">
      <c r="A1571" s="49">
        <v>913081018</v>
      </c>
      <c r="B1571" s="49" t="s">
        <v>1201</v>
      </c>
    </row>
    <row r="1572" spans="1:2" x14ac:dyDescent="0.25">
      <c r="A1572" s="49">
        <v>913732328</v>
      </c>
      <c r="B1572" s="49" t="s">
        <v>1584</v>
      </c>
    </row>
    <row r="1573" spans="1:2" x14ac:dyDescent="0.25">
      <c r="A1573" s="49">
        <v>918555314</v>
      </c>
      <c r="B1573" s="49" t="s">
        <v>79</v>
      </c>
    </row>
    <row r="1574" spans="1:2" x14ac:dyDescent="0.25">
      <c r="A1574" s="49">
        <v>928527734</v>
      </c>
      <c r="B1574" s="49" t="s">
        <v>1491</v>
      </c>
    </row>
    <row r="1575" spans="1:2" x14ac:dyDescent="0.25">
      <c r="A1575" s="49">
        <v>928743089</v>
      </c>
      <c r="B1575" s="49" t="s">
        <v>1390</v>
      </c>
    </row>
    <row r="1576" spans="1:2" x14ac:dyDescent="0.25">
      <c r="A1576" s="49">
        <v>929151868</v>
      </c>
      <c r="B1576" s="49" t="s">
        <v>1019</v>
      </c>
    </row>
    <row r="1577" spans="1:2" x14ac:dyDescent="0.25">
      <c r="A1577" s="49">
        <v>933862231</v>
      </c>
      <c r="B1577" s="49" t="s">
        <v>89</v>
      </c>
    </row>
    <row r="1578" spans="1:2" x14ac:dyDescent="0.25">
      <c r="A1578" s="49">
        <v>1160009815</v>
      </c>
      <c r="B1578" s="49" t="s">
        <v>1647</v>
      </c>
    </row>
    <row r="1579" spans="1:2" x14ac:dyDescent="0.25">
      <c r="A1579" s="49">
        <v>1338582077</v>
      </c>
      <c r="B1579" s="49" t="s">
        <v>1743</v>
      </c>
    </row>
    <row r="1580" spans="1:2" x14ac:dyDescent="0.25">
      <c r="A1580" s="49">
        <v>618743165</v>
      </c>
      <c r="B1580" s="49" t="s">
        <v>3664</v>
      </c>
    </row>
    <row r="1581" spans="1:2" x14ac:dyDescent="0.25">
      <c r="A1581" s="49">
        <v>682873261</v>
      </c>
      <c r="B1581" s="49" t="s">
        <v>567</v>
      </c>
    </row>
    <row r="1582" spans="1:2" x14ac:dyDescent="0.25">
      <c r="A1582" s="49">
        <v>899581254</v>
      </c>
      <c r="B1582" s="49" t="s">
        <v>1172</v>
      </c>
    </row>
    <row r="1583" spans="1:2" x14ac:dyDescent="0.25">
      <c r="A1583" s="49">
        <v>906023084</v>
      </c>
      <c r="B1583" s="49" t="s">
        <v>1367</v>
      </c>
    </row>
    <row r="1584" spans="1:2" x14ac:dyDescent="0.25">
      <c r="A1584" s="49">
        <v>923797474</v>
      </c>
      <c r="B1584" s="49" t="s">
        <v>927</v>
      </c>
    </row>
    <row r="1585" spans="1:2" x14ac:dyDescent="0.25">
      <c r="A1585" s="49">
        <v>898254419</v>
      </c>
      <c r="B1585" s="49" t="s">
        <v>1545</v>
      </c>
    </row>
    <row r="1586" spans="1:2" x14ac:dyDescent="0.25">
      <c r="A1586" s="49">
        <v>1134215305</v>
      </c>
      <c r="B1586" s="49" t="s">
        <v>170</v>
      </c>
    </row>
    <row r="1587" spans="1:2" x14ac:dyDescent="0.25">
      <c r="A1587" s="49">
        <v>782129134</v>
      </c>
      <c r="B1587" s="49" t="s">
        <v>1222</v>
      </c>
    </row>
    <row r="1588" spans="1:2" x14ac:dyDescent="0.25">
      <c r="A1588" s="49">
        <v>641561485</v>
      </c>
      <c r="B1588" s="49" t="s">
        <v>350</v>
      </c>
    </row>
    <row r="1589" spans="1:2" x14ac:dyDescent="0.25">
      <c r="A1589" s="49">
        <v>641910987</v>
      </c>
      <c r="B1589" s="49" t="s">
        <v>689</v>
      </c>
    </row>
    <row r="1590" spans="1:2" x14ac:dyDescent="0.25">
      <c r="A1590" s="49">
        <v>696062894</v>
      </c>
      <c r="B1590" s="49" t="s">
        <v>334</v>
      </c>
    </row>
    <row r="1591" spans="1:2" x14ac:dyDescent="0.25">
      <c r="A1591" s="49">
        <v>709977235</v>
      </c>
      <c r="B1591" s="49" t="s">
        <v>967</v>
      </c>
    </row>
    <row r="1592" spans="1:2" x14ac:dyDescent="0.25">
      <c r="A1592" s="49">
        <v>719620560</v>
      </c>
      <c r="B1592" s="49" t="s">
        <v>784</v>
      </c>
    </row>
    <row r="1593" spans="1:2" x14ac:dyDescent="0.25">
      <c r="A1593" s="49">
        <v>743640900</v>
      </c>
      <c r="B1593" s="49" t="s">
        <v>655</v>
      </c>
    </row>
    <row r="1594" spans="1:2" x14ac:dyDescent="0.25">
      <c r="A1594" s="49">
        <v>777652631</v>
      </c>
      <c r="B1594" s="49" t="s">
        <v>347</v>
      </c>
    </row>
    <row r="1595" spans="1:2" x14ac:dyDescent="0.25">
      <c r="A1595" s="49">
        <v>778014287</v>
      </c>
      <c r="B1595" s="49" t="s">
        <v>788</v>
      </c>
    </row>
    <row r="1596" spans="1:2" x14ac:dyDescent="0.25">
      <c r="A1596" s="49">
        <v>781335843</v>
      </c>
      <c r="B1596" s="49" t="s">
        <v>1252</v>
      </c>
    </row>
    <row r="1597" spans="1:2" x14ac:dyDescent="0.25">
      <c r="A1597" s="49">
        <v>781331571</v>
      </c>
      <c r="B1597" s="49" t="s">
        <v>1236</v>
      </c>
    </row>
    <row r="1598" spans="1:2" x14ac:dyDescent="0.25">
      <c r="A1598" s="49">
        <v>782115283</v>
      </c>
      <c r="B1598" s="49" t="s">
        <v>1275</v>
      </c>
    </row>
    <row r="1599" spans="1:2" x14ac:dyDescent="0.25">
      <c r="A1599" s="49">
        <v>786353305</v>
      </c>
      <c r="B1599" s="49" t="s">
        <v>1531</v>
      </c>
    </row>
    <row r="1600" spans="1:2" x14ac:dyDescent="0.25">
      <c r="A1600" s="49">
        <v>797607685</v>
      </c>
      <c r="B1600" s="49" t="s">
        <v>1455</v>
      </c>
    </row>
    <row r="1601" spans="1:2" x14ac:dyDescent="0.25">
      <c r="A1601" s="49">
        <v>799488939</v>
      </c>
      <c r="B1601" s="49" t="s">
        <v>1566</v>
      </c>
    </row>
    <row r="1602" spans="1:2" x14ac:dyDescent="0.25">
      <c r="A1602" s="49">
        <v>800287360</v>
      </c>
      <c r="B1602" s="49" t="s">
        <v>744</v>
      </c>
    </row>
    <row r="1603" spans="1:2" x14ac:dyDescent="0.25">
      <c r="A1603" s="49">
        <v>836880730</v>
      </c>
      <c r="B1603" s="49" t="s">
        <v>1535</v>
      </c>
    </row>
    <row r="1604" spans="1:2" x14ac:dyDescent="0.25">
      <c r="A1604" s="49">
        <v>845928265</v>
      </c>
      <c r="B1604" s="49" t="s">
        <v>713</v>
      </c>
    </row>
    <row r="1605" spans="1:2" x14ac:dyDescent="0.25">
      <c r="A1605" s="49">
        <v>867872956</v>
      </c>
      <c r="B1605" s="49" t="s">
        <v>1373</v>
      </c>
    </row>
    <row r="1606" spans="1:2" x14ac:dyDescent="0.25">
      <c r="A1606" s="49">
        <v>901673628</v>
      </c>
      <c r="B1606" s="49" t="s">
        <v>1129</v>
      </c>
    </row>
    <row r="1607" spans="1:2" x14ac:dyDescent="0.25">
      <c r="A1607" s="49">
        <v>919492297</v>
      </c>
      <c r="B1607" s="49" t="s">
        <v>92</v>
      </c>
    </row>
    <row r="1608" spans="1:2" x14ac:dyDescent="0.25">
      <c r="A1608" s="49">
        <v>1103505654</v>
      </c>
      <c r="B1608" s="49" t="s">
        <v>860</v>
      </c>
    </row>
    <row r="1609" spans="1:2" x14ac:dyDescent="0.25">
      <c r="A1609" s="49">
        <v>1149416732</v>
      </c>
      <c r="B1609" s="49" t="s">
        <v>999</v>
      </c>
    </row>
    <row r="1610" spans="1:2" x14ac:dyDescent="0.25">
      <c r="A1610" s="49">
        <v>1149762321</v>
      </c>
      <c r="B1610" s="49" t="s">
        <v>1506</v>
      </c>
    </row>
    <row r="1611" spans="1:2" x14ac:dyDescent="0.25">
      <c r="A1611" s="49">
        <v>1150401754</v>
      </c>
      <c r="B1611" s="49" t="s">
        <v>256</v>
      </c>
    </row>
    <row r="1612" spans="1:2" x14ac:dyDescent="0.25">
      <c r="A1612" s="49">
        <v>1159297100</v>
      </c>
      <c r="B1612" s="49" t="s">
        <v>233</v>
      </c>
    </row>
    <row r="1613" spans="1:2" x14ac:dyDescent="0.25">
      <c r="A1613" s="49">
        <v>1343992023</v>
      </c>
      <c r="B1613" s="49" t="s">
        <v>1032</v>
      </c>
    </row>
    <row r="1614" spans="1:2" x14ac:dyDescent="0.25">
      <c r="A1614" s="49">
        <v>1377846106</v>
      </c>
      <c r="B1614" s="49" t="s">
        <v>60</v>
      </c>
    </row>
    <row r="1615" spans="1:2" x14ac:dyDescent="0.25">
      <c r="A1615" s="49">
        <v>1370197375</v>
      </c>
      <c r="B1615" s="49" t="s">
        <v>1833</v>
      </c>
    </row>
    <row r="1616" spans="1:2" x14ac:dyDescent="0.25">
      <c r="A1616" s="49">
        <v>1423204892</v>
      </c>
      <c r="B1616" s="49" t="s">
        <v>826</v>
      </c>
    </row>
    <row r="1617" spans="1:2" x14ac:dyDescent="0.25">
      <c r="A1617" s="49">
        <v>796634562</v>
      </c>
      <c r="B1617" s="49" t="s">
        <v>210</v>
      </c>
    </row>
    <row r="1618" spans="1:2" x14ac:dyDescent="0.25">
      <c r="A1618" s="49">
        <v>837157019</v>
      </c>
      <c r="B1618" s="49" t="s">
        <v>1690</v>
      </c>
    </row>
    <row r="1619" spans="1:2" x14ac:dyDescent="0.25">
      <c r="A1619" s="49">
        <v>907431322</v>
      </c>
      <c r="B1619" s="49" t="s">
        <v>155</v>
      </c>
    </row>
    <row r="1620" spans="1:2" x14ac:dyDescent="0.25">
      <c r="A1620" s="49">
        <v>689718530</v>
      </c>
      <c r="B1620" s="49" t="s">
        <v>1300</v>
      </c>
    </row>
    <row r="1621" spans="1:2" x14ac:dyDescent="0.25">
      <c r="A1621" s="49">
        <v>876434306</v>
      </c>
      <c r="B1621" s="49" t="s">
        <v>62</v>
      </c>
    </row>
    <row r="1622" spans="1:2" x14ac:dyDescent="0.25">
      <c r="A1622" s="49">
        <v>1147193625</v>
      </c>
      <c r="B1622" s="49" t="s">
        <v>1526</v>
      </c>
    </row>
    <row r="1623" spans="1:2" x14ac:dyDescent="0.25">
      <c r="A1623" s="49">
        <v>1147501255</v>
      </c>
      <c r="B1623" s="49" t="s">
        <v>1604</v>
      </c>
    </row>
    <row r="1624" spans="1:2" x14ac:dyDescent="0.25">
      <c r="A1624" s="49">
        <v>617067736</v>
      </c>
      <c r="B1624" s="49" t="s">
        <v>925</v>
      </c>
    </row>
    <row r="1625" spans="1:2" x14ac:dyDescent="0.25">
      <c r="A1625" s="49">
        <v>641034752</v>
      </c>
      <c r="B1625" s="49" t="s">
        <v>1576</v>
      </c>
    </row>
    <row r="1626" spans="1:2" x14ac:dyDescent="0.25">
      <c r="A1626" s="49">
        <v>642944937</v>
      </c>
      <c r="B1626" s="49" t="s">
        <v>1693</v>
      </c>
    </row>
    <row r="1627" spans="1:2" x14ac:dyDescent="0.25">
      <c r="A1627" s="49">
        <v>747441175</v>
      </c>
      <c r="B1627" s="49" t="s">
        <v>1479</v>
      </c>
    </row>
    <row r="1628" spans="1:2" x14ac:dyDescent="0.25">
      <c r="A1628" s="49">
        <v>762077702</v>
      </c>
      <c r="B1628" s="49" t="s">
        <v>3641</v>
      </c>
    </row>
    <row r="1629" spans="1:2" x14ac:dyDescent="0.25">
      <c r="A1629" s="49">
        <v>762437652</v>
      </c>
      <c r="B1629" s="49" t="s">
        <v>1169</v>
      </c>
    </row>
    <row r="1630" spans="1:2" x14ac:dyDescent="0.25">
      <c r="A1630" s="49">
        <v>780819015</v>
      </c>
      <c r="B1630" s="49" t="s">
        <v>374</v>
      </c>
    </row>
    <row r="1631" spans="1:2" x14ac:dyDescent="0.25">
      <c r="A1631" s="49">
        <v>781331055</v>
      </c>
      <c r="B1631" s="49" t="s">
        <v>1233</v>
      </c>
    </row>
    <row r="1632" spans="1:2" x14ac:dyDescent="0.25">
      <c r="A1632" s="49">
        <v>782164638</v>
      </c>
      <c r="B1632" s="49" t="s">
        <v>315</v>
      </c>
    </row>
    <row r="1633" spans="1:2" x14ac:dyDescent="0.25">
      <c r="A1633" s="49">
        <v>782128606</v>
      </c>
      <c r="B1633" s="49" t="s">
        <v>1229</v>
      </c>
    </row>
    <row r="1634" spans="1:2" x14ac:dyDescent="0.25">
      <c r="A1634" s="49">
        <v>784347600</v>
      </c>
      <c r="B1634" s="49" t="s">
        <v>684</v>
      </c>
    </row>
    <row r="1635" spans="1:2" x14ac:dyDescent="0.25">
      <c r="A1635" s="49">
        <v>816680816</v>
      </c>
      <c r="B1635" s="49" t="s">
        <v>982</v>
      </c>
    </row>
    <row r="1636" spans="1:2" x14ac:dyDescent="0.25">
      <c r="A1636" s="49">
        <v>828467981</v>
      </c>
      <c r="B1636" s="49" t="s">
        <v>1633</v>
      </c>
    </row>
    <row r="1637" spans="1:2" x14ac:dyDescent="0.25">
      <c r="A1637" s="49">
        <v>836737777</v>
      </c>
      <c r="B1637" s="49" t="s">
        <v>726</v>
      </c>
    </row>
    <row r="1638" spans="1:2" x14ac:dyDescent="0.25">
      <c r="A1638" s="49">
        <v>842703876</v>
      </c>
      <c r="B1638" s="49" t="s">
        <v>1065</v>
      </c>
    </row>
    <row r="1639" spans="1:2" x14ac:dyDescent="0.25">
      <c r="A1639" s="49">
        <v>864295510</v>
      </c>
      <c r="B1639" s="49" t="s">
        <v>1617</v>
      </c>
    </row>
    <row r="1640" spans="1:2" x14ac:dyDescent="0.25">
      <c r="A1640" s="49">
        <v>869420596</v>
      </c>
      <c r="B1640" s="49" t="s">
        <v>244</v>
      </c>
    </row>
    <row r="1641" spans="1:2" x14ac:dyDescent="0.25">
      <c r="A1641" s="49">
        <v>877486998</v>
      </c>
      <c r="B1641" s="49" t="s">
        <v>543</v>
      </c>
    </row>
    <row r="1642" spans="1:2" x14ac:dyDescent="0.25">
      <c r="A1642" s="49">
        <v>928750640</v>
      </c>
      <c r="B1642" s="49" t="s">
        <v>1386</v>
      </c>
    </row>
    <row r="1643" spans="1:2" x14ac:dyDescent="0.25">
      <c r="A1643" s="49">
        <v>936058167</v>
      </c>
      <c r="B1643" s="49" t="s">
        <v>156</v>
      </c>
    </row>
    <row r="1644" spans="1:2" x14ac:dyDescent="0.25">
      <c r="A1644" s="49">
        <v>1115011338</v>
      </c>
      <c r="B1644" s="49" t="s">
        <v>849</v>
      </c>
    </row>
    <row r="1645" spans="1:2" x14ac:dyDescent="0.25">
      <c r="A1645" s="49">
        <v>1122344191</v>
      </c>
      <c r="B1645" s="49" t="s">
        <v>1054</v>
      </c>
    </row>
    <row r="1646" spans="1:2" x14ac:dyDescent="0.25">
      <c r="A1646" s="49">
        <v>1281970672</v>
      </c>
      <c r="B1646" s="49" t="s">
        <v>881</v>
      </c>
    </row>
    <row r="1647" spans="1:2" x14ac:dyDescent="0.25">
      <c r="A1647" s="49">
        <v>1339953795</v>
      </c>
      <c r="B1647" s="49" t="s">
        <v>1751</v>
      </c>
    </row>
    <row r="1648" spans="1:2" x14ac:dyDescent="0.25">
      <c r="A1648" s="49">
        <v>1346680690</v>
      </c>
      <c r="B1648" s="49" t="s">
        <v>1801</v>
      </c>
    </row>
    <row r="1649" spans="1:2" x14ac:dyDescent="0.25">
      <c r="A1649" s="49">
        <v>1366007583</v>
      </c>
      <c r="B1649" s="49" t="s">
        <v>1822</v>
      </c>
    </row>
    <row r="1650" spans="1:2" x14ac:dyDescent="0.25">
      <c r="A1650" s="49">
        <v>1397955888</v>
      </c>
      <c r="B1650" s="49" t="s">
        <v>1826</v>
      </c>
    </row>
    <row r="1651" spans="1:2" x14ac:dyDescent="0.25">
      <c r="A1651" s="49">
        <v>767697633</v>
      </c>
      <c r="B1651" s="49" t="s">
        <v>1626</v>
      </c>
    </row>
    <row r="1652" spans="1:2" x14ac:dyDescent="0.25">
      <c r="A1652" s="49">
        <v>776731515</v>
      </c>
      <c r="B1652" s="49" t="s">
        <v>558</v>
      </c>
    </row>
    <row r="1653" spans="1:2" x14ac:dyDescent="0.25">
      <c r="A1653" s="49">
        <v>934669433</v>
      </c>
      <c r="B1653" s="49" t="s">
        <v>1411</v>
      </c>
    </row>
    <row r="1654" spans="1:2" x14ac:dyDescent="0.25">
      <c r="A1654" s="49">
        <v>714193538</v>
      </c>
      <c r="B1654" s="49" t="s">
        <v>3674</v>
      </c>
    </row>
    <row r="1655" spans="1:2" x14ac:dyDescent="0.25">
      <c r="A1655" s="49">
        <v>1147122758</v>
      </c>
      <c r="B1655" s="49" t="s">
        <v>1523</v>
      </c>
    </row>
    <row r="1656" spans="1:2" x14ac:dyDescent="0.25">
      <c r="A1656" s="49">
        <v>748964026</v>
      </c>
      <c r="B1656" s="49" t="s">
        <v>1538</v>
      </c>
    </row>
    <row r="1657" spans="1:2" x14ac:dyDescent="0.25">
      <c r="A1657" s="49">
        <v>605724202</v>
      </c>
      <c r="B1657" s="49" t="s">
        <v>311</v>
      </c>
    </row>
    <row r="1658" spans="1:2" x14ac:dyDescent="0.25">
      <c r="A1658" s="49">
        <v>611564639</v>
      </c>
      <c r="B1658" s="49" t="s">
        <v>1699</v>
      </c>
    </row>
    <row r="1659" spans="1:2" x14ac:dyDescent="0.25">
      <c r="A1659" s="49">
        <v>617137796</v>
      </c>
      <c r="B1659" s="49" t="s">
        <v>404</v>
      </c>
    </row>
    <row r="1660" spans="1:2" x14ac:dyDescent="0.25">
      <c r="A1660" s="49">
        <v>649983143</v>
      </c>
      <c r="B1660" s="49" t="s">
        <v>484</v>
      </c>
    </row>
    <row r="1661" spans="1:2" x14ac:dyDescent="0.25">
      <c r="A1661" s="49">
        <v>681952883</v>
      </c>
      <c r="B1661" s="49" t="s">
        <v>650</v>
      </c>
    </row>
    <row r="1662" spans="1:2" x14ac:dyDescent="0.25">
      <c r="A1662" s="49">
        <v>727683864</v>
      </c>
      <c r="B1662" s="49" t="s">
        <v>1112</v>
      </c>
    </row>
    <row r="1663" spans="1:2" x14ac:dyDescent="0.25">
      <c r="A1663" s="49">
        <v>742984565</v>
      </c>
      <c r="B1663" s="49" t="s">
        <v>1213</v>
      </c>
    </row>
    <row r="1664" spans="1:2" x14ac:dyDescent="0.25">
      <c r="A1664" s="49">
        <v>760067465</v>
      </c>
      <c r="B1664" s="49" t="s">
        <v>1682</v>
      </c>
    </row>
    <row r="1665" spans="1:2" x14ac:dyDescent="0.25">
      <c r="A1665" s="49">
        <v>777660008</v>
      </c>
      <c r="B1665" s="49" t="s">
        <v>327</v>
      </c>
    </row>
    <row r="1666" spans="1:2" x14ac:dyDescent="0.25">
      <c r="A1666" s="49">
        <v>794742484</v>
      </c>
      <c r="B1666" s="49" t="s">
        <v>309</v>
      </c>
    </row>
    <row r="1667" spans="1:2" x14ac:dyDescent="0.25">
      <c r="A1667" s="49">
        <v>816535722</v>
      </c>
      <c r="B1667" s="49" t="s">
        <v>1297</v>
      </c>
    </row>
    <row r="1668" spans="1:2" x14ac:dyDescent="0.25">
      <c r="A1668" s="49">
        <v>829007503</v>
      </c>
      <c r="B1668" s="49" t="s">
        <v>1663</v>
      </c>
    </row>
    <row r="1669" spans="1:2" x14ac:dyDescent="0.25">
      <c r="A1669" s="49">
        <v>860116114</v>
      </c>
      <c r="B1669" s="49" t="s">
        <v>361</v>
      </c>
    </row>
    <row r="1670" spans="1:2" x14ac:dyDescent="0.25">
      <c r="A1670" s="49">
        <v>865784457</v>
      </c>
      <c r="B1670" s="49" t="s">
        <v>1376</v>
      </c>
    </row>
    <row r="1671" spans="1:2" x14ac:dyDescent="0.25">
      <c r="A1671" s="49">
        <v>909397629</v>
      </c>
      <c r="B1671" s="49" t="s">
        <v>1093</v>
      </c>
    </row>
    <row r="1672" spans="1:2" x14ac:dyDescent="0.25">
      <c r="A1672" s="49">
        <v>909576022</v>
      </c>
      <c r="B1672" s="49" t="s">
        <v>594</v>
      </c>
    </row>
    <row r="1673" spans="1:2" x14ac:dyDescent="0.25">
      <c r="A1673" s="49">
        <v>928528287</v>
      </c>
      <c r="B1673" s="49" t="s">
        <v>1021</v>
      </c>
    </row>
    <row r="1674" spans="1:2" x14ac:dyDescent="0.25">
      <c r="A1674" s="49">
        <v>1105726497</v>
      </c>
      <c r="B1674" s="49" t="s">
        <v>1189</v>
      </c>
    </row>
    <row r="1675" spans="1:2" x14ac:dyDescent="0.25">
      <c r="A1675" s="49">
        <v>1151733381</v>
      </c>
      <c r="B1675" s="49" t="s">
        <v>1323</v>
      </c>
    </row>
    <row r="1676" spans="1:2" x14ac:dyDescent="0.25">
      <c r="A1676" s="49">
        <v>1167220195</v>
      </c>
      <c r="B1676" s="49" t="s">
        <v>1397</v>
      </c>
    </row>
    <row r="1677" spans="1:2" x14ac:dyDescent="0.25">
      <c r="A1677" s="49">
        <v>1226002514</v>
      </c>
      <c r="B1677" s="49" t="s">
        <v>918</v>
      </c>
    </row>
    <row r="1678" spans="1:2" x14ac:dyDescent="0.25">
      <c r="A1678" s="49">
        <v>1249850619</v>
      </c>
      <c r="B1678" s="49" t="s">
        <v>1726</v>
      </c>
    </row>
    <row r="1679" spans="1:2" x14ac:dyDescent="0.25">
      <c r="A1679" s="49">
        <v>1281951208</v>
      </c>
      <c r="B1679" s="49" t="s">
        <v>950</v>
      </c>
    </row>
    <row r="1680" spans="1:2" x14ac:dyDescent="0.25">
      <c r="A1680" s="49">
        <v>1345223804</v>
      </c>
      <c r="B1680" s="49" t="s">
        <v>1774</v>
      </c>
    </row>
    <row r="1681" spans="1:2" x14ac:dyDescent="0.25">
      <c r="A1681" s="49">
        <v>1375749037</v>
      </c>
      <c r="B1681" s="49" t="s">
        <v>673</v>
      </c>
    </row>
    <row r="1682" spans="1:2" x14ac:dyDescent="0.25">
      <c r="A1682" s="49">
        <v>1377686165</v>
      </c>
      <c r="B1682" s="49" t="s">
        <v>860</v>
      </c>
    </row>
    <row r="1683" spans="1:2" x14ac:dyDescent="0.25">
      <c r="A1683" s="49">
        <v>898252611</v>
      </c>
      <c r="B1683" s="49" t="s">
        <v>3661</v>
      </c>
    </row>
    <row r="1684" spans="1:2" x14ac:dyDescent="0.25">
      <c r="A1684" s="49">
        <v>1122235606</v>
      </c>
      <c r="B1684" s="49" t="s">
        <v>1055</v>
      </c>
    </row>
    <row r="1685" spans="1:2" x14ac:dyDescent="0.25">
      <c r="A1685" s="49">
        <v>1150181622</v>
      </c>
      <c r="B1685" s="49" t="s">
        <v>1599</v>
      </c>
    </row>
    <row r="1686" spans="1:2" x14ac:dyDescent="0.25">
      <c r="A1686" s="49">
        <v>609330495</v>
      </c>
      <c r="B1686" s="49" t="s">
        <v>1289</v>
      </c>
    </row>
    <row r="1687" spans="1:2" x14ac:dyDescent="0.25">
      <c r="A1687" s="49">
        <v>610762821</v>
      </c>
      <c r="B1687" s="49" t="s">
        <v>608</v>
      </c>
    </row>
    <row r="1688" spans="1:2" x14ac:dyDescent="0.25">
      <c r="A1688" s="49">
        <v>611569499</v>
      </c>
      <c r="B1688" s="49" t="s">
        <v>374</v>
      </c>
    </row>
    <row r="1689" spans="1:2" x14ac:dyDescent="0.25">
      <c r="A1689" s="49">
        <v>614138580</v>
      </c>
      <c r="B1689" s="49" t="s">
        <v>319</v>
      </c>
    </row>
    <row r="1690" spans="1:2" x14ac:dyDescent="0.25">
      <c r="A1690" s="49">
        <v>649986196</v>
      </c>
      <c r="B1690" s="49" t="s">
        <v>448</v>
      </c>
    </row>
    <row r="1691" spans="1:2" x14ac:dyDescent="0.25">
      <c r="A1691" s="49">
        <v>667468401</v>
      </c>
      <c r="B1691" s="49" t="s">
        <v>494</v>
      </c>
    </row>
    <row r="1692" spans="1:2" x14ac:dyDescent="0.25">
      <c r="A1692" s="49">
        <v>684418996</v>
      </c>
      <c r="B1692" s="49" t="s">
        <v>225</v>
      </c>
    </row>
    <row r="1693" spans="1:2" x14ac:dyDescent="0.25">
      <c r="A1693" s="49">
        <v>690418783</v>
      </c>
      <c r="B1693" s="49" t="s">
        <v>682</v>
      </c>
    </row>
    <row r="1694" spans="1:2" x14ac:dyDescent="0.25">
      <c r="A1694" s="49">
        <v>717887370</v>
      </c>
      <c r="B1694" s="49" t="s">
        <v>807</v>
      </c>
    </row>
    <row r="1695" spans="1:2" x14ac:dyDescent="0.25">
      <c r="A1695" s="49">
        <v>776742975</v>
      </c>
      <c r="B1695" s="49" t="s">
        <v>1654</v>
      </c>
    </row>
    <row r="1696" spans="1:2" x14ac:dyDescent="0.25">
      <c r="A1696" s="49">
        <v>780833969</v>
      </c>
      <c r="B1696" s="49" t="s">
        <v>431</v>
      </c>
    </row>
    <row r="1697" spans="1:2" x14ac:dyDescent="0.25">
      <c r="A1697" s="49">
        <v>784338296</v>
      </c>
      <c r="B1697" s="49" t="s">
        <v>678</v>
      </c>
    </row>
    <row r="1698" spans="1:2" x14ac:dyDescent="0.25">
      <c r="A1698" s="49">
        <v>836740286</v>
      </c>
      <c r="B1698" s="49" t="s">
        <v>1589</v>
      </c>
    </row>
    <row r="1699" spans="1:2" x14ac:dyDescent="0.25">
      <c r="A1699" s="49">
        <v>845928457</v>
      </c>
      <c r="B1699" s="49" t="s">
        <v>482</v>
      </c>
    </row>
    <row r="1700" spans="1:2" x14ac:dyDescent="0.25">
      <c r="A1700" s="49">
        <v>907334068</v>
      </c>
      <c r="B1700" s="49" t="s">
        <v>1394</v>
      </c>
    </row>
    <row r="1701" spans="1:2" x14ac:dyDescent="0.25">
      <c r="A1701" s="49">
        <v>928528153</v>
      </c>
      <c r="B1701" s="49" t="s">
        <v>207</v>
      </c>
    </row>
    <row r="1702" spans="1:2" x14ac:dyDescent="0.25">
      <c r="A1702" s="49">
        <v>1127893079</v>
      </c>
      <c r="B1702" s="49" t="s">
        <v>1144</v>
      </c>
    </row>
    <row r="1703" spans="1:2" x14ac:dyDescent="0.25">
      <c r="A1703" s="49">
        <v>1173602895</v>
      </c>
      <c r="B1703" s="49" t="s">
        <v>1244</v>
      </c>
    </row>
    <row r="1704" spans="1:2" x14ac:dyDescent="0.25">
      <c r="A1704" s="49">
        <v>1190476077</v>
      </c>
      <c r="B1704" s="49" t="s">
        <v>918</v>
      </c>
    </row>
    <row r="1705" spans="1:2" x14ac:dyDescent="0.25">
      <c r="A1705" s="49">
        <v>1344829667</v>
      </c>
      <c r="B1705" s="49" t="s">
        <v>897</v>
      </c>
    </row>
    <row r="1706" spans="1:2" x14ac:dyDescent="0.25">
      <c r="A1706" s="49">
        <v>1355250318</v>
      </c>
      <c r="B1706" s="49" t="s">
        <v>1807</v>
      </c>
    </row>
    <row r="1707" spans="1:2" x14ac:dyDescent="0.25">
      <c r="A1707" s="49">
        <v>1376838823</v>
      </c>
      <c r="B1707" s="49" t="s">
        <v>826</v>
      </c>
    </row>
    <row r="1708" spans="1:2" x14ac:dyDescent="0.25">
      <c r="A1708" s="49">
        <v>1456036744</v>
      </c>
      <c r="B1708" s="49" t="s">
        <v>3745</v>
      </c>
    </row>
    <row r="1709" spans="1:2" x14ac:dyDescent="0.25">
      <c r="A1709" s="49">
        <v>839388209</v>
      </c>
      <c r="B1709" s="49" t="s">
        <v>1352</v>
      </c>
    </row>
    <row r="1710" spans="1:2" x14ac:dyDescent="0.25">
      <c r="A1710" s="49">
        <v>682840416</v>
      </c>
      <c r="B1710" s="49" t="s">
        <v>580</v>
      </c>
    </row>
    <row r="1711" spans="1:2" x14ac:dyDescent="0.25">
      <c r="A1711" s="49">
        <v>898141343</v>
      </c>
      <c r="B1711" s="49" t="s">
        <v>1463</v>
      </c>
    </row>
    <row r="1712" spans="1:2" x14ac:dyDescent="0.25">
      <c r="A1712" s="49">
        <v>781351912</v>
      </c>
      <c r="B1712" s="49" t="s">
        <v>614</v>
      </c>
    </row>
    <row r="1713" spans="1:2" x14ac:dyDescent="0.25">
      <c r="A1713" s="49">
        <v>928399731</v>
      </c>
      <c r="B1713" s="49" t="s">
        <v>1388</v>
      </c>
    </row>
    <row r="1714" spans="1:2" x14ac:dyDescent="0.25">
      <c r="A1714" s="49">
        <v>1169859837</v>
      </c>
      <c r="B1714" s="49" t="s">
        <v>881</v>
      </c>
    </row>
    <row r="1715" spans="1:2" x14ac:dyDescent="0.25">
      <c r="A1715" s="49">
        <v>1182487802</v>
      </c>
      <c r="B1715" s="49" t="s">
        <v>1710</v>
      </c>
    </row>
    <row r="1716" spans="1:2" x14ac:dyDescent="0.25">
      <c r="A1716" s="49">
        <v>1192730186</v>
      </c>
      <c r="B1716" s="49" t="s">
        <v>1319</v>
      </c>
    </row>
    <row r="1717" spans="1:2" x14ac:dyDescent="0.25">
      <c r="A1717" s="49">
        <v>1401394606</v>
      </c>
      <c r="B1717" s="49" t="s">
        <v>3647</v>
      </c>
    </row>
    <row r="1718" spans="1:2" x14ac:dyDescent="0.25">
      <c r="A1718" s="49">
        <v>617440169</v>
      </c>
      <c r="B1718" s="49" t="s">
        <v>970</v>
      </c>
    </row>
    <row r="1719" spans="1:2" x14ac:dyDescent="0.25">
      <c r="A1719" s="49">
        <v>641141509</v>
      </c>
      <c r="B1719" s="49" t="s">
        <v>645</v>
      </c>
    </row>
    <row r="1720" spans="1:2" x14ac:dyDescent="0.25">
      <c r="A1720" s="49">
        <v>676765595</v>
      </c>
      <c r="B1720" s="49" t="s">
        <v>1427</v>
      </c>
    </row>
    <row r="1721" spans="1:2" x14ac:dyDescent="0.25">
      <c r="A1721" s="49">
        <v>709875995</v>
      </c>
      <c r="B1721" s="49" t="s">
        <v>964</v>
      </c>
    </row>
    <row r="1722" spans="1:2" x14ac:dyDescent="0.25">
      <c r="A1722" s="49">
        <v>711343060</v>
      </c>
      <c r="B1722" s="49" t="s">
        <v>677</v>
      </c>
    </row>
    <row r="1723" spans="1:2" x14ac:dyDescent="0.25">
      <c r="A1723" s="49">
        <v>719491425</v>
      </c>
      <c r="B1723" s="49" t="s">
        <v>788</v>
      </c>
    </row>
    <row r="1724" spans="1:2" x14ac:dyDescent="0.25">
      <c r="A1724" s="49">
        <v>776593786</v>
      </c>
      <c r="B1724" s="49" t="s">
        <v>1695</v>
      </c>
    </row>
    <row r="1725" spans="1:2" x14ac:dyDescent="0.25">
      <c r="A1725" s="49">
        <v>776561238</v>
      </c>
      <c r="B1725" s="49" t="s">
        <v>586</v>
      </c>
    </row>
    <row r="1726" spans="1:2" x14ac:dyDescent="0.25">
      <c r="A1726" s="49">
        <v>778431933</v>
      </c>
      <c r="B1726" s="49" t="s">
        <v>688</v>
      </c>
    </row>
    <row r="1727" spans="1:2" x14ac:dyDescent="0.25">
      <c r="A1727" s="49">
        <v>825618941</v>
      </c>
      <c r="B1727" s="49" t="s">
        <v>1539</v>
      </c>
    </row>
    <row r="1728" spans="1:2" x14ac:dyDescent="0.25">
      <c r="A1728" s="49">
        <v>913080095</v>
      </c>
      <c r="B1728" s="49" t="s">
        <v>1200</v>
      </c>
    </row>
    <row r="1729" spans="1:2" x14ac:dyDescent="0.25">
      <c r="A1729" s="49">
        <v>928918816</v>
      </c>
      <c r="B1729" s="49" t="s">
        <v>1452</v>
      </c>
    </row>
    <row r="1730" spans="1:2" x14ac:dyDescent="0.25">
      <c r="A1730" s="49">
        <v>1105682410</v>
      </c>
      <c r="B1730" s="49" t="s">
        <v>1444</v>
      </c>
    </row>
    <row r="1731" spans="1:2" x14ac:dyDescent="0.25">
      <c r="A1731" s="49">
        <v>1120295412</v>
      </c>
      <c r="B1731" s="49" t="s">
        <v>1292</v>
      </c>
    </row>
    <row r="1732" spans="1:2" x14ac:dyDescent="0.25">
      <c r="A1732" s="49">
        <v>1139354496</v>
      </c>
      <c r="B1732" s="49" t="s">
        <v>264</v>
      </c>
    </row>
    <row r="1733" spans="1:2" x14ac:dyDescent="0.25">
      <c r="A1733" s="49">
        <v>1159040553</v>
      </c>
      <c r="B1733" s="49" t="s">
        <v>1277</v>
      </c>
    </row>
    <row r="1734" spans="1:2" x14ac:dyDescent="0.25">
      <c r="A1734" s="49">
        <v>1216352002</v>
      </c>
      <c r="B1734" s="49" t="s">
        <v>1106</v>
      </c>
    </row>
    <row r="1735" spans="1:2" x14ac:dyDescent="0.25">
      <c r="A1735" s="49">
        <v>1285494972</v>
      </c>
      <c r="B1735" s="49" t="s">
        <v>1108</v>
      </c>
    </row>
    <row r="1736" spans="1:2" x14ac:dyDescent="0.25">
      <c r="A1736" s="49">
        <v>1360790313</v>
      </c>
      <c r="B1736" s="49" t="s">
        <v>1745</v>
      </c>
    </row>
    <row r="1737" spans="1:2" x14ac:dyDescent="0.25">
      <c r="A1737" s="49">
        <v>1443425646</v>
      </c>
      <c r="B1737" s="49" t="s">
        <v>1827</v>
      </c>
    </row>
    <row r="1738" spans="1:2" x14ac:dyDescent="0.25">
      <c r="A1738" s="49">
        <v>639593724</v>
      </c>
      <c r="B1738" s="49" t="s">
        <v>1675</v>
      </c>
    </row>
    <row r="1739" spans="1:2" x14ac:dyDescent="0.25">
      <c r="A1739" s="49">
        <v>776432202</v>
      </c>
      <c r="B1739" s="49" t="s">
        <v>635</v>
      </c>
    </row>
    <row r="1740" spans="1:2" x14ac:dyDescent="0.25">
      <c r="A1740" s="49">
        <v>613078583</v>
      </c>
      <c r="B1740" s="49" t="s">
        <v>424</v>
      </c>
    </row>
    <row r="1741" spans="1:2" x14ac:dyDescent="0.25">
      <c r="A1741" s="49">
        <v>800286827</v>
      </c>
      <c r="B1741" s="49" t="s">
        <v>302</v>
      </c>
    </row>
    <row r="1742" spans="1:2" x14ac:dyDescent="0.25">
      <c r="A1742" s="49">
        <v>935715300</v>
      </c>
      <c r="B1742" s="49" t="s">
        <v>1471</v>
      </c>
    </row>
    <row r="1743" spans="1:2" x14ac:dyDescent="0.25">
      <c r="A1743" s="49">
        <v>758488203</v>
      </c>
      <c r="B1743" s="49" t="s">
        <v>875</v>
      </c>
    </row>
    <row r="1744" spans="1:2" x14ac:dyDescent="0.25">
      <c r="A1744" s="49">
        <v>1169836591</v>
      </c>
      <c r="B1744" s="49" t="s">
        <v>882</v>
      </c>
    </row>
    <row r="1745" spans="1:2" x14ac:dyDescent="0.25">
      <c r="A1745" s="49">
        <v>608438232</v>
      </c>
      <c r="B1745" s="49" t="s">
        <v>506</v>
      </c>
    </row>
    <row r="1746" spans="1:2" x14ac:dyDescent="0.25">
      <c r="A1746" s="49">
        <v>606345681</v>
      </c>
      <c r="B1746" s="49" t="s">
        <v>285</v>
      </c>
    </row>
    <row r="1747" spans="1:2" x14ac:dyDescent="0.25">
      <c r="A1747" s="49">
        <v>760283414</v>
      </c>
      <c r="B1747" s="49" t="s">
        <v>1438</v>
      </c>
    </row>
    <row r="1748" spans="1:2" x14ac:dyDescent="0.25">
      <c r="A1748" s="49">
        <v>730262413</v>
      </c>
      <c r="B1748" s="49" t="s">
        <v>600</v>
      </c>
    </row>
    <row r="1749" spans="1:2" x14ac:dyDescent="0.25">
      <c r="A1749" s="49">
        <v>778014153</v>
      </c>
      <c r="B1749" s="49" t="s">
        <v>789</v>
      </c>
    </row>
    <row r="1750" spans="1:2" x14ac:dyDescent="0.25">
      <c r="A1750" s="49">
        <v>780833851</v>
      </c>
      <c r="B1750" s="49" t="s">
        <v>424</v>
      </c>
    </row>
    <row r="1751" spans="1:2" x14ac:dyDescent="0.25">
      <c r="A1751" s="49">
        <v>781334683</v>
      </c>
      <c r="B1751" s="49" t="s">
        <v>1300</v>
      </c>
    </row>
    <row r="1752" spans="1:2" x14ac:dyDescent="0.25">
      <c r="A1752" s="49">
        <v>799473826</v>
      </c>
      <c r="B1752" s="49" t="s">
        <v>1407</v>
      </c>
    </row>
    <row r="1753" spans="1:2" x14ac:dyDescent="0.25">
      <c r="A1753" s="49">
        <v>817214773</v>
      </c>
      <c r="B1753" s="49" t="s">
        <v>1453</v>
      </c>
    </row>
    <row r="1754" spans="1:2" x14ac:dyDescent="0.25">
      <c r="A1754" s="49">
        <v>844726620</v>
      </c>
      <c r="B1754" s="49" t="s">
        <v>906</v>
      </c>
    </row>
    <row r="1755" spans="1:2" x14ac:dyDescent="0.25">
      <c r="A1755" s="49">
        <v>861906971</v>
      </c>
      <c r="B1755" s="49" t="s">
        <v>1579</v>
      </c>
    </row>
    <row r="1756" spans="1:2" x14ac:dyDescent="0.25">
      <c r="A1756" s="49">
        <v>876205470</v>
      </c>
      <c r="B1756" s="49" t="s">
        <v>539</v>
      </c>
    </row>
    <row r="1757" spans="1:2" x14ac:dyDescent="0.25">
      <c r="A1757" s="49">
        <v>907423722</v>
      </c>
      <c r="B1757" s="49" t="s">
        <v>873</v>
      </c>
    </row>
    <row r="1758" spans="1:2" x14ac:dyDescent="0.25">
      <c r="A1758" s="49">
        <v>928625598</v>
      </c>
      <c r="B1758" s="49" t="s">
        <v>1564</v>
      </c>
    </row>
    <row r="1759" spans="1:2" x14ac:dyDescent="0.25">
      <c r="A1759" s="49">
        <v>935913002</v>
      </c>
      <c r="B1759" s="49" t="s">
        <v>1414</v>
      </c>
    </row>
    <row r="1760" spans="1:2" x14ac:dyDescent="0.25">
      <c r="A1760" s="49">
        <v>1131027310</v>
      </c>
      <c r="B1760" s="49" t="s">
        <v>3656</v>
      </c>
    </row>
    <row r="1761" spans="1:2" x14ac:dyDescent="0.25">
      <c r="A1761" s="49">
        <v>1144496762</v>
      </c>
      <c r="B1761" s="49" t="s">
        <v>981</v>
      </c>
    </row>
    <row r="1762" spans="1:2" x14ac:dyDescent="0.25">
      <c r="A1762" s="49">
        <v>1148916935</v>
      </c>
      <c r="B1762" s="49" t="s">
        <v>3674</v>
      </c>
    </row>
    <row r="1763" spans="1:2" x14ac:dyDescent="0.25">
      <c r="A1763" s="49">
        <v>1191907286</v>
      </c>
      <c r="B1763" s="49" t="s">
        <v>912</v>
      </c>
    </row>
    <row r="1764" spans="1:2" x14ac:dyDescent="0.25">
      <c r="A1764" s="49">
        <v>1344978597</v>
      </c>
      <c r="B1764" s="49" t="s">
        <v>1580</v>
      </c>
    </row>
    <row r="1765" spans="1:2" x14ac:dyDescent="0.25">
      <c r="A1765" s="49">
        <v>1344964004</v>
      </c>
      <c r="B1765" s="49" t="s">
        <v>1216</v>
      </c>
    </row>
    <row r="1766" spans="1:2" x14ac:dyDescent="0.25">
      <c r="A1766" s="49">
        <v>1362309607</v>
      </c>
      <c r="B1766" s="49" t="s">
        <v>781</v>
      </c>
    </row>
    <row r="1767" spans="1:2" x14ac:dyDescent="0.25">
      <c r="A1767" s="49">
        <v>682869187</v>
      </c>
      <c r="B1767" s="49" t="s">
        <v>561</v>
      </c>
    </row>
    <row r="1768" spans="1:2" x14ac:dyDescent="0.25">
      <c r="A1768" s="49">
        <v>1110323193</v>
      </c>
      <c r="B1768" s="49" t="s">
        <v>1709</v>
      </c>
    </row>
    <row r="1769" spans="1:2" x14ac:dyDescent="0.25">
      <c r="A1769" s="49">
        <v>1133105284</v>
      </c>
      <c r="B1769" s="49" t="s">
        <v>146</v>
      </c>
    </row>
    <row r="1770" spans="1:2" x14ac:dyDescent="0.25">
      <c r="A1770" s="49">
        <v>1146940161</v>
      </c>
      <c r="B1770" s="49" t="s">
        <v>1404</v>
      </c>
    </row>
    <row r="1771" spans="1:2" x14ac:dyDescent="0.25">
      <c r="A1771" s="49">
        <v>1315413592</v>
      </c>
      <c r="B1771" s="49" t="s">
        <v>1738</v>
      </c>
    </row>
    <row r="1772" spans="1:2" x14ac:dyDescent="0.25">
      <c r="A1772" s="49">
        <v>605723965</v>
      </c>
      <c r="B1772" s="49" t="s">
        <v>1328</v>
      </c>
    </row>
    <row r="1773" spans="1:2" x14ac:dyDescent="0.25">
      <c r="A1773" s="49">
        <v>605723951</v>
      </c>
      <c r="B1773" s="49" t="s">
        <v>716</v>
      </c>
    </row>
    <row r="1774" spans="1:2" x14ac:dyDescent="0.25">
      <c r="A1774" s="49">
        <v>717083224</v>
      </c>
      <c r="B1774" s="49" t="s">
        <v>817</v>
      </c>
    </row>
    <row r="1775" spans="1:2" x14ac:dyDescent="0.25">
      <c r="A1775" s="49">
        <v>778014317</v>
      </c>
      <c r="B1775" s="49" t="s">
        <v>785</v>
      </c>
    </row>
    <row r="1776" spans="1:2" x14ac:dyDescent="0.25">
      <c r="A1776" s="49">
        <v>779462485</v>
      </c>
      <c r="B1776" s="49" t="s">
        <v>520</v>
      </c>
    </row>
    <row r="1777" spans="1:2" x14ac:dyDescent="0.25">
      <c r="A1777" s="49">
        <v>789859682</v>
      </c>
      <c r="B1777" s="49" t="s">
        <v>150</v>
      </c>
    </row>
    <row r="1778" spans="1:2" x14ac:dyDescent="0.25">
      <c r="A1778" s="49">
        <v>792141598</v>
      </c>
      <c r="B1778" s="49" t="s">
        <v>718</v>
      </c>
    </row>
    <row r="1779" spans="1:2" x14ac:dyDescent="0.25">
      <c r="A1779" s="49">
        <v>842598702</v>
      </c>
      <c r="B1779" s="49" t="s">
        <v>1198</v>
      </c>
    </row>
    <row r="1780" spans="1:2" x14ac:dyDescent="0.25">
      <c r="A1780" s="49">
        <v>918959373</v>
      </c>
      <c r="B1780" s="49" t="s">
        <v>75</v>
      </c>
    </row>
    <row r="1781" spans="1:2" x14ac:dyDescent="0.25">
      <c r="A1781" s="49">
        <v>918954845</v>
      </c>
      <c r="B1781" s="49" t="s">
        <v>76</v>
      </c>
    </row>
    <row r="1782" spans="1:2" x14ac:dyDescent="0.25">
      <c r="A1782" s="49">
        <v>928526069</v>
      </c>
      <c r="B1782" s="49" t="s">
        <v>585</v>
      </c>
    </row>
    <row r="1783" spans="1:2" x14ac:dyDescent="0.25">
      <c r="A1783" s="49">
        <v>928912562</v>
      </c>
      <c r="B1783" s="49" t="s">
        <v>56</v>
      </c>
    </row>
    <row r="1784" spans="1:2" x14ac:dyDescent="0.25">
      <c r="A1784" s="49">
        <v>933225015</v>
      </c>
      <c r="B1784" s="49" t="s">
        <v>1195</v>
      </c>
    </row>
    <row r="1785" spans="1:2" x14ac:dyDescent="0.25">
      <c r="A1785" s="49">
        <v>1185369525</v>
      </c>
      <c r="B1785" s="49" t="s">
        <v>1117</v>
      </c>
    </row>
    <row r="1786" spans="1:2" x14ac:dyDescent="0.25">
      <c r="A1786" s="49">
        <v>1207437873</v>
      </c>
      <c r="B1786" s="49" t="s">
        <v>1608</v>
      </c>
    </row>
    <row r="1787" spans="1:2" x14ac:dyDescent="0.25">
      <c r="A1787" s="49">
        <v>1289281739</v>
      </c>
      <c r="B1787" s="49" t="s">
        <v>1030</v>
      </c>
    </row>
    <row r="1788" spans="1:2" x14ac:dyDescent="0.25">
      <c r="A1788" s="49">
        <v>1315758895</v>
      </c>
      <c r="B1788" s="49" t="s">
        <v>1737</v>
      </c>
    </row>
    <row r="1789" spans="1:2" x14ac:dyDescent="0.25">
      <c r="A1789" s="49">
        <v>1340759177</v>
      </c>
      <c r="B1789" s="49" t="s">
        <v>1757</v>
      </c>
    </row>
    <row r="1790" spans="1:2" x14ac:dyDescent="0.25">
      <c r="A1790" s="49">
        <v>1399064566</v>
      </c>
      <c r="B1790" s="49" t="s">
        <v>1195</v>
      </c>
    </row>
    <row r="1791" spans="1:2" x14ac:dyDescent="0.25">
      <c r="A1791" s="49">
        <v>1447381120</v>
      </c>
      <c r="B1791" s="49" t="s">
        <v>108</v>
      </c>
    </row>
    <row r="1792" spans="1:2" x14ac:dyDescent="0.25">
      <c r="A1792" s="49">
        <v>916079476</v>
      </c>
      <c r="B1792" s="49" t="s">
        <v>1108</v>
      </c>
    </row>
    <row r="1793" spans="1:2" x14ac:dyDescent="0.25">
      <c r="A1793" s="49">
        <v>922671722</v>
      </c>
      <c r="B1793" s="49" t="s">
        <v>887</v>
      </c>
    </row>
    <row r="1794" spans="1:2" x14ac:dyDescent="0.25">
      <c r="A1794" s="49">
        <v>922927182</v>
      </c>
      <c r="B1794" s="49" t="s">
        <v>939</v>
      </c>
    </row>
    <row r="1795" spans="1:2" x14ac:dyDescent="0.25">
      <c r="A1795" s="49">
        <v>1297859420</v>
      </c>
      <c r="B1795" s="49" t="s">
        <v>1382</v>
      </c>
    </row>
    <row r="1796" spans="1:2" x14ac:dyDescent="0.25">
      <c r="A1796" s="49">
        <v>1342772139</v>
      </c>
      <c r="B1796" s="49" t="s">
        <v>1773</v>
      </c>
    </row>
    <row r="1797" spans="1:2" x14ac:dyDescent="0.25">
      <c r="A1797" s="49">
        <v>605912859</v>
      </c>
      <c r="B1797" s="49" t="s">
        <v>641</v>
      </c>
    </row>
    <row r="1798" spans="1:2" x14ac:dyDescent="0.25">
      <c r="A1798" s="49">
        <v>611295828</v>
      </c>
      <c r="B1798" s="49" t="s">
        <v>370</v>
      </c>
    </row>
    <row r="1799" spans="1:2" x14ac:dyDescent="0.25">
      <c r="A1799" s="49">
        <v>675757917</v>
      </c>
      <c r="B1799" s="49" t="s">
        <v>1177</v>
      </c>
    </row>
    <row r="1800" spans="1:2" x14ac:dyDescent="0.25">
      <c r="A1800" s="49">
        <v>675758582</v>
      </c>
      <c r="B1800" s="49" t="s">
        <v>1193</v>
      </c>
    </row>
    <row r="1801" spans="1:2" x14ac:dyDescent="0.25">
      <c r="A1801" s="49">
        <v>717832874</v>
      </c>
      <c r="B1801" s="49" t="s">
        <v>824</v>
      </c>
    </row>
    <row r="1802" spans="1:2" x14ac:dyDescent="0.25">
      <c r="A1802" s="49">
        <v>721706337</v>
      </c>
      <c r="B1802" s="49" t="s">
        <v>934</v>
      </c>
    </row>
    <row r="1803" spans="1:2" x14ac:dyDescent="0.25">
      <c r="A1803" s="49">
        <v>734110535</v>
      </c>
      <c r="B1803" s="49" t="s">
        <v>1438</v>
      </c>
    </row>
    <row r="1804" spans="1:2" x14ac:dyDescent="0.25">
      <c r="A1804" s="49">
        <v>738474986</v>
      </c>
      <c r="B1804" s="49" t="s">
        <v>588</v>
      </c>
    </row>
    <row r="1805" spans="1:2" x14ac:dyDescent="0.25">
      <c r="A1805" s="49">
        <v>754276968</v>
      </c>
      <c r="B1805" s="49" t="s">
        <v>1566</v>
      </c>
    </row>
    <row r="1806" spans="1:2" x14ac:dyDescent="0.25">
      <c r="A1806" s="49">
        <v>769162605</v>
      </c>
      <c r="B1806" s="49" t="s">
        <v>1162</v>
      </c>
    </row>
    <row r="1807" spans="1:2" x14ac:dyDescent="0.25">
      <c r="A1807" s="49">
        <v>776432281</v>
      </c>
      <c r="B1807" s="49" t="s">
        <v>664</v>
      </c>
    </row>
    <row r="1808" spans="1:2" x14ac:dyDescent="0.25">
      <c r="A1808" s="49">
        <v>730125942</v>
      </c>
      <c r="B1808" s="49" t="s">
        <v>568</v>
      </c>
    </row>
    <row r="1809" spans="1:2" x14ac:dyDescent="0.25">
      <c r="A1809" s="49">
        <v>777655849</v>
      </c>
      <c r="B1809" s="49" t="s">
        <v>326</v>
      </c>
    </row>
    <row r="1810" spans="1:2" x14ac:dyDescent="0.25">
      <c r="A1810" s="49">
        <v>782262068</v>
      </c>
      <c r="B1810" s="49" t="s">
        <v>298</v>
      </c>
    </row>
    <row r="1811" spans="1:2" x14ac:dyDescent="0.25">
      <c r="A1811" s="49">
        <v>785147193</v>
      </c>
      <c r="B1811" s="49" t="s">
        <v>734</v>
      </c>
    </row>
    <row r="1812" spans="1:2" x14ac:dyDescent="0.25">
      <c r="A1812" s="49">
        <v>785395567</v>
      </c>
      <c r="B1812" s="49" t="s">
        <v>769</v>
      </c>
    </row>
    <row r="1813" spans="1:2" x14ac:dyDescent="0.25">
      <c r="A1813" s="49">
        <v>797528631</v>
      </c>
      <c r="B1813" s="49" t="s">
        <v>648</v>
      </c>
    </row>
    <row r="1814" spans="1:2" x14ac:dyDescent="0.25">
      <c r="A1814" s="49">
        <v>801585376</v>
      </c>
      <c r="B1814" s="49" t="s">
        <v>136</v>
      </c>
    </row>
    <row r="1815" spans="1:2" x14ac:dyDescent="0.25">
      <c r="A1815" s="49">
        <v>1122305424</v>
      </c>
      <c r="B1815" s="49" t="s">
        <v>1054</v>
      </c>
    </row>
    <row r="1816" spans="1:2" x14ac:dyDescent="0.25">
      <c r="A1816" s="49">
        <v>1298997998</v>
      </c>
      <c r="B1816" s="49" t="s">
        <v>1416</v>
      </c>
    </row>
    <row r="1817" spans="1:2" x14ac:dyDescent="0.25">
      <c r="A1817" s="49">
        <v>1345319469</v>
      </c>
      <c r="B1817" s="49" t="s">
        <v>1415</v>
      </c>
    </row>
    <row r="1818" spans="1:2" x14ac:dyDescent="0.25">
      <c r="A1818" s="49">
        <v>1369396603</v>
      </c>
      <c r="B1818" s="49" t="s">
        <v>1832</v>
      </c>
    </row>
    <row r="1819" spans="1:2" x14ac:dyDescent="0.25">
      <c r="A1819" s="49">
        <v>1370926057</v>
      </c>
      <c r="B1819" s="49" t="s">
        <v>101</v>
      </c>
    </row>
    <row r="1820" spans="1:2" x14ac:dyDescent="0.25">
      <c r="A1820" s="49">
        <v>1423780710</v>
      </c>
      <c r="B1820" s="49" t="s">
        <v>1835</v>
      </c>
    </row>
    <row r="1821" spans="1:2" x14ac:dyDescent="0.25">
      <c r="A1821" s="49">
        <v>1374484373</v>
      </c>
      <c r="B1821" s="49" t="s">
        <v>1242</v>
      </c>
    </row>
    <row r="1822" spans="1:2" x14ac:dyDescent="0.25">
      <c r="A1822" s="49">
        <v>825615895</v>
      </c>
      <c r="B1822" s="49" t="s">
        <v>1493</v>
      </c>
    </row>
    <row r="1823" spans="1:2" x14ac:dyDescent="0.25">
      <c r="A1823" s="49">
        <v>715313959</v>
      </c>
      <c r="B1823" s="49" t="s">
        <v>3645</v>
      </c>
    </row>
    <row r="1824" spans="1:2" x14ac:dyDescent="0.25">
      <c r="A1824" s="49">
        <v>731839654</v>
      </c>
      <c r="B1824" s="49" t="s">
        <v>1577</v>
      </c>
    </row>
    <row r="1825" spans="1:2" x14ac:dyDescent="0.25">
      <c r="A1825" s="49">
        <v>863222658</v>
      </c>
      <c r="B1825" s="49" t="s">
        <v>1617</v>
      </c>
    </row>
    <row r="1826" spans="1:2" x14ac:dyDescent="0.25">
      <c r="A1826" s="49">
        <v>906009855</v>
      </c>
      <c r="B1826" s="49" t="s">
        <v>1097</v>
      </c>
    </row>
    <row r="1827" spans="1:2" x14ac:dyDescent="0.25">
      <c r="A1827" s="49">
        <v>917666404</v>
      </c>
      <c r="B1827" s="49" t="s">
        <v>1706</v>
      </c>
    </row>
    <row r="1828" spans="1:2" x14ac:dyDescent="0.25">
      <c r="A1828" s="49">
        <v>784476178</v>
      </c>
      <c r="B1828" s="49" t="s">
        <v>1025</v>
      </c>
    </row>
    <row r="1829" spans="1:2" x14ac:dyDescent="0.25">
      <c r="A1829" s="49">
        <v>1186155045</v>
      </c>
      <c r="B1829" s="49" t="s">
        <v>1035</v>
      </c>
    </row>
    <row r="1830" spans="1:2" x14ac:dyDescent="0.25">
      <c r="A1830" s="49">
        <v>762438598</v>
      </c>
      <c r="B1830" s="49" t="s">
        <v>1503</v>
      </c>
    </row>
    <row r="1831" spans="1:2" x14ac:dyDescent="0.25">
      <c r="A1831" s="49">
        <v>628997777</v>
      </c>
      <c r="B1831" s="49" t="s">
        <v>1327</v>
      </c>
    </row>
    <row r="1832" spans="1:2" x14ac:dyDescent="0.25">
      <c r="A1832" s="49">
        <v>641579171</v>
      </c>
      <c r="B1832" s="49" t="s">
        <v>340</v>
      </c>
    </row>
    <row r="1833" spans="1:2" x14ac:dyDescent="0.25">
      <c r="A1833" s="49">
        <v>648359672</v>
      </c>
      <c r="B1833" s="49" t="s">
        <v>611</v>
      </c>
    </row>
    <row r="1834" spans="1:2" x14ac:dyDescent="0.25">
      <c r="A1834" s="49">
        <v>717029443</v>
      </c>
      <c r="B1834" s="49" t="s">
        <v>1650</v>
      </c>
    </row>
    <row r="1835" spans="1:2" x14ac:dyDescent="0.25">
      <c r="A1835" s="49">
        <v>756397275</v>
      </c>
      <c r="B1835" s="49" t="s">
        <v>1532</v>
      </c>
    </row>
    <row r="1836" spans="1:2" x14ac:dyDescent="0.25">
      <c r="A1836" s="49">
        <v>760284077</v>
      </c>
      <c r="B1836" s="49" t="s">
        <v>1683</v>
      </c>
    </row>
    <row r="1837" spans="1:2" x14ac:dyDescent="0.25">
      <c r="A1837" s="49">
        <v>762435459</v>
      </c>
      <c r="B1837" s="49" t="s">
        <v>294</v>
      </c>
    </row>
    <row r="1838" spans="1:2" x14ac:dyDescent="0.25">
      <c r="A1838" s="49">
        <v>781347169</v>
      </c>
      <c r="B1838" s="49" t="s">
        <v>1114</v>
      </c>
    </row>
    <row r="1839" spans="1:2" x14ac:dyDescent="0.25">
      <c r="A1839" s="49">
        <v>816550556</v>
      </c>
      <c r="B1839" s="49" t="s">
        <v>577</v>
      </c>
    </row>
    <row r="1840" spans="1:2" x14ac:dyDescent="0.25">
      <c r="A1840" s="49">
        <v>826588463</v>
      </c>
      <c r="B1840" s="49" t="s">
        <v>1570</v>
      </c>
    </row>
    <row r="1841" spans="1:2" x14ac:dyDescent="0.25">
      <c r="A1841" s="49">
        <v>1158353691</v>
      </c>
      <c r="B1841" s="49" t="s">
        <v>242</v>
      </c>
    </row>
    <row r="1842" spans="1:2" x14ac:dyDescent="0.25">
      <c r="A1842" s="49">
        <v>1181871889</v>
      </c>
      <c r="B1842" s="49" t="s">
        <v>249</v>
      </c>
    </row>
    <row r="1843" spans="1:2" x14ac:dyDescent="0.25">
      <c r="A1843" s="49">
        <v>1216911913</v>
      </c>
      <c r="B1843" s="49" t="s">
        <v>1597</v>
      </c>
    </row>
    <row r="1844" spans="1:2" x14ac:dyDescent="0.25">
      <c r="A1844" s="49">
        <v>1346087252</v>
      </c>
      <c r="B1844" s="49" t="s">
        <v>1795</v>
      </c>
    </row>
    <row r="1845" spans="1:2" x14ac:dyDescent="0.25">
      <c r="A1845" s="49">
        <v>1368558331</v>
      </c>
      <c r="B1845" s="49" t="s">
        <v>1830</v>
      </c>
    </row>
    <row r="1846" spans="1:2" x14ac:dyDescent="0.25">
      <c r="A1846" s="49">
        <v>1370196713</v>
      </c>
      <c r="B1846" s="49" t="s">
        <v>1834</v>
      </c>
    </row>
    <row r="1847" spans="1:2" x14ac:dyDescent="0.25">
      <c r="A1847" s="49">
        <v>1373081841</v>
      </c>
      <c r="B1847" s="49" t="s">
        <v>711</v>
      </c>
    </row>
    <row r="1848" spans="1:2" x14ac:dyDescent="0.25">
      <c r="A1848" s="49">
        <v>622847066</v>
      </c>
      <c r="B1848" s="49" t="s">
        <v>1056</v>
      </c>
    </row>
    <row r="1849" spans="1:2" x14ac:dyDescent="0.25">
      <c r="A1849" s="49">
        <v>701712795</v>
      </c>
      <c r="B1849" s="49" t="s">
        <v>875</v>
      </c>
    </row>
    <row r="1850" spans="1:2" x14ac:dyDescent="0.25">
      <c r="A1850" s="49">
        <v>921401129</v>
      </c>
      <c r="B1850" s="49" t="s">
        <v>206</v>
      </c>
    </row>
    <row r="1851" spans="1:2" x14ac:dyDescent="0.25">
      <c r="A1851" s="49">
        <v>776562969</v>
      </c>
      <c r="B1851" s="49" t="s">
        <v>570</v>
      </c>
    </row>
    <row r="1852" spans="1:2" x14ac:dyDescent="0.25">
      <c r="A1852" s="49">
        <v>1182145563</v>
      </c>
      <c r="B1852" s="49" t="s">
        <v>1710</v>
      </c>
    </row>
    <row r="1853" spans="1:2" x14ac:dyDescent="0.25">
      <c r="A1853" s="49">
        <v>1184769558</v>
      </c>
      <c r="B1853" s="49" t="s">
        <v>1416</v>
      </c>
    </row>
    <row r="1854" spans="1:2" x14ac:dyDescent="0.25">
      <c r="A1854" s="49">
        <v>1341130682</v>
      </c>
      <c r="B1854" s="49" t="s">
        <v>1761</v>
      </c>
    </row>
    <row r="1855" spans="1:2" x14ac:dyDescent="0.25">
      <c r="A1855" s="49">
        <v>612229226</v>
      </c>
      <c r="B1855" s="49" t="s">
        <v>1084</v>
      </c>
    </row>
    <row r="1856" spans="1:2" x14ac:dyDescent="0.25">
      <c r="A1856" s="49">
        <v>641415463</v>
      </c>
      <c r="B1856" s="49" t="s">
        <v>615</v>
      </c>
    </row>
    <row r="1857" spans="1:2" x14ac:dyDescent="0.25">
      <c r="A1857" s="49">
        <v>684419434</v>
      </c>
      <c r="B1857" s="49" t="s">
        <v>224</v>
      </c>
    </row>
    <row r="1858" spans="1:2" x14ac:dyDescent="0.25">
      <c r="A1858" s="49">
        <v>685116161</v>
      </c>
      <c r="B1858" s="49" t="s">
        <v>246</v>
      </c>
    </row>
    <row r="1859" spans="1:2" x14ac:dyDescent="0.25">
      <c r="A1859" s="49">
        <v>689109125</v>
      </c>
      <c r="B1859" s="49" t="s">
        <v>1206</v>
      </c>
    </row>
    <row r="1860" spans="1:2" x14ac:dyDescent="0.25">
      <c r="A1860" s="49">
        <v>743416042</v>
      </c>
      <c r="B1860" s="49" t="s">
        <v>182</v>
      </c>
    </row>
    <row r="1861" spans="1:2" x14ac:dyDescent="0.25">
      <c r="A1861" s="49">
        <v>743623067</v>
      </c>
      <c r="B1861" s="49" t="s">
        <v>656</v>
      </c>
    </row>
    <row r="1862" spans="1:2" x14ac:dyDescent="0.25">
      <c r="A1862" s="49">
        <v>758481568</v>
      </c>
      <c r="B1862" s="49" t="s">
        <v>1635</v>
      </c>
    </row>
    <row r="1863" spans="1:2" x14ac:dyDescent="0.25">
      <c r="A1863" s="49">
        <v>760286422</v>
      </c>
      <c r="B1863" s="49" t="s">
        <v>341</v>
      </c>
    </row>
    <row r="1864" spans="1:2" x14ac:dyDescent="0.25">
      <c r="A1864" s="49">
        <v>777655339</v>
      </c>
      <c r="B1864" s="49" t="s">
        <v>356</v>
      </c>
    </row>
    <row r="1865" spans="1:2" x14ac:dyDescent="0.25">
      <c r="A1865" s="49">
        <v>777653615</v>
      </c>
      <c r="B1865" s="49" t="s">
        <v>357</v>
      </c>
    </row>
    <row r="1866" spans="1:2" x14ac:dyDescent="0.25">
      <c r="A1866" s="49">
        <v>778961407</v>
      </c>
      <c r="B1866" s="49" t="s">
        <v>524</v>
      </c>
    </row>
    <row r="1867" spans="1:2" x14ac:dyDescent="0.25">
      <c r="A1867" s="49">
        <v>794798291</v>
      </c>
      <c r="B1867" s="49" t="s">
        <v>1400</v>
      </c>
    </row>
    <row r="1868" spans="1:2" x14ac:dyDescent="0.25">
      <c r="A1868" s="49">
        <v>868111366</v>
      </c>
      <c r="B1868" s="49" t="s">
        <v>380</v>
      </c>
    </row>
    <row r="1869" spans="1:2" x14ac:dyDescent="0.25">
      <c r="A1869" s="49">
        <v>878207963</v>
      </c>
      <c r="B1869" s="49" t="s">
        <v>953</v>
      </c>
    </row>
    <row r="1870" spans="1:2" x14ac:dyDescent="0.25">
      <c r="A1870" s="49">
        <v>918989095</v>
      </c>
      <c r="B1870" s="49" t="s">
        <v>85</v>
      </c>
    </row>
    <row r="1871" spans="1:2" x14ac:dyDescent="0.25">
      <c r="A1871" s="49">
        <v>1103709140</v>
      </c>
      <c r="B1871" s="49" t="s">
        <v>869</v>
      </c>
    </row>
    <row r="1872" spans="1:2" x14ac:dyDescent="0.25">
      <c r="A1872" s="49">
        <v>1149751446</v>
      </c>
      <c r="B1872" s="49" t="s">
        <v>1502</v>
      </c>
    </row>
    <row r="1873" spans="1:2" x14ac:dyDescent="0.25">
      <c r="A1873" s="49">
        <v>1150852397</v>
      </c>
      <c r="B1873" s="49" t="s">
        <v>276</v>
      </c>
    </row>
    <row r="1874" spans="1:2" x14ac:dyDescent="0.25">
      <c r="A1874" s="49">
        <v>1285873616</v>
      </c>
      <c r="B1874" s="49" t="s">
        <v>1730</v>
      </c>
    </row>
    <row r="1875" spans="1:2" x14ac:dyDescent="0.25">
      <c r="A1875" s="49">
        <v>1298848348</v>
      </c>
      <c r="B1875" s="49" t="s">
        <v>1735</v>
      </c>
    </row>
    <row r="1876" spans="1:2" x14ac:dyDescent="0.25">
      <c r="A1876" s="49">
        <v>1345728408</v>
      </c>
      <c r="B1876" s="49" t="s">
        <v>1798</v>
      </c>
    </row>
    <row r="1877" spans="1:2" x14ac:dyDescent="0.25">
      <c r="A1877" s="49">
        <v>1377611811</v>
      </c>
      <c r="B1877" s="49" t="s">
        <v>1465</v>
      </c>
    </row>
    <row r="1878" spans="1:2" x14ac:dyDescent="0.25">
      <c r="A1878" s="49">
        <v>714562826</v>
      </c>
      <c r="B1878" s="49" t="s">
        <v>1601</v>
      </c>
    </row>
    <row r="1879" spans="1:2" x14ac:dyDescent="0.25">
      <c r="A1879" s="49">
        <v>917663017</v>
      </c>
      <c r="B1879" s="49" t="s">
        <v>1713</v>
      </c>
    </row>
    <row r="1880" spans="1:2" x14ac:dyDescent="0.25">
      <c r="A1880" s="49">
        <v>935706817</v>
      </c>
      <c r="B1880" s="49" t="s">
        <v>434</v>
      </c>
    </row>
    <row r="1881" spans="1:2" x14ac:dyDescent="0.25">
      <c r="A1881" s="49">
        <v>1136247435</v>
      </c>
      <c r="B1881" s="49" t="s">
        <v>1347</v>
      </c>
    </row>
    <row r="1882" spans="1:2" x14ac:dyDescent="0.25">
      <c r="A1882" s="49">
        <v>1171068403</v>
      </c>
      <c r="B1882" s="49" t="s">
        <v>885</v>
      </c>
    </row>
    <row r="1883" spans="1:2" x14ac:dyDescent="0.25">
      <c r="A1883" s="49">
        <v>1315355741</v>
      </c>
      <c r="B1883" s="49" t="s">
        <v>1738</v>
      </c>
    </row>
    <row r="1884" spans="1:2" x14ac:dyDescent="0.25">
      <c r="A1884" s="49">
        <v>1344819600</v>
      </c>
      <c r="B1884" s="49" t="s">
        <v>1776</v>
      </c>
    </row>
    <row r="1885" spans="1:2" x14ac:dyDescent="0.25">
      <c r="A1885" s="49">
        <v>612469173</v>
      </c>
      <c r="B1885" s="49" t="s">
        <v>395</v>
      </c>
    </row>
    <row r="1886" spans="1:2" x14ac:dyDescent="0.25">
      <c r="A1886" s="49">
        <v>641154026</v>
      </c>
      <c r="B1886" s="49" t="s">
        <v>1124</v>
      </c>
    </row>
    <row r="1887" spans="1:2" x14ac:dyDescent="0.25">
      <c r="A1887" s="49">
        <v>738462689</v>
      </c>
      <c r="B1887" s="49" t="s">
        <v>589</v>
      </c>
    </row>
    <row r="1888" spans="1:2" x14ac:dyDescent="0.25">
      <c r="A1888" s="49">
        <v>752218632</v>
      </c>
      <c r="B1888" s="49" t="s">
        <v>3639</v>
      </c>
    </row>
    <row r="1889" spans="1:2" x14ac:dyDescent="0.25">
      <c r="A1889" s="49">
        <v>780835818</v>
      </c>
      <c r="B1889" s="49" t="s">
        <v>407</v>
      </c>
    </row>
    <row r="1890" spans="1:2" x14ac:dyDescent="0.25">
      <c r="A1890" s="49">
        <v>785196113</v>
      </c>
      <c r="B1890" s="49" t="s">
        <v>742</v>
      </c>
    </row>
    <row r="1891" spans="1:2" x14ac:dyDescent="0.25">
      <c r="A1891" s="49">
        <v>788873851</v>
      </c>
      <c r="B1891" s="49" t="s">
        <v>1611</v>
      </c>
    </row>
    <row r="1892" spans="1:2" x14ac:dyDescent="0.25">
      <c r="A1892" s="49">
        <v>831040304</v>
      </c>
      <c r="B1892" s="49" t="s">
        <v>1240</v>
      </c>
    </row>
    <row r="1893" spans="1:2" x14ac:dyDescent="0.25">
      <c r="A1893" s="49">
        <v>835623996</v>
      </c>
      <c r="B1893" s="49" t="s">
        <v>1348</v>
      </c>
    </row>
    <row r="1894" spans="1:2" x14ac:dyDescent="0.25">
      <c r="A1894" s="49">
        <v>839683569</v>
      </c>
      <c r="B1894" s="49" t="s">
        <v>731</v>
      </c>
    </row>
    <row r="1895" spans="1:2" x14ac:dyDescent="0.25">
      <c r="A1895" s="49">
        <v>865210042</v>
      </c>
      <c r="B1895" s="49" t="s">
        <v>971</v>
      </c>
    </row>
    <row r="1896" spans="1:2" x14ac:dyDescent="0.25">
      <c r="A1896" s="49">
        <v>868766333</v>
      </c>
      <c r="B1896" s="49" t="s">
        <v>389</v>
      </c>
    </row>
    <row r="1897" spans="1:2" x14ac:dyDescent="0.25">
      <c r="A1897" s="49">
        <v>876197450</v>
      </c>
      <c r="B1897" s="49" t="s">
        <v>541</v>
      </c>
    </row>
    <row r="1898" spans="1:2" x14ac:dyDescent="0.25">
      <c r="A1898" s="49">
        <v>913674054</v>
      </c>
      <c r="B1898" s="49" t="s">
        <v>1479</v>
      </c>
    </row>
    <row r="1899" spans="1:2" x14ac:dyDescent="0.25">
      <c r="A1899" s="49">
        <v>918965334</v>
      </c>
      <c r="B1899" s="49" t="s">
        <v>94</v>
      </c>
    </row>
    <row r="1900" spans="1:2" x14ac:dyDescent="0.25">
      <c r="A1900" s="49">
        <v>923453727</v>
      </c>
      <c r="B1900" s="49" t="s">
        <v>947</v>
      </c>
    </row>
    <row r="1901" spans="1:2" x14ac:dyDescent="0.25">
      <c r="A1901" s="49">
        <v>928527883</v>
      </c>
      <c r="B1901" s="49" t="s">
        <v>1451</v>
      </c>
    </row>
    <row r="1902" spans="1:2" x14ac:dyDescent="0.25">
      <c r="A1902" s="49">
        <v>933682503</v>
      </c>
      <c r="B1902" s="49" t="s">
        <v>662</v>
      </c>
    </row>
    <row r="1903" spans="1:2" x14ac:dyDescent="0.25">
      <c r="A1903" s="49">
        <v>1105676010</v>
      </c>
      <c r="B1903" s="49" t="s">
        <v>1678</v>
      </c>
    </row>
    <row r="1904" spans="1:2" x14ac:dyDescent="0.25">
      <c r="A1904" s="49">
        <v>1105675975</v>
      </c>
      <c r="B1904" s="49" t="s">
        <v>1592</v>
      </c>
    </row>
    <row r="1905" spans="1:2" x14ac:dyDescent="0.25">
      <c r="A1905" s="49">
        <v>1122735820</v>
      </c>
      <c r="B1905" s="49" t="s">
        <v>997</v>
      </c>
    </row>
    <row r="1906" spans="1:2" x14ac:dyDescent="0.25">
      <c r="A1906" s="49">
        <v>1281964252</v>
      </c>
      <c r="B1906" s="49" t="s">
        <v>1599</v>
      </c>
    </row>
    <row r="1907" spans="1:2" x14ac:dyDescent="0.25">
      <c r="A1907" s="49">
        <v>1341126642</v>
      </c>
      <c r="B1907" s="49" t="s">
        <v>1759</v>
      </c>
    </row>
    <row r="1908" spans="1:2" x14ac:dyDescent="0.25">
      <c r="A1908" s="49">
        <v>1377092210</v>
      </c>
      <c r="B1908" s="49" t="s">
        <v>1813</v>
      </c>
    </row>
    <row r="1909" spans="1:2" x14ac:dyDescent="0.25">
      <c r="A1909" s="49">
        <v>1432342938</v>
      </c>
      <c r="B1909" s="49" t="s">
        <v>1163</v>
      </c>
    </row>
    <row r="1910" spans="1:2" x14ac:dyDescent="0.25">
      <c r="A1910" s="49">
        <v>1374484443</v>
      </c>
      <c r="B1910" s="49" t="s">
        <v>1530</v>
      </c>
    </row>
    <row r="1911" spans="1:2" x14ac:dyDescent="0.25">
      <c r="A1911" s="49">
        <v>1376670813</v>
      </c>
      <c r="B1911" s="49" t="s">
        <v>1473</v>
      </c>
    </row>
    <row r="1912" spans="1:2" x14ac:dyDescent="0.25">
      <c r="A1912" s="49">
        <v>899205840</v>
      </c>
      <c r="B1912" s="49" t="s">
        <v>1131</v>
      </c>
    </row>
    <row r="1913" spans="1:2" x14ac:dyDescent="0.25">
      <c r="A1913" s="49">
        <v>901682286</v>
      </c>
      <c r="B1913" s="49" t="s">
        <v>1174</v>
      </c>
    </row>
    <row r="1914" spans="1:2" x14ac:dyDescent="0.25">
      <c r="A1914" s="49">
        <v>609325981</v>
      </c>
      <c r="B1914" s="49" t="s">
        <v>1184</v>
      </c>
    </row>
    <row r="1915" spans="1:2" x14ac:dyDescent="0.25">
      <c r="A1915" s="49">
        <v>906014762</v>
      </c>
      <c r="B1915" s="49" t="s">
        <v>951</v>
      </c>
    </row>
    <row r="1916" spans="1:2" x14ac:dyDescent="0.25">
      <c r="A1916" s="49">
        <v>605724017</v>
      </c>
      <c r="B1916" s="49" t="s">
        <v>416</v>
      </c>
    </row>
    <row r="1917" spans="1:2" x14ac:dyDescent="0.25">
      <c r="A1917" s="49">
        <v>605724254</v>
      </c>
      <c r="B1917" s="49" t="s">
        <v>1027</v>
      </c>
    </row>
    <row r="1918" spans="1:2" x14ac:dyDescent="0.25">
      <c r="A1918" s="49">
        <v>1147193698</v>
      </c>
      <c r="B1918" s="49" t="s">
        <v>1523</v>
      </c>
    </row>
    <row r="1919" spans="1:2" x14ac:dyDescent="0.25">
      <c r="A1919" s="49">
        <v>1183913311</v>
      </c>
      <c r="B1919" s="49" t="s">
        <v>999</v>
      </c>
    </row>
    <row r="1920" spans="1:2" x14ac:dyDescent="0.25">
      <c r="A1920" s="49">
        <v>1339318028</v>
      </c>
      <c r="B1920" s="49" t="s">
        <v>1746</v>
      </c>
    </row>
    <row r="1921" spans="1:2" x14ac:dyDescent="0.25">
      <c r="A1921" s="49">
        <v>1396117436</v>
      </c>
      <c r="B1921" s="49" t="s">
        <v>894</v>
      </c>
    </row>
    <row r="1922" spans="1:2" x14ac:dyDescent="0.25">
      <c r="A1922" s="49">
        <v>617140732</v>
      </c>
      <c r="B1922" s="49" t="s">
        <v>296</v>
      </c>
    </row>
    <row r="1923" spans="1:2" x14ac:dyDescent="0.25">
      <c r="A1923" s="49">
        <v>623173376</v>
      </c>
      <c r="B1923" s="49" t="s">
        <v>1046</v>
      </c>
    </row>
    <row r="1924" spans="1:2" x14ac:dyDescent="0.25">
      <c r="A1924" s="49">
        <v>625958946</v>
      </c>
      <c r="B1924" s="49" t="s">
        <v>526</v>
      </c>
    </row>
    <row r="1925" spans="1:2" x14ac:dyDescent="0.25">
      <c r="A1925" s="49">
        <v>641901966</v>
      </c>
      <c r="B1925" s="49" t="s">
        <v>647</v>
      </c>
    </row>
    <row r="1926" spans="1:2" x14ac:dyDescent="0.25">
      <c r="A1926" s="49">
        <v>648298902</v>
      </c>
      <c r="B1926" s="49" t="s">
        <v>1590</v>
      </c>
    </row>
    <row r="1927" spans="1:2" x14ac:dyDescent="0.25">
      <c r="A1927" s="49">
        <v>659136188</v>
      </c>
      <c r="B1927" s="49" t="s">
        <v>1297</v>
      </c>
    </row>
    <row r="1928" spans="1:2" x14ac:dyDescent="0.25">
      <c r="A1928" s="49">
        <v>689722513</v>
      </c>
      <c r="B1928" s="49" t="s">
        <v>1304</v>
      </c>
    </row>
    <row r="1929" spans="1:2" x14ac:dyDescent="0.25">
      <c r="A1929" s="49">
        <v>754562083</v>
      </c>
      <c r="B1929" s="49" t="s">
        <v>995</v>
      </c>
    </row>
    <row r="1930" spans="1:2" x14ac:dyDescent="0.25">
      <c r="A1930" s="49">
        <v>758402010</v>
      </c>
      <c r="B1930" s="49" t="s">
        <v>915</v>
      </c>
    </row>
    <row r="1931" spans="1:2" x14ac:dyDescent="0.25">
      <c r="A1931" s="49">
        <v>776560237</v>
      </c>
      <c r="B1931" s="49" t="s">
        <v>498</v>
      </c>
    </row>
    <row r="1932" spans="1:2" x14ac:dyDescent="0.25">
      <c r="A1932" s="49">
        <v>776742463</v>
      </c>
      <c r="B1932" s="49" t="s">
        <v>646</v>
      </c>
    </row>
    <row r="1933" spans="1:2" x14ac:dyDescent="0.25">
      <c r="A1933" s="49">
        <v>779460739</v>
      </c>
      <c r="B1933" s="49" t="s">
        <v>401</v>
      </c>
    </row>
    <row r="1934" spans="1:2" x14ac:dyDescent="0.25">
      <c r="A1934" s="49">
        <v>780816049</v>
      </c>
      <c r="B1934" s="49" t="s">
        <v>657</v>
      </c>
    </row>
    <row r="1935" spans="1:2" x14ac:dyDescent="0.25">
      <c r="A1935" s="49">
        <v>780784524</v>
      </c>
      <c r="B1935" s="49" t="s">
        <v>1074</v>
      </c>
    </row>
    <row r="1936" spans="1:2" x14ac:dyDescent="0.25">
      <c r="A1936" s="49">
        <v>781816951</v>
      </c>
      <c r="B1936" s="49" t="s">
        <v>133</v>
      </c>
    </row>
    <row r="1937" spans="1:2" x14ac:dyDescent="0.25">
      <c r="A1937" s="49">
        <v>785332280</v>
      </c>
      <c r="B1937" s="49" t="s">
        <v>746</v>
      </c>
    </row>
    <row r="1938" spans="1:2" x14ac:dyDescent="0.25">
      <c r="A1938" s="49">
        <v>794742789</v>
      </c>
      <c r="B1938" s="49" t="s">
        <v>309</v>
      </c>
    </row>
    <row r="1939" spans="1:2" x14ac:dyDescent="0.25">
      <c r="A1939" s="49">
        <v>858821165</v>
      </c>
      <c r="B1939" s="49" t="s">
        <v>1520</v>
      </c>
    </row>
    <row r="1940" spans="1:2" x14ac:dyDescent="0.25">
      <c r="A1940" s="49">
        <v>869415468</v>
      </c>
      <c r="B1940" s="49" t="s">
        <v>244</v>
      </c>
    </row>
    <row r="1941" spans="1:2" x14ac:dyDescent="0.25">
      <c r="A1941" s="49">
        <v>1103847589</v>
      </c>
      <c r="B1941" s="49" t="s">
        <v>314</v>
      </c>
    </row>
    <row r="1942" spans="1:2" x14ac:dyDescent="0.25">
      <c r="A1942" s="49">
        <v>1144034058</v>
      </c>
      <c r="B1942" s="49" t="s">
        <v>1158</v>
      </c>
    </row>
    <row r="1943" spans="1:2" x14ac:dyDescent="0.25">
      <c r="A1943" s="49">
        <v>1340758866</v>
      </c>
      <c r="B1943" s="49" t="s">
        <v>1756</v>
      </c>
    </row>
    <row r="1944" spans="1:2" x14ac:dyDescent="0.25">
      <c r="A1944" s="49">
        <v>1432412540</v>
      </c>
      <c r="B1944" s="49" t="s">
        <v>1232</v>
      </c>
    </row>
    <row r="1945" spans="1:2" x14ac:dyDescent="0.25">
      <c r="A1945" s="49">
        <v>846081240</v>
      </c>
      <c r="B1945" s="49" t="s">
        <v>446</v>
      </c>
    </row>
    <row r="1946" spans="1:2" x14ac:dyDescent="0.25">
      <c r="A1946" s="49">
        <v>857198536</v>
      </c>
      <c r="B1946" s="49" t="s">
        <v>61</v>
      </c>
    </row>
    <row r="1947" spans="1:2" x14ac:dyDescent="0.25">
      <c r="A1947" s="49">
        <v>1144197790</v>
      </c>
      <c r="B1947" s="49" t="s">
        <v>1254</v>
      </c>
    </row>
    <row r="1948" spans="1:2" x14ac:dyDescent="0.25">
      <c r="A1948" s="49">
        <v>1341027285</v>
      </c>
      <c r="B1948" s="49" t="s">
        <v>1761</v>
      </c>
    </row>
    <row r="1949" spans="1:2" x14ac:dyDescent="0.25">
      <c r="A1949" s="49">
        <v>606188501</v>
      </c>
      <c r="B1949" s="49" t="s">
        <v>287</v>
      </c>
    </row>
    <row r="1950" spans="1:2" x14ac:dyDescent="0.25">
      <c r="A1950" s="49">
        <v>607616756</v>
      </c>
      <c r="B1950" s="49" t="s">
        <v>703</v>
      </c>
    </row>
    <row r="1951" spans="1:2" x14ac:dyDescent="0.25">
      <c r="A1951" s="49">
        <v>701858563</v>
      </c>
      <c r="B1951" s="49" t="s">
        <v>346</v>
      </c>
    </row>
    <row r="1952" spans="1:2" x14ac:dyDescent="0.25">
      <c r="A1952" s="49">
        <v>734153502</v>
      </c>
      <c r="B1952" s="49" t="s">
        <v>1500</v>
      </c>
    </row>
    <row r="1953" spans="1:2" x14ac:dyDescent="0.25">
      <c r="A1953" s="49">
        <v>765928079</v>
      </c>
      <c r="B1953" s="49" t="s">
        <v>831</v>
      </c>
    </row>
    <row r="1954" spans="1:2" x14ac:dyDescent="0.25">
      <c r="A1954" s="49">
        <v>776790839</v>
      </c>
      <c r="B1954" s="49" t="s">
        <v>1568</v>
      </c>
    </row>
    <row r="1955" spans="1:2" x14ac:dyDescent="0.25">
      <c r="A1955" s="49">
        <v>777600650</v>
      </c>
      <c r="B1955" s="49" t="s">
        <v>704</v>
      </c>
    </row>
    <row r="1956" spans="1:2" x14ac:dyDescent="0.25">
      <c r="A1956" s="49">
        <v>778432406</v>
      </c>
      <c r="B1956" s="49" t="s">
        <v>709</v>
      </c>
    </row>
    <row r="1957" spans="1:2" x14ac:dyDescent="0.25">
      <c r="A1957" s="49">
        <v>782119363</v>
      </c>
      <c r="B1957" s="49" t="s">
        <v>1279</v>
      </c>
    </row>
    <row r="1958" spans="1:2" x14ac:dyDescent="0.25">
      <c r="A1958" s="49">
        <v>784343531</v>
      </c>
      <c r="B1958" s="49" t="s">
        <v>680</v>
      </c>
    </row>
    <row r="1959" spans="1:2" x14ac:dyDescent="0.25">
      <c r="A1959" s="49">
        <v>784479713</v>
      </c>
      <c r="B1959" s="49" t="s">
        <v>985</v>
      </c>
    </row>
    <row r="1960" spans="1:2" x14ac:dyDescent="0.25">
      <c r="A1960" s="49">
        <v>792143129</v>
      </c>
      <c r="B1960" s="49" t="s">
        <v>503</v>
      </c>
    </row>
    <row r="1961" spans="1:2" x14ac:dyDescent="0.25">
      <c r="A1961" s="49">
        <v>819131416</v>
      </c>
      <c r="B1961" s="49" t="s">
        <v>626</v>
      </c>
    </row>
    <row r="1962" spans="1:2" x14ac:dyDescent="0.25">
      <c r="A1962" s="49">
        <v>826454917</v>
      </c>
      <c r="B1962" s="49" t="s">
        <v>269</v>
      </c>
    </row>
    <row r="1963" spans="1:2" x14ac:dyDescent="0.25">
      <c r="A1963" s="49">
        <v>865784329</v>
      </c>
      <c r="B1963" s="49" t="s">
        <v>1376</v>
      </c>
    </row>
    <row r="1964" spans="1:2" x14ac:dyDescent="0.25">
      <c r="A1964" s="49">
        <v>867413668</v>
      </c>
      <c r="B1964" s="49" t="s">
        <v>1137</v>
      </c>
    </row>
    <row r="1965" spans="1:2" x14ac:dyDescent="0.25">
      <c r="A1965" s="49">
        <v>898142805</v>
      </c>
      <c r="B1965" s="49" t="s">
        <v>3658</v>
      </c>
    </row>
    <row r="1966" spans="1:2" x14ac:dyDescent="0.25">
      <c r="A1966" s="49">
        <v>906021801</v>
      </c>
      <c r="B1966" s="49" t="s">
        <v>551</v>
      </c>
    </row>
    <row r="1967" spans="1:2" x14ac:dyDescent="0.25">
      <c r="A1967" s="49">
        <v>907415728</v>
      </c>
      <c r="B1967" s="49" t="s">
        <v>870</v>
      </c>
    </row>
    <row r="1968" spans="1:2" x14ac:dyDescent="0.25">
      <c r="A1968" s="49">
        <v>912646024</v>
      </c>
      <c r="B1968" s="49" t="s">
        <v>946</v>
      </c>
    </row>
    <row r="1969" spans="1:2" x14ac:dyDescent="0.25">
      <c r="A1969" s="49">
        <v>913076944</v>
      </c>
      <c r="B1969" s="49" t="s">
        <v>1202</v>
      </c>
    </row>
    <row r="1970" spans="1:2" x14ac:dyDescent="0.25">
      <c r="A1970" s="49">
        <v>928521654</v>
      </c>
      <c r="B1970" s="49" t="s">
        <v>1574</v>
      </c>
    </row>
    <row r="1971" spans="1:2" x14ac:dyDescent="0.25">
      <c r="A1971" s="49">
        <v>935724651</v>
      </c>
      <c r="B1971" s="49" t="s">
        <v>907</v>
      </c>
    </row>
    <row r="1972" spans="1:2" x14ac:dyDescent="0.25">
      <c r="A1972" s="49">
        <v>935912971</v>
      </c>
      <c r="B1972" s="49" t="s">
        <v>1414</v>
      </c>
    </row>
    <row r="1973" spans="1:2" x14ac:dyDescent="0.25">
      <c r="A1973" s="49">
        <v>1111223698</v>
      </c>
      <c r="B1973" s="49" t="s">
        <v>837</v>
      </c>
    </row>
    <row r="1974" spans="1:2" x14ac:dyDescent="0.25">
      <c r="A1974" s="49">
        <v>1139172802</v>
      </c>
      <c r="B1974" s="49" t="s">
        <v>1052</v>
      </c>
    </row>
    <row r="1975" spans="1:2" x14ac:dyDescent="0.25">
      <c r="A1975" s="49">
        <v>1147495296</v>
      </c>
      <c r="B1975" s="49" t="s">
        <v>1604</v>
      </c>
    </row>
    <row r="1976" spans="1:2" x14ac:dyDescent="0.25">
      <c r="A1976" s="49">
        <v>1410690084</v>
      </c>
      <c r="B1976" s="49" t="s">
        <v>1830</v>
      </c>
    </row>
    <row r="1977" spans="1:2" x14ac:dyDescent="0.25">
      <c r="A1977" s="49">
        <v>618916390</v>
      </c>
      <c r="B1977" s="49" t="s">
        <v>1015</v>
      </c>
    </row>
    <row r="1978" spans="1:2" x14ac:dyDescent="0.25">
      <c r="A1978" s="49">
        <v>643848596</v>
      </c>
      <c r="B1978" s="49" t="s">
        <v>1033</v>
      </c>
    </row>
    <row r="1979" spans="1:2" x14ac:dyDescent="0.25">
      <c r="A1979" s="49">
        <v>704107739</v>
      </c>
      <c r="B1979" s="49" t="s">
        <v>1491</v>
      </c>
    </row>
    <row r="1980" spans="1:2" x14ac:dyDescent="0.25">
      <c r="A1980" s="49">
        <v>786233498</v>
      </c>
      <c r="B1980" s="49" t="s">
        <v>55</v>
      </c>
    </row>
    <row r="1981" spans="1:2" x14ac:dyDescent="0.25">
      <c r="A1981" s="49">
        <v>857202432</v>
      </c>
      <c r="B1981" s="49" t="s">
        <v>65</v>
      </c>
    </row>
    <row r="1982" spans="1:2" x14ac:dyDescent="0.25">
      <c r="A1982" s="49">
        <v>1249805704</v>
      </c>
      <c r="B1982" s="49" t="s">
        <v>1726</v>
      </c>
    </row>
    <row r="1983" spans="1:2" x14ac:dyDescent="0.25">
      <c r="A1983" s="49">
        <v>839682540</v>
      </c>
      <c r="B1983" s="49" t="s">
        <v>731</v>
      </c>
    </row>
    <row r="1984" spans="1:2" x14ac:dyDescent="0.25">
      <c r="A1984" s="49">
        <v>1377951308</v>
      </c>
      <c r="B1984" s="49" t="s">
        <v>1820</v>
      </c>
    </row>
    <row r="1985" spans="1:2" x14ac:dyDescent="0.25">
      <c r="A1985" s="49">
        <v>611410341</v>
      </c>
      <c r="B1985" s="49" t="s">
        <v>3668</v>
      </c>
    </row>
    <row r="1986" spans="1:2" x14ac:dyDescent="0.25">
      <c r="A1986" s="49">
        <v>622549501</v>
      </c>
      <c r="B1986" s="49" t="s">
        <v>1047</v>
      </c>
    </row>
    <row r="1987" spans="1:2" x14ac:dyDescent="0.25">
      <c r="A1987" s="49">
        <v>639784150</v>
      </c>
      <c r="B1987" s="49" t="s">
        <v>1514</v>
      </c>
    </row>
    <row r="1988" spans="1:2" x14ac:dyDescent="0.25">
      <c r="A1988" s="49">
        <v>656391459</v>
      </c>
      <c r="B1988" s="49" t="s">
        <v>1639</v>
      </c>
    </row>
    <row r="1989" spans="1:2" x14ac:dyDescent="0.25">
      <c r="A1989" s="49">
        <v>676084133</v>
      </c>
      <c r="B1989" s="49" t="s">
        <v>1535</v>
      </c>
    </row>
    <row r="1990" spans="1:2" x14ac:dyDescent="0.25">
      <c r="A1990" s="49">
        <v>698539807</v>
      </c>
      <c r="B1990" s="49" t="s">
        <v>525</v>
      </c>
    </row>
    <row r="1991" spans="1:2" x14ac:dyDescent="0.25">
      <c r="A1991" s="49">
        <v>701154101</v>
      </c>
      <c r="B1991" s="49" t="s">
        <v>1308</v>
      </c>
    </row>
    <row r="1992" spans="1:2" x14ac:dyDescent="0.25">
      <c r="A1992" s="49">
        <v>721389660</v>
      </c>
      <c r="B1992" s="49" t="s">
        <v>974</v>
      </c>
    </row>
    <row r="1993" spans="1:2" x14ac:dyDescent="0.25">
      <c r="A1993" s="49">
        <v>735442209</v>
      </c>
      <c r="B1993" s="49" t="s">
        <v>957</v>
      </c>
    </row>
    <row r="1994" spans="1:2" x14ac:dyDescent="0.25">
      <c r="A1994" s="49">
        <v>780607672</v>
      </c>
      <c r="B1994" s="49" t="s">
        <v>1079</v>
      </c>
    </row>
    <row r="1995" spans="1:2" x14ac:dyDescent="0.25">
      <c r="A1995" s="49">
        <v>909405327</v>
      </c>
      <c r="B1995" s="49" t="s">
        <v>1095</v>
      </c>
    </row>
    <row r="1996" spans="1:2" x14ac:dyDescent="0.25">
      <c r="A1996" s="49">
        <v>933684724</v>
      </c>
      <c r="B1996" s="49" t="s">
        <v>662</v>
      </c>
    </row>
    <row r="1997" spans="1:2" x14ac:dyDescent="0.25">
      <c r="A1997" s="49">
        <v>1103472698</v>
      </c>
      <c r="B1997" s="49" t="s">
        <v>862</v>
      </c>
    </row>
    <row r="1998" spans="1:2" x14ac:dyDescent="0.25">
      <c r="A1998" s="49">
        <v>1149749840</v>
      </c>
      <c r="B1998" s="49" t="s">
        <v>1506</v>
      </c>
    </row>
    <row r="1999" spans="1:2" x14ac:dyDescent="0.25">
      <c r="A1999" s="49">
        <v>1181849910</v>
      </c>
      <c r="B1999" s="49" t="s">
        <v>258</v>
      </c>
    </row>
    <row r="2000" spans="1:2" x14ac:dyDescent="0.25">
      <c r="A2000" s="49">
        <v>1340762266</v>
      </c>
      <c r="B2000" s="49" t="s">
        <v>1769</v>
      </c>
    </row>
    <row r="2001" spans="1:2" x14ac:dyDescent="0.25">
      <c r="A2001" s="49">
        <v>1340758017</v>
      </c>
      <c r="B2001" s="49" t="s">
        <v>1754</v>
      </c>
    </row>
    <row r="2002" spans="1:2" x14ac:dyDescent="0.25">
      <c r="A2002" s="49">
        <v>1344830200</v>
      </c>
      <c r="B2002" s="49" t="s">
        <v>1586</v>
      </c>
    </row>
    <row r="2003" spans="1:2" x14ac:dyDescent="0.25">
      <c r="A2003" s="49">
        <v>1345889282</v>
      </c>
      <c r="B2003" s="49" t="s">
        <v>1797</v>
      </c>
    </row>
    <row r="2004" spans="1:2" x14ac:dyDescent="0.25">
      <c r="A2004" s="49">
        <v>1345786625</v>
      </c>
      <c r="B2004" s="49" t="s">
        <v>1794</v>
      </c>
    </row>
    <row r="2005" spans="1:2" x14ac:dyDescent="0.25">
      <c r="A2005" s="49">
        <v>1360777323</v>
      </c>
      <c r="B2005" s="49" t="s">
        <v>1745</v>
      </c>
    </row>
    <row r="2006" spans="1:2" x14ac:dyDescent="0.25">
      <c r="A2006" s="49">
        <v>1379548021</v>
      </c>
      <c r="B2006" s="49" t="s">
        <v>1529</v>
      </c>
    </row>
    <row r="2007" spans="1:2" x14ac:dyDescent="0.25">
      <c r="A2007" s="49">
        <v>648286323</v>
      </c>
      <c r="B2007" s="49" t="s">
        <v>142</v>
      </c>
    </row>
    <row r="2008" spans="1:2" x14ac:dyDescent="0.25">
      <c r="A2008" s="49">
        <v>784475889</v>
      </c>
      <c r="B2008" s="49" t="s">
        <v>1027</v>
      </c>
    </row>
    <row r="2009" spans="1:2" x14ac:dyDescent="0.25">
      <c r="A2009" s="49">
        <v>1127948502</v>
      </c>
      <c r="B2009" s="49" t="s">
        <v>1445</v>
      </c>
    </row>
    <row r="2010" spans="1:2" x14ac:dyDescent="0.25">
      <c r="A2010" s="49">
        <v>1342791418</v>
      </c>
      <c r="B2010" s="49" t="s">
        <v>1774</v>
      </c>
    </row>
    <row r="2011" spans="1:2" x14ac:dyDescent="0.25">
      <c r="A2011" s="49">
        <v>1344994836</v>
      </c>
      <c r="B2011" s="49" t="s">
        <v>1779</v>
      </c>
    </row>
    <row r="2012" spans="1:2" x14ac:dyDescent="0.25">
      <c r="A2012" s="49">
        <v>639074849</v>
      </c>
      <c r="B2012" s="49" t="s">
        <v>1276</v>
      </c>
    </row>
    <row r="2013" spans="1:2" x14ac:dyDescent="0.25">
      <c r="A2013" s="49">
        <v>675139382</v>
      </c>
      <c r="B2013" s="49" t="s">
        <v>3663</v>
      </c>
    </row>
    <row r="2014" spans="1:2" x14ac:dyDescent="0.25">
      <c r="A2014" s="49">
        <v>717119196</v>
      </c>
      <c r="B2014" s="49" t="s">
        <v>827</v>
      </c>
    </row>
    <row r="2015" spans="1:2" x14ac:dyDescent="0.25">
      <c r="A2015" s="49">
        <v>754287424</v>
      </c>
      <c r="B2015" s="49" t="s">
        <v>556</v>
      </c>
    </row>
    <row r="2016" spans="1:2" x14ac:dyDescent="0.25">
      <c r="A2016" s="49">
        <v>777652476</v>
      </c>
      <c r="B2016" s="49" t="s">
        <v>344</v>
      </c>
    </row>
    <row r="2017" spans="1:2" x14ac:dyDescent="0.25">
      <c r="A2017" s="49">
        <v>780820156</v>
      </c>
      <c r="B2017" s="49" t="s">
        <v>430</v>
      </c>
    </row>
    <row r="2018" spans="1:2" x14ac:dyDescent="0.25">
      <c r="A2018" s="49">
        <v>782121363</v>
      </c>
      <c r="B2018" s="49" t="s">
        <v>1084</v>
      </c>
    </row>
    <row r="2019" spans="1:2" x14ac:dyDescent="0.25">
      <c r="A2019" s="49">
        <v>784335087</v>
      </c>
      <c r="B2019" s="49" t="s">
        <v>672</v>
      </c>
    </row>
    <row r="2020" spans="1:2" x14ac:dyDescent="0.25">
      <c r="A2020" s="49">
        <v>784475277</v>
      </c>
      <c r="B2020" s="49" t="s">
        <v>932</v>
      </c>
    </row>
    <row r="2021" spans="1:2" x14ac:dyDescent="0.25">
      <c r="A2021" s="49">
        <v>835440886</v>
      </c>
      <c r="B2021" s="49" t="s">
        <v>1357</v>
      </c>
    </row>
    <row r="2022" spans="1:2" x14ac:dyDescent="0.25">
      <c r="A2022" s="49">
        <v>857019333</v>
      </c>
      <c r="B2022" s="49" t="s">
        <v>1408</v>
      </c>
    </row>
    <row r="2023" spans="1:2" x14ac:dyDescent="0.25">
      <c r="A2023" s="49">
        <v>864726804</v>
      </c>
      <c r="B2023" s="49" t="s">
        <v>681</v>
      </c>
    </row>
    <row r="2024" spans="1:2" x14ac:dyDescent="0.25">
      <c r="A2024" s="49">
        <v>867877836</v>
      </c>
      <c r="B2024" s="49" t="s">
        <v>925</v>
      </c>
    </row>
    <row r="2025" spans="1:2" x14ac:dyDescent="0.25">
      <c r="A2025" s="49">
        <v>869244365</v>
      </c>
      <c r="B2025" s="49" t="s">
        <v>393</v>
      </c>
    </row>
    <row r="2026" spans="1:2" x14ac:dyDescent="0.25">
      <c r="A2026" s="49">
        <v>869242326</v>
      </c>
      <c r="B2026" s="49" t="s">
        <v>396</v>
      </c>
    </row>
    <row r="2027" spans="1:2" x14ac:dyDescent="0.25">
      <c r="A2027" s="49">
        <v>875602025</v>
      </c>
      <c r="B2027" s="49" t="s">
        <v>548</v>
      </c>
    </row>
    <row r="2028" spans="1:2" x14ac:dyDescent="0.25">
      <c r="A2028" s="49">
        <v>919485393</v>
      </c>
      <c r="B2028" s="49" t="s">
        <v>82</v>
      </c>
    </row>
    <row r="2029" spans="1:2" x14ac:dyDescent="0.25">
      <c r="A2029" s="49">
        <v>919471415</v>
      </c>
      <c r="B2029" s="49" t="s">
        <v>88</v>
      </c>
    </row>
    <row r="2030" spans="1:2" x14ac:dyDescent="0.25">
      <c r="A2030" s="49">
        <v>928520398</v>
      </c>
      <c r="B2030" s="49" t="s">
        <v>1551</v>
      </c>
    </row>
    <row r="2031" spans="1:2" x14ac:dyDescent="0.25">
      <c r="A2031" s="49">
        <v>1105675896</v>
      </c>
      <c r="B2031" s="49" t="s">
        <v>1592</v>
      </c>
    </row>
    <row r="2032" spans="1:2" x14ac:dyDescent="0.25">
      <c r="A2032" s="49">
        <v>1111184593</v>
      </c>
      <c r="B2032" s="49" t="s">
        <v>840</v>
      </c>
    </row>
    <row r="2033" spans="1:2" x14ac:dyDescent="0.25">
      <c r="A2033" s="49">
        <v>1122720021</v>
      </c>
      <c r="B2033" s="49" t="s">
        <v>1674</v>
      </c>
    </row>
    <row r="2034" spans="1:2" x14ac:dyDescent="0.25">
      <c r="A2034" s="49">
        <v>1156220711</v>
      </c>
      <c r="B2034" s="49" t="s">
        <v>1568</v>
      </c>
    </row>
    <row r="2035" spans="1:2" x14ac:dyDescent="0.25">
      <c r="A2035" s="49">
        <v>1344849383</v>
      </c>
      <c r="B2035" s="49" t="s">
        <v>1366</v>
      </c>
    </row>
    <row r="2036" spans="1:2" x14ac:dyDescent="0.25">
      <c r="A2036" s="49">
        <v>1348086927</v>
      </c>
      <c r="B2036" s="49" t="s">
        <v>670</v>
      </c>
    </row>
    <row r="2037" spans="1:2" x14ac:dyDescent="0.25">
      <c r="A2037" s="49">
        <v>1372587163</v>
      </c>
      <c r="B2037" s="49" t="s">
        <v>1837</v>
      </c>
    </row>
    <row r="2038" spans="1:2" x14ac:dyDescent="0.25">
      <c r="A2038" s="49">
        <v>897634845</v>
      </c>
      <c r="B2038" s="49" t="s">
        <v>1132</v>
      </c>
    </row>
    <row r="2039" spans="1:2" x14ac:dyDescent="0.25">
      <c r="A2039" s="49">
        <v>617173309</v>
      </c>
      <c r="B2039" s="49" t="s">
        <v>486</v>
      </c>
    </row>
    <row r="2040" spans="1:2" x14ac:dyDescent="0.25">
      <c r="A2040" s="49">
        <v>651254355</v>
      </c>
      <c r="B2040" s="49" t="s">
        <v>3642</v>
      </c>
    </row>
    <row r="2041" spans="1:2" x14ac:dyDescent="0.25">
      <c r="A2041" s="49">
        <v>672425772</v>
      </c>
      <c r="B2041" s="49" t="s">
        <v>1061</v>
      </c>
    </row>
    <row r="2042" spans="1:2" x14ac:dyDescent="0.25">
      <c r="A2042" s="49">
        <v>708229101</v>
      </c>
      <c r="B2042" s="49" t="s">
        <v>1229</v>
      </c>
    </row>
    <row r="2043" spans="1:2" x14ac:dyDescent="0.25">
      <c r="A2043" s="49">
        <v>759872067</v>
      </c>
      <c r="B2043" s="49" t="s">
        <v>192</v>
      </c>
    </row>
    <row r="2044" spans="1:2" x14ac:dyDescent="0.25">
      <c r="A2044" s="49">
        <v>762232049</v>
      </c>
      <c r="B2044" s="49" t="s">
        <v>828</v>
      </c>
    </row>
    <row r="2045" spans="1:2" x14ac:dyDescent="0.25">
      <c r="A2045" s="49">
        <v>783572308</v>
      </c>
      <c r="B2045" s="49" t="s">
        <v>617</v>
      </c>
    </row>
    <row r="2046" spans="1:2" x14ac:dyDescent="0.25">
      <c r="A2046" s="49">
        <v>799489141</v>
      </c>
      <c r="B2046" s="49" t="s">
        <v>1533</v>
      </c>
    </row>
    <row r="2047" spans="1:2" x14ac:dyDescent="0.25">
      <c r="A2047" s="49">
        <v>867866991</v>
      </c>
      <c r="B2047" s="49" t="s">
        <v>1098</v>
      </c>
    </row>
    <row r="2048" spans="1:2" x14ac:dyDescent="0.25">
      <c r="A2048" s="49">
        <v>883075994</v>
      </c>
      <c r="B2048" s="49" t="s">
        <v>1239</v>
      </c>
    </row>
    <row r="2049" spans="1:2" x14ac:dyDescent="0.25">
      <c r="A2049" s="49">
        <v>1423365758</v>
      </c>
      <c r="B2049" s="49" t="s">
        <v>684</v>
      </c>
    </row>
    <row r="2050" spans="1:2" x14ac:dyDescent="0.25">
      <c r="A2050" s="49">
        <v>693495672</v>
      </c>
      <c r="B2050" s="49" t="s">
        <v>261</v>
      </c>
    </row>
    <row r="2051" spans="1:2" x14ac:dyDescent="0.25">
      <c r="A2051" s="49">
        <v>796660570</v>
      </c>
      <c r="B2051" s="49" t="s">
        <v>217</v>
      </c>
    </row>
    <row r="2052" spans="1:2" x14ac:dyDescent="0.25">
      <c r="A2052" s="49">
        <v>641888798</v>
      </c>
      <c r="B2052" s="49" t="s">
        <v>633</v>
      </c>
    </row>
    <row r="2053" spans="1:2" x14ac:dyDescent="0.25">
      <c r="A2053" s="49">
        <v>704109058</v>
      </c>
      <c r="B2053" s="49" t="s">
        <v>1417</v>
      </c>
    </row>
    <row r="2054" spans="1:2" x14ac:dyDescent="0.25">
      <c r="A2054" s="49">
        <v>776734285</v>
      </c>
      <c r="B2054" s="49" t="s">
        <v>1564</v>
      </c>
    </row>
    <row r="2055" spans="1:2" x14ac:dyDescent="0.25">
      <c r="A2055" s="49">
        <v>910604486</v>
      </c>
      <c r="B2055" s="49" t="s">
        <v>1678</v>
      </c>
    </row>
    <row r="2056" spans="1:2" x14ac:dyDescent="0.25">
      <c r="A2056" s="49">
        <v>801585635</v>
      </c>
      <c r="B2056" s="49" t="s">
        <v>1298</v>
      </c>
    </row>
    <row r="2057" spans="1:2" x14ac:dyDescent="0.25">
      <c r="A2057" s="49">
        <v>897787926</v>
      </c>
      <c r="B2057" s="49" t="s">
        <v>1271</v>
      </c>
    </row>
    <row r="2058" spans="1:2" x14ac:dyDescent="0.25">
      <c r="A2058" s="49">
        <v>1122112111</v>
      </c>
      <c r="B2058" s="49" t="s">
        <v>1294</v>
      </c>
    </row>
    <row r="2059" spans="1:2" x14ac:dyDescent="0.25">
      <c r="A2059" s="49">
        <v>1129007815</v>
      </c>
      <c r="B2059" s="49" t="s">
        <v>775</v>
      </c>
    </row>
    <row r="2060" spans="1:2" x14ac:dyDescent="0.25">
      <c r="A2060" s="49">
        <v>1133585152</v>
      </c>
      <c r="B2060" s="49" t="s">
        <v>165</v>
      </c>
    </row>
    <row r="2061" spans="1:2" x14ac:dyDescent="0.25">
      <c r="A2061" s="49">
        <v>1133580450</v>
      </c>
      <c r="B2061" s="49" t="s">
        <v>166</v>
      </c>
    </row>
    <row r="2062" spans="1:2" x14ac:dyDescent="0.25">
      <c r="A2062" s="49">
        <v>1135872393</v>
      </c>
      <c r="B2062" s="49" t="s">
        <v>1346</v>
      </c>
    </row>
    <row r="2063" spans="1:2" x14ac:dyDescent="0.25">
      <c r="A2063" s="49">
        <v>1154484722</v>
      </c>
      <c r="B2063" s="49" t="s">
        <v>1396</v>
      </c>
    </row>
    <row r="2064" spans="1:2" x14ac:dyDescent="0.25">
      <c r="A2064" s="49">
        <v>1198411469</v>
      </c>
      <c r="B2064" s="49" t="s">
        <v>1343</v>
      </c>
    </row>
    <row r="2065" spans="1:2" x14ac:dyDescent="0.25">
      <c r="A2065" s="49">
        <v>1308848235</v>
      </c>
      <c r="B2065" s="49" t="s">
        <v>1739</v>
      </c>
    </row>
    <row r="2066" spans="1:2" x14ac:dyDescent="0.25">
      <c r="A2066" s="49">
        <v>640555782</v>
      </c>
      <c r="B2066" s="49" t="s">
        <v>1115</v>
      </c>
    </row>
    <row r="2067" spans="1:2" x14ac:dyDescent="0.25">
      <c r="A2067" s="49">
        <v>649824205</v>
      </c>
      <c r="B2067" s="49" t="s">
        <v>405</v>
      </c>
    </row>
    <row r="2068" spans="1:2" x14ac:dyDescent="0.25">
      <c r="A2068" s="49">
        <v>662697531</v>
      </c>
      <c r="B2068" s="49" t="s">
        <v>940</v>
      </c>
    </row>
    <row r="2069" spans="1:2" x14ac:dyDescent="0.25">
      <c r="A2069" s="49">
        <v>690104521</v>
      </c>
      <c r="B2069" s="49" t="s">
        <v>532</v>
      </c>
    </row>
    <row r="2070" spans="1:2" x14ac:dyDescent="0.25">
      <c r="A2070" s="49">
        <v>717084932</v>
      </c>
      <c r="B2070" s="49" t="s">
        <v>818</v>
      </c>
    </row>
    <row r="2071" spans="1:2" x14ac:dyDescent="0.25">
      <c r="A2071" s="49">
        <v>758403332</v>
      </c>
      <c r="B2071" s="49" t="s">
        <v>911</v>
      </c>
    </row>
    <row r="2072" spans="1:2" x14ac:dyDescent="0.25">
      <c r="A2072" s="49">
        <v>762231931</v>
      </c>
      <c r="B2072" s="49" t="s">
        <v>827</v>
      </c>
    </row>
    <row r="2073" spans="1:2" x14ac:dyDescent="0.25">
      <c r="A2073" s="49">
        <v>777649595</v>
      </c>
      <c r="B2073" s="49" t="s">
        <v>391</v>
      </c>
    </row>
    <row r="2074" spans="1:2" x14ac:dyDescent="0.25">
      <c r="A2074" s="49">
        <v>779462123</v>
      </c>
      <c r="B2074" s="49" t="s">
        <v>402</v>
      </c>
    </row>
    <row r="2075" spans="1:2" x14ac:dyDescent="0.25">
      <c r="A2075" s="49">
        <v>782129419</v>
      </c>
      <c r="B2075" s="49" t="s">
        <v>1226</v>
      </c>
    </row>
    <row r="2076" spans="1:2" x14ac:dyDescent="0.25">
      <c r="A2076" s="49">
        <v>782121073</v>
      </c>
      <c r="B2076" s="49" t="s">
        <v>1267</v>
      </c>
    </row>
    <row r="2077" spans="1:2" x14ac:dyDescent="0.25">
      <c r="A2077" s="49">
        <v>784340069</v>
      </c>
      <c r="B2077" s="49" t="s">
        <v>679</v>
      </c>
    </row>
    <row r="2078" spans="1:2" x14ac:dyDescent="0.25">
      <c r="A2078" s="49">
        <v>785168635</v>
      </c>
      <c r="B2078" s="49" t="s">
        <v>739</v>
      </c>
    </row>
    <row r="2079" spans="1:2" x14ac:dyDescent="0.25">
      <c r="A2079" s="49">
        <v>792120653</v>
      </c>
      <c r="B2079" s="49" t="s">
        <v>1673</v>
      </c>
    </row>
    <row r="2080" spans="1:2" x14ac:dyDescent="0.25">
      <c r="A2080" s="49">
        <v>833875163</v>
      </c>
      <c r="B2080" s="49" t="s">
        <v>1645</v>
      </c>
    </row>
    <row r="2081" spans="1:2" x14ac:dyDescent="0.25">
      <c r="A2081" s="49">
        <v>876433726</v>
      </c>
      <c r="B2081" s="49" t="s">
        <v>1140</v>
      </c>
    </row>
    <row r="2082" spans="1:2" x14ac:dyDescent="0.25">
      <c r="A2082" s="49">
        <v>901676282</v>
      </c>
      <c r="B2082" s="49" t="s">
        <v>1368</v>
      </c>
    </row>
    <row r="2083" spans="1:2" x14ac:dyDescent="0.25">
      <c r="A2083" s="49">
        <v>912754411</v>
      </c>
      <c r="B2083" s="49" t="s">
        <v>676</v>
      </c>
    </row>
    <row r="2084" spans="1:2" x14ac:dyDescent="0.25">
      <c r="A2084" s="49">
        <v>913079262</v>
      </c>
      <c r="B2084" s="49" t="s">
        <v>1202</v>
      </c>
    </row>
    <row r="2085" spans="1:2" x14ac:dyDescent="0.25">
      <c r="A2085" s="49">
        <v>1150858773</v>
      </c>
      <c r="B2085" s="49" t="s">
        <v>277</v>
      </c>
    </row>
    <row r="2086" spans="1:2" x14ac:dyDescent="0.25">
      <c r="A2086" s="49">
        <v>1163424089</v>
      </c>
      <c r="B2086" s="49" t="s">
        <v>223</v>
      </c>
    </row>
    <row r="2087" spans="1:2" x14ac:dyDescent="0.25">
      <c r="A2087" s="49">
        <v>1173418066</v>
      </c>
      <c r="B2087" s="49" t="s">
        <v>96</v>
      </c>
    </row>
    <row r="2088" spans="1:2" x14ac:dyDescent="0.25">
      <c r="A2088" s="49">
        <v>1202328139</v>
      </c>
      <c r="B2088" s="49" t="s">
        <v>1469</v>
      </c>
    </row>
    <row r="2089" spans="1:2" x14ac:dyDescent="0.25">
      <c r="A2089" s="49">
        <v>1344934894</v>
      </c>
      <c r="B2089" s="49" t="s">
        <v>1781</v>
      </c>
    </row>
    <row r="2090" spans="1:2" x14ac:dyDescent="0.25">
      <c r="A2090" s="49">
        <v>1381934788</v>
      </c>
      <c r="B2090" s="49" t="s">
        <v>119</v>
      </c>
    </row>
    <row r="2091" spans="1:2" x14ac:dyDescent="0.25">
      <c r="A2091" s="49">
        <v>1368536829</v>
      </c>
      <c r="B2091" s="49" t="s">
        <v>1829</v>
      </c>
    </row>
    <row r="2092" spans="1:2" x14ac:dyDescent="0.25">
      <c r="A2092" s="49">
        <v>1370888005</v>
      </c>
      <c r="B2092" s="49" t="s">
        <v>106</v>
      </c>
    </row>
    <row r="2093" spans="1:2" x14ac:dyDescent="0.25">
      <c r="A2093" s="49">
        <v>650017975</v>
      </c>
      <c r="B2093" s="49" t="s">
        <v>475</v>
      </c>
    </row>
    <row r="2094" spans="1:2" x14ac:dyDescent="0.25">
      <c r="A2094" s="49">
        <v>823062919</v>
      </c>
      <c r="B2094" s="49" t="s">
        <v>1562</v>
      </c>
    </row>
    <row r="2095" spans="1:2" x14ac:dyDescent="0.25">
      <c r="A2095" s="49">
        <v>605724217</v>
      </c>
      <c r="B2095" s="49" t="s">
        <v>1325</v>
      </c>
    </row>
    <row r="2096" spans="1:2" x14ac:dyDescent="0.25">
      <c r="A2096" s="49">
        <v>1110833627</v>
      </c>
      <c r="B2096" s="49" t="s">
        <v>1716</v>
      </c>
    </row>
    <row r="2097" spans="1:2" x14ac:dyDescent="0.25">
      <c r="A2097" s="49">
        <v>776431446</v>
      </c>
      <c r="B2097" s="49" t="s">
        <v>1677</v>
      </c>
    </row>
    <row r="2098" spans="1:2" x14ac:dyDescent="0.25">
      <c r="A2098" s="49">
        <v>1122063015</v>
      </c>
      <c r="B2098" s="49" t="s">
        <v>1294</v>
      </c>
    </row>
    <row r="2099" spans="1:2" x14ac:dyDescent="0.25">
      <c r="A2099" s="49">
        <v>1147141913</v>
      </c>
      <c r="B2099" s="49" t="s">
        <v>1526</v>
      </c>
    </row>
    <row r="2100" spans="1:2" x14ac:dyDescent="0.25">
      <c r="A2100" s="49">
        <v>844867783</v>
      </c>
      <c r="B2100" s="49" t="s">
        <v>1505</v>
      </c>
    </row>
    <row r="2101" spans="1:2" x14ac:dyDescent="0.25">
      <c r="A2101" s="49">
        <v>613078580</v>
      </c>
      <c r="B2101" s="49" t="s">
        <v>666</v>
      </c>
    </row>
    <row r="2102" spans="1:2" x14ac:dyDescent="0.25">
      <c r="A2102" s="49">
        <v>614138582</v>
      </c>
      <c r="B2102" s="49" t="s">
        <v>429</v>
      </c>
    </row>
    <row r="2103" spans="1:2" x14ac:dyDescent="0.25">
      <c r="A2103" s="49">
        <v>620938555</v>
      </c>
      <c r="B2103" s="49" t="s">
        <v>1255</v>
      </c>
    </row>
    <row r="2104" spans="1:2" x14ac:dyDescent="0.25">
      <c r="A2104" s="49">
        <v>641042998</v>
      </c>
      <c r="B2104" s="49" t="s">
        <v>1125</v>
      </c>
    </row>
    <row r="2105" spans="1:2" x14ac:dyDescent="0.25">
      <c r="A2105" s="49">
        <v>662706085</v>
      </c>
      <c r="B2105" s="49" t="s">
        <v>937</v>
      </c>
    </row>
    <row r="2106" spans="1:2" x14ac:dyDescent="0.25">
      <c r="A2106" s="49">
        <v>709844794</v>
      </c>
      <c r="B2106" s="49" t="s">
        <v>966</v>
      </c>
    </row>
    <row r="2107" spans="1:2" x14ac:dyDescent="0.25">
      <c r="A2107" s="49">
        <v>776796380</v>
      </c>
      <c r="B2107" s="49" t="s">
        <v>1485</v>
      </c>
    </row>
    <row r="2108" spans="1:2" x14ac:dyDescent="0.25">
      <c r="A2108" s="49">
        <v>782165403</v>
      </c>
      <c r="B2108" s="49" t="s">
        <v>322</v>
      </c>
    </row>
    <row r="2109" spans="1:2" x14ac:dyDescent="0.25">
      <c r="A2109" s="49">
        <v>784050194</v>
      </c>
      <c r="B2109" s="49" t="s">
        <v>668</v>
      </c>
    </row>
    <row r="2110" spans="1:2" x14ac:dyDescent="0.25">
      <c r="A2110" s="49">
        <v>842600050</v>
      </c>
      <c r="B2110" s="49" t="s">
        <v>1234</v>
      </c>
    </row>
    <row r="2111" spans="1:2" x14ac:dyDescent="0.25">
      <c r="A2111" s="49">
        <v>868111412</v>
      </c>
      <c r="B2111" s="49" t="s">
        <v>380</v>
      </c>
    </row>
    <row r="2112" spans="1:2" x14ac:dyDescent="0.25">
      <c r="A2112" s="49">
        <v>912664302</v>
      </c>
      <c r="B2112" s="49" t="s">
        <v>1369</v>
      </c>
    </row>
    <row r="2113" spans="1:2" x14ac:dyDescent="0.25">
      <c r="A2113" s="49">
        <v>1105726467</v>
      </c>
      <c r="B2113" s="49" t="s">
        <v>1444</v>
      </c>
    </row>
    <row r="2114" spans="1:2" x14ac:dyDescent="0.25">
      <c r="A2114" s="49">
        <v>1124952158</v>
      </c>
      <c r="B2114" s="49" t="s">
        <v>838</v>
      </c>
    </row>
    <row r="2115" spans="1:2" x14ac:dyDescent="0.25">
      <c r="A2115" s="49">
        <v>1144001558</v>
      </c>
      <c r="B2115" s="49" t="s">
        <v>1127</v>
      </c>
    </row>
    <row r="2116" spans="1:2" x14ac:dyDescent="0.25">
      <c r="A2116" s="49">
        <v>1155422876</v>
      </c>
      <c r="B2116" s="49" t="s">
        <v>1143</v>
      </c>
    </row>
    <row r="2117" spans="1:2" x14ac:dyDescent="0.25">
      <c r="A2117" s="49">
        <v>1165955844</v>
      </c>
      <c r="B2117" s="49" t="s">
        <v>125</v>
      </c>
    </row>
    <row r="2118" spans="1:2" x14ac:dyDescent="0.25">
      <c r="A2118" s="49">
        <v>1401407632</v>
      </c>
      <c r="B2118" s="49" t="s">
        <v>1791</v>
      </c>
    </row>
    <row r="2119" spans="1:2" x14ac:dyDescent="0.25">
      <c r="A2119" s="49">
        <v>1370926085</v>
      </c>
      <c r="B2119" s="49" t="s">
        <v>1435</v>
      </c>
    </row>
    <row r="2120" spans="1:2" x14ac:dyDescent="0.25">
      <c r="A2120" s="49">
        <v>1447406160</v>
      </c>
      <c r="B2120" s="49" t="s">
        <v>1476</v>
      </c>
    </row>
    <row r="2121" spans="1:2" x14ac:dyDescent="0.25">
      <c r="A2121" s="49">
        <v>769152514</v>
      </c>
      <c r="B2121" s="49" t="s">
        <v>757</v>
      </c>
    </row>
    <row r="2122" spans="1:2" x14ac:dyDescent="0.25">
      <c r="A2122" s="49">
        <v>618908191</v>
      </c>
      <c r="B2122" s="49" t="s">
        <v>1018</v>
      </c>
    </row>
    <row r="2123" spans="1:2" x14ac:dyDescent="0.25">
      <c r="A2123" s="49">
        <v>899207916</v>
      </c>
      <c r="B2123" s="49" t="s">
        <v>1131</v>
      </c>
    </row>
    <row r="2124" spans="1:2" x14ac:dyDescent="0.25">
      <c r="A2124" s="49">
        <v>935730311</v>
      </c>
      <c r="B2124" s="49" t="s">
        <v>1435</v>
      </c>
    </row>
    <row r="2125" spans="1:2" x14ac:dyDescent="0.25">
      <c r="A2125" s="49">
        <v>1339112010</v>
      </c>
      <c r="B2125" s="49" t="s">
        <v>1745</v>
      </c>
    </row>
    <row r="2126" spans="1:2" x14ac:dyDescent="0.25">
      <c r="A2126" s="49">
        <v>610134986</v>
      </c>
      <c r="B2126" s="49" t="s">
        <v>610</v>
      </c>
    </row>
    <row r="2127" spans="1:2" x14ac:dyDescent="0.25">
      <c r="A2127" s="49">
        <v>612829410</v>
      </c>
      <c r="B2127" s="49" t="s">
        <v>1267</v>
      </c>
    </row>
    <row r="2128" spans="1:2" x14ac:dyDescent="0.25">
      <c r="A2128" s="49">
        <v>627364805</v>
      </c>
      <c r="B2128" s="49" t="s">
        <v>1146</v>
      </c>
    </row>
    <row r="2129" spans="1:2" x14ac:dyDescent="0.25">
      <c r="A2129" s="49">
        <v>644315525</v>
      </c>
      <c r="B2129" s="49" t="s">
        <v>203</v>
      </c>
    </row>
    <row r="2130" spans="1:2" x14ac:dyDescent="0.25">
      <c r="A2130" s="49">
        <v>672271485</v>
      </c>
      <c r="B2130" s="49" t="s">
        <v>356</v>
      </c>
    </row>
    <row r="2131" spans="1:2" x14ac:dyDescent="0.25">
      <c r="A2131" s="49">
        <v>701860247</v>
      </c>
      <c r="B2131" s="49" t="s">
        <v>347</v>
      </c>
    </row>
    <row r="2132" spans="1:2" x14ac:dyDescent="0.25">
      <c r="A2132" s="49">
        <v>705626467</v>
      </c>
      <c r="B2132" s="49" t="s">
        <v>463</v>
      </c>
    </row>
    <row r="2133" spans="1:2" x14ac:dyDescent="0.25">
      <c r="A2133" s="49">
        <v>717907200</v>
      </c>
      <c r="B2133" s="49" t="s">
        <v>792</v>
      </c>
    </row>
    <row r="2134" spans="1:2" x14ac:dyDescent="0.25">
      <c r="A2134" s="49">
        <v>759924331</v>
      </c>
      <c r="B2134" s="49" t="s">
        <v>229</v>
      </c>
    </row>
    <row r="2135" spans="1:2" x14ac:dyDescent="0.25">
      <c r="A2135" s="49">
        <v>760068013</v>
      </c>
      <c r="B2135" s="49" t="s">
        <v>1559</v>
      </c>
    </row>
    <row r="2136" spans="1:2" x14ac:dyDescent="0.25">
      <c r="A2136" s="49">
        <v>778011074</v>
      </c>
      <c r="B2136" s="49" t="s">
        <v>795</v>
      </c>
    </row>
    <row r="2137" spans="1:2" x14ac:dyDescent="0.25">
      <c r="A2137" s="49">
        <v>778246624</v>
      </c>
      <c r="B2137" s="49" t="s">
        <v>1085</v>
      </c>
    </row>
    <row r="2138" spans="1:2" x14ac:dyDescent="0.25">
      <c r="A2138" s="49">
        <v>778430058</v>
      </c>
      <c r="B2138" s="49" t="s">
        <v>693</v>
      </c>
    </row>
    <row r="2139" spans="1:2" x14ac:dyDescent="0.25">
      <c r="A2139" s="49">
        <v>784349636</v>
      </c>
      <c r="B2139" s="49" t="s">
        <v>685</v>
      </c>
    </row>
    <row r="2140" spans="1:2" x14ac:dyDescent="0.25">
      <c r="A2140" s="49">
        <v>784340146</v>
      </c>
      <c r="B2140" s="49" t="s">
        <v>679</v>
      </c>
    </row>
    <row r="2141" spans="1:2" x14ac:dyDescent="0.25">
      <c r="A2141" s="49">
        <v>784336018</v>
      </c>
      <c r="B2141" s="49" t="s">
        <v>675</v>
      </c>
    </row>
    <row r="2142" spans="1:2" x14ac:dyDescent="0.25">
      <c r="A2142" s="49">
        <v>794996161</v>
      </c>
      <c r="B2142" s="49" t="s">
        <v>1045</v>
      </c>
    </row>
    <row r="2143" spans="1:2" x14ac:dyDescent="0.25">
      <c r="A2143" s="49">
        <v>801301618</v>
      </c>
      <c r="B2143" s="49" t="s">
        <v>1237</v>
      </c>
    </row>
    <row r="2144" spans="1:2" x14ac:dyDescent="0.25">
      <c r="A2144" s="49">
        <v>843115451</v>
      </c>
      <c r="B2144" s="49" t="s">
        <v>1161</v>
      </c>
    </row>
    <row r="2145" spans="1:2" x14ac:dyDescent="0.25">
      <c r="A2145" s="49">
        <v>857016561</v>
      </c>
      <c r="B2145" s="49" t="s">
        <v>1011</v>
      </c>
    </row>
    <row r="2146" spans="1:2" x14ac:dyDescent="0.25">
      <c r="A2146" s="49">
        <v>861911926</v>
      </c>
      <c r="B2146" s="49" t="s">
        <v>1582</v>
      </c>
    </row>
    <row r="2147" spans="1:2" x14ac:dyDescent="0.25">
      <c r="A2147" s="49">
        <v>895942788</v>
      </c>
      <c r="B2147" s="49" t="s">
        <v>1666</v>
      </c>
    </row>
    <row r="2148" spans="1:2" x14ac:dyDescent="0.25">
      <c r="A2148" s="49">
        <v>907422640</v>
      </c>
      <c r="B2148" s="49" t="s">
        <v>873</v>
      </c>
    </row>
    <row r="2149" spans="1:2" x14ac:dyDescent="0.25">
      <c r="A2149" s="49">
        <v>935911015</v>
      </c>
      <c r="B2149" s="49" t="s">
        <v>1530</v>
      </c>
    </row>
    <row r="2150" spans="1:2" x14ac:dyDescent="0.25">
      <c r="A2150" s="49">
        <v>1397904766</v>
      </c>
      <c r="B2150" s="49" t="s">
        <v>1824</v>
      </c>
    </row>
    <row r="2151" spans="1:2" x14ac:dyDescent="0.25">
      <c r="A2151" s="49">
        <v>794994828</v>
      </c>
      <c r="B2151" s="49" t="s">
        <v>1058</v>
      </c>
    </row>
    <row r="2152" spans="1:2" x14ac:dyDescent="0.25">
      <c r="A2152" s="49">
        <v>886668648</v>
      </c>
      <c r="B2152" s="49" t="s">
        <v>1594</v>
      </c>
    </row>
    <row r="2153" spans="1:2" x14ac:dyDescent="0.25">
      <c r="A2153" s="49">
        <v>676760002</v>
      </c>
      <c r="B2153" s="49" t="s">
        <v>1406</v>
      </c>
    </row>
    <row r="2154" spans="1:2" x14ac:dyDescent="0.25">
      <c r="A2154" s="49">
        <v>690245172</v>
      </c>
      <c r="B2154" s="49" t="s">
        <v>884</v>
      </c>
    </row>
    <row r="2155" spans="1:2" x14ac:dyDescent="0.25">
      <c r="A2155" s="49">
        <v>873221539</v>
      </c>
      <c r="B2155" s="49" t="s">
        <v>1483</v>
      </c>
    </row>
    <row r="2156" spans="1:2" x14ac:dyDescent="0.25">
      <c r="A2156" s="49">
        <v>641151127</v>
      </c>
      <c r="B2156" s="49" t="s">
        <v>634</v>
      </c>
    </row>
    <row r="2157" spans="1:2" x14ac:dyDescent="0.25">
      <c r="A2157" s="49">
        <v>935730977</v>
      </c>
      <c r="B2157" s="49" t="s">
        <v>1542</v>
      </c>
    </row>
    <row r="2158" spans="1:2" x14ac:dyDescent="0.25">
      <c r="A2158" s="49">
        <v>1111575967</v>
      </c>
      <c r="B2158" s="49" t="s">
        <v>1248</v>
      </c>
    </row>
    <row r="2159" spans="1:2" x14ac:dyDescent="0.25">
      <c r="A2159" s="49">
        <v>766889183</v>
      </c>
      <c r="B2159" s="49" t="s">
        <v>66</v>
      </c>
    </row>
    <row r="2160" spans="1:2" x14ac:dyDescent="0.25">
      <c r="A2160" s="49">
        <v>682839715</v>
      </c>
      <c r="B2160" s="49" t="s">
        <v>581</v>
      </c>
    </row>
    <row r="2161" spans="1:2" x14ac:dyDescent="0.25">
      <c r="A2161" s="49">
        <v>1381789154</v>
      </c>
      <c r="B2161" s="49" t="s">
        <v>3674</v>
      </c>
    </row>
    <row r="2162" spans="1:2" x14ac:dyDescent="0.25">
      <c r="A2162" s="49">
        <v>1374496493</v>
      </c>
      <c r="B2162" s="49" t="s">
        <v>3670</v>
      </c>
    </row>
    <row r="2163" spans="1:2" x14ac:dyDescent="0.25">
      <c r="A2163" s="49">
        <v>614138611</v>
      </c>
      <c r="B2163" s="49" t="s">
        <v>516</v>
      </c>
    </row>
    <row r="2164" spans="1:2" x14ac:dyDescent="0.25">
      <c r="A2164" s="49">
        <v>618903956</v>
      </c>
      <c r="B2164" s="49" t="s">
        <v>439</v>
      </c>
    </row>
    <row r="2165" spans="1:2" x14ac:dyDescent="0.25">
      <c r="A2165" s="49">
        <v>641316100</v>
      </c>
      <c r="B2165" s="49" t="s">
        <v>1151</v>
      </c>
    </row>
    <row r="2166" spans="1:2" x14ac:dyDescent="0.25">
      <c r="A2166" s="49">
        <v>665529684</v>
      </c>
      <c r="B2166" s="49" t="s">
        <v>1043</v>
      </c>
    </row>
    <row r="2167" spans="1:2" x14ac:dyDescent="0.25">
      <c r="A2167" s="49">
        <v>672368253</v>
      </c>
      <c r="B2167" s="49" t="s">
        <v>1443</v>
      </c>
    </row>
    <row r="2168" spans="1:2" x14ac:dyDescent="0.25">
      <c r="A2168" s="49">
        <v>707091778</v>
      </c>
      <c r="B2168" s="49" t="s">
        <v>1291</v>
      </c>
    </row>
    <row r="2169" spans="1:2" x14ac:dyDescent="0.25">
      <c r="A2169" s="49">
        <v>712957972</v>
      </c>
      <c r="B2169" s="49" t="s">
        <v>332</v>
      </c>
    </row>
    <row r="2170" spans="1:2" x14ac:dyDescent="0.25">
      <c r="A2170" s="49">
        <v>732542365</v>
      </c>
      <c r="B2170" s="49" t="s">
        <v>1429</v>
      </c>
    </row>
    <row r="2171" spans="1:2" x14ac:dyDescent="0.25">
      <c r="A2171" s="49">
        <v>762074077</v>
      </c>
      <c r="B2171" s="49" t="s">
        <v>3668</v>
      </c>
    </row>
    <row r="2172" spans="1:2" x14ac:dyDescent="0.25">
      <c r="A2172" s="49">
        <v>686179236</v>
      </c>
      <c r="B2172" s="49" t="s">
        <v>571</v>
      </c>
    </row>
    <row r="2173" spans="1:2" x14ac:dyDescent="0.25">
      <c r="A2173" s="49">
        <v>779902420</v>
      </c>
      <c r="B2173" s="49" t="s">
        <v>550</v>
      </c>
    </row>
    <row r="2174" spans="1:2" x14ac:dyDescent="0.25">
      <c r="A2174" s="49">
        <v>780835466</v>
      </c>
      <c r="B2174" s="49" t="s">
        <v>413</v>
      </c>
    </row>
    <row r="2175" spans="1:2" x14ac:dyDescent="0.25">
      <c r="A2175" s="49">
        <v>780835235</v>
      </c>
      <c r="B2175" s="49" t="s">
        <v>464</v>
      </c>
    </row>
    <row r="2176" spans="1:2" x14ac:dyDescent="0.25">
      <c r="A2176" s="49">
        <v>784929457</v>
      </c>
      <c r="B2176" s="49" t="s">
        <v>719</v>
      </c>
    </row>
    <row r="2177" spans="1:2" x14ac:dyDescent="0.25">
      <c r="A2177" s="49">
        <v>798182781</v>
      </c>
      <c r="B2177" s="49" t="s">
        <v>1419</v>
      </c>
    </row>
    <row r="2178" spans="1:2" x14ac:dyDescent="0.25">
      <c r="A2178" s="49">
        <v>799472421</v>
      </c>
      <c r="B2178" s="49" t="s">
        <v>1471</v>
      </c>
    </row>
    <row r="2179" spans="1:2" x14ac:dyDescent="0.25">
      <c r="A2179" s="49">
        <v>816551715</v>
      </c>
      <c r="B2179" s="49" t="s">
        <v>716</v>
      </c>
    </row>
    <row r="2180" spans="1:2" x14ac:dyDescent="0.25">
      <c r="A2180" s="49">
        <v>886529275</v>
      </c>
      <c r="B2180" s="49" t="s">
        <v>1685</v>
      </c>
    </row>
    <row r="2181" spans="1:2" x14ac:dyDescent="0.25">
      <c r="A2181" s="49">
        <v>907429165</v>
      </c>
      <c r="B2181" s="49" t="s">
        <v>154</v>
      </c>
    </row>
    <row r="2182" spans="1:2" x14ac:dyDescent="0.25">
      <c r="A2182" s="49">
        <v>928531047</v>
      </c>
      <c r="B2182" s="49" t="s">
        <v>1022</v>
      </c>
    </row>
    <row r="2183" spans="1:2" x14ac:dyDescent="0.25">
      <c r="A2183" s="49">
        <v>1114306113</v>
      </c>
      <c r="B2183" s="49" t="s">
        <v>844</v>
      </c>
    </row>
    <row r="2184" spans="1:2" x14ac:dyDescent="0.25">
      <c r="A2184" s="49">
        <v>1134033020</v>
      </c>
      <c r="B2184" s="49" t="s">
        <v>169</v>
      </c>
    </row>
    <row r="2185" spans="1:2" x14ac:dyDescent="0.25">
      <c r="A2185" s="49">
        <v>1147079172</v>
      </c>
      <c r="B2185" s="49" t="s">
        <v>1375</v>
      </c>
    </row>
    <row r="2186" spans="1:2" x14ac:dyDescent="0.25">
      <c r="A2186" s="49">
        <v>1172541213</v>
      </c>
      <c r="B2186" s="49" t="s">
        <v>1243</v>
      </c>
    </row>
    <row r="2187" spans="1:2" x14ac:dyDescent="0.25">
      <c r="A2187" s="49">
        <v>1281957726</v>
      </c>
      <c r="B2187" s="49" t="s">
        <v>1527</v>
      </c>
    </row>
    <row r="2188" spans="1:2" x14ac:dyDescent="0.25">
      <c r="A2188" s="49">
        <v>1346217075</v>
      </c>
      <c r="B2188" s="49" t="s">
        <v>1793</v>
      </c>
    </row>
    <row r="2189" spans="1:2" x14ac:dyDescent="0.25">
      <c r="A2189" s="49">
        <v>1374605509</v>
      </c>
      <c r="B2189" s="49" t="s">
        <v>3673</v>
      </c>
    </row>
    <row r="2190" spans="1:2" x14ac:dyDescent="0.25">
      <c r="A2190" s="49">
        <v>610135001</v>
      </c>
      <c r="B2190" s="49" t="s">
        <v>643</v>
      </c>
    </row>
    <row r="2191" spans="1:2" x14ac:dyDescent="0.25">
      <c r="A2191" s="49">
        <v>899581098</v>
      </c>
      <c r="B2191" s="49" t="s">
        <v>1172</v>
      </c>
    </row>
    <row r="2192" spans="1:2" x14ac:dyDescent="0.25">
      <c r="A2192" s="49">
        <v>689720110</v>
      </c>
      <c r="B2192" s="49" t="s">
        <v>1252</v>
      </c>
    </row>
    <row r="2193" spans="1:2" x14ac:dyDescent="0.25">
      <c r="A2193" s="49">
        <v>739631937</v>
      </c>
      <c r="B2193" s="49" t="s">
        <v>503</v>
      </c>
    </row>
    <row r="2194" spans="1:2" x14ac:dyDescent="0.25">
      <c r="A2194" s="49">
        <v>776732006</v>
      </c>
      <c r="B2194" s="49" t="s">
        <v>1573</v>
      </c>
    </row>
    <row r="2195" spans="1:2" x14ac:dyDescent="0.25">
      <c r="A2195" s="49">
        <v>841091891</v>
      </c>
      <c r="B2195" s="49" t="s">
        <v>1395</v>
      </c>
    </row>
    <row r="2196" spans="1:2" x14ac:dyDescent="0.25">
      <c r="A2196" s="49">
        <v>1100198806</v>
      </c>
      <c r="B2196" s="49" t="s">
        <v>774</v>
      </c>
    </row>
    <row r="2197" spans="1:2" x14ac:dyDescent="0.25">
      <c r="A2197" s="49">
        <v>1161021729</v>
      </c>
      <c r="B2197" s="49" t="s">
        <v>1029</v>
      </c>
    </row>
    <row r="2198" spans="1:2" x14ac:dyDescent="0.25">
      <c r="A2198" s="49">
        <v>639594722</v>
      </c>
      <c r="B2198" s="49" t="s">
        <v>1503</v>
      </c>
    </row>
    <row r="2199" spans="1:2" x14ac:dyDescent="0.25">
      <c r="A2199" s="49">
        <v>605724223</v>
      </c>
      <c r="B2199" s="49" t="s">
        <v>640</v>
      </c>
    </row>
    <row r="2200" spans="1:2" x14ac:dyDescent="0.25">
      <c r="A2200" s="49">
        <v>616505384</v>
      </c>
      <c r="B2200" s="49" t="s">
        <v>1024</v>
      </c>
    </row>
    <row r="2201" spans="1:2" x14ac:dyDescent="0.25">
      <c r="A2201" s="49">
        <v>649100825</v>
      </c>
      <c r="B2201" s="49" t="s">
        <v>620</v>
      </c>
    </row>
    <row r="2202" spans="1:2" x14ac:dyDescent="0.25">
      <c r="A2202" s="49">
        <v>649738317</v>
      </c>
      <c r="B2202" s="49" t="s">
        <v>473</v>
      </c>
    </row>
    <row r="2203" spans="1:2" x14ac:dyDescent="0.25">
      <c r="A2203" s="49">
        <v>651483876</v>
      </c>
      <c r="B2203" s="49" t="s">
        <v>900</v>
      </c>
    </row>
    <row r="2204" spans="1:2" x14ac:dyDescent="0.25">
      <c r="A2204" s="49">
        <v>674978514</v>
      </c>
      <c r="B2204" s="49" t="s">
        <v>1485</v>
      </c>
    </row>
    <row r="2205" spans="1:2" x14ac:dyDescent="0.25">
      <c r="A2205" s="49">
        <v>753581842</v>
      </c>
      <c r="B2205" s="49" t="s">
        <v>960</v>
      </c>
    </row>
    <row r="2206" spans="1:2" x14ac:dyDescent="0.25">
      <c r="A2206" s="49">
        <v>759924428</v>
      </c>
      <c r="B2206" s="49" t="s">
        <v>236</v>
      </c>
    </row>
    <row r="2207" spans="1:2" x14ac:dyDescent="0.25">
      <c r="A2207" s="49">
        <v>769911204</v>
      </c>
      <c r="B2207" s="49" t="s">
        <v>144</v>
      </c>
    </row>
    <row r="2208" spans="1:2" x14ac:dyDescent="0.25">
      <c r="A2208" s="49">
        <v>776433123</v>
      </c>
      <c r="B2208" s="49" t="s">
        <v>118</v>
      </c>
    </row>
    <row r="2209" spans="1:2" x14ac:dyDescent="0.25">
      <c r="A2209" s="49">
        <v>781329322</v>
      </c>
      <c r="B2209" s="49" t="s">
        <v>1215</v>
      </c>
    </row>
    <row r="2210" spans="1:2" x14ac:dyDescent="0.25">
      <c r="A2210" s="49">
        <v>826588611</v>
      </c>
      <c r="B2210" s="49" t="s">
        <v>1364</v>
      </c>
    </row>
    <row r="2211" spans="1:2" x14ac:dyDescent="0.25">
      <c r="A2211" s="49">
        <v>863026619</v>
      </c>
      <c r="B2211" s="49" t="s">
        <v>1613</v>
      </c>
    </row>
    <row r="2212" spans="1:2" x14ac:dyDescent="0.25">
      <c r="A2212" s="49">
        <v>877489997</v>
      </c>
      <c r="B2212" s="49" t="s">
        <v>539</v>
      </c>
    </row>
    <row r="2213" spans="1:2" x14ac:dyDescent="0.25">
      <c r="A2213" s="49">
        <v>900854375</v>
      </c>
      <c r="B2213" s="49" t="s">
        <v>104</v>
      </c>
    </row>
    <row r="2214" spans="1:2" x14ac:dyDescent="0.25">
      <c r="A2214" s="49">
        <v>909575366</v>
      </c>
      <c r="B2214" s="49" t="s">
        <v>594</v>
      </c>
    </row>
    <row r="2215" spans="1:2" x14ac:dyDescent="0.25">
      <c r="A2215" s="49">
        <v>933695476</v>
      </c>
      <c r="B2215" s="49" t="s">
        <v>367</v>
      </c>
    </row>
    <row r="2216" spans="1:2" x14ac:dyDescent="0.25">
      <c r="A2216" s="49">
        <v>1122671168</v>
      </c>
      <c r="B2216" s="49" t="s">
        <v>1675</v>
      </c>
    </row>
    <row r="2217" spans="1:2" x14ac:dyDescent="0.25">
      <c r="A2217" s="49">
        <v>1142730530</v>
      </c>
      <c r="B2217" s="49" t="s">
        <v>1671</v>
      </c>
    </row>
    <row r="2218" spans="1:2" x14ac:dyDescent="0.25">
      <c r="A2218" s="49">
        <v>1142719789</v>
      </c>
      <c r="B2218" s="49" t="s">
        <v>1324</v>
      </c>
    </row>
    <row r="2219" spans="1:2" x14ac:dyDescent="0.25">
      <c r="A2219" s="49">
        <v>1179938175</v>
      </c>
      <c r="B2219" s="49" t="s">
        <v>112</v>
      </c>
    </row>
    <row r="2220" spans="1:2" x14ac:dyDescent="0.25">
      <c r="A2220" s="49">
        <v>620860881</v>
      </c>
      <c r="B2220" s="49" t="s">
        <v>493</v>
      </c>
    </row>
    <row r="2221" spans="1:2" x14ac:dyDescent="0.25">
      <c r="A2221" s="49">
        <v>776732911</v>
      </c>
      <c r="B2221" s="49" t="s">
        <v>1574</v>
      </c>
    </row>
    <row r="2222" spans="1:2" x14ac:dyDescent="0.25">
      <c r="A2222" s="49">
        <v>676760829</v>
      </c>
      <c r="B2222" s="49" t="s">
        <v>1405</v>
      </c>
    </row>
    <row r="2223" spans="1:2" x14ac:dyDescent="0.25">
      <c r="A2223" s="49">
        <v>619284494</v>
      </c>
      <c r="B2223" s="49" t="s">
        <v>536</v>
      </c>
    </row>
    <row r="2224" spans="1:2" x14ac:dyDescent="0.25">
      <c r="A2224" s="49">
        <v>640010365</v>
      </c>
      <c r="B2224" s="49" t="s">
        <v>1588</v>
      </c>
    </row>
    <row r="2225" spans="1:2" x14ac:dyDescent="0.25">
      <c r="A2225" s="49">
        <v>704081473</v>
      </c>
      <c r="B2225" s="49" t="s">
        <v>3666</v>
      </c>
    </row>
    <row r="2226" spans="1:2" x14ac:dyDescent="0.25">
      <c r="A2226" s="49">
        <v>754564154</v>
      </c>
      <c r="B2226" s="49" t="s">
        <v>1004</v>
      </c>
    </row>
    <row r="2227" spans="1:2" x14ac:dyDescent="0.25">
      <c r="A2227" s="49">
        <v>762436355</v>
      </c>
      <c r="B2227" s="49" t="s">
        <v>608</v>
      </c>
    </row>
    <row r="2228" spans="1:2" x14ac:dyDescent="0.25">
      <c r="A2228" s="49">
        <v>776433575</v>
      </c>
      <c r="B2228" s="49" t="s">
        <v>195</v>
      </c>
    </row>
    <row r="2229" spans="1:2" x14ac:dyDescent="0.25">
      <c r="A2229" s="49">
        <v>777641051</v>
      </c>
      <c r="B2229" s="49" t="s">
        <v>1076</v>
      </c>
    </row>
    <row r="2230" spans="1:2" x14ac:dyDescent="0.25">
      <c r="A2230" s="49">
        <v>778286378</v>
      </c>
      <c r="B2230" s="49" t="s">
        <v>1091</v>
      </c>
    </row>
    <row r="2231" spans="1:2" x14ac:dyDescent="0.25">
      <c r="A2231" s="49">
        <v>778988475</v>
      </c>
      <c r="B2231" s="49" t="s">
        <v>378</v>
      </c>
    </row>
    <row r="2232" spans="1:2" x14ac:dyDescent="0.25">
      <c r="A2232" s="49">
        <v>781798857</v>
      </c>
      <c r="B2232" s="49" t="s">
        <v>129</v>
      </c>
    </row>
    <row r="2233" spans="1:2" x14ac:dyDescent="0.25">
      <c r="A2233" s="49">
        <v>797660194</v>
      </c>
      <c r="B2233" s="49" t="s">
        <v>1473</v>
      </c>
    </row>
    <row r="2234" spans="1:2" x14ac:dyDescent="0.25">
      <c r="A2234" s="49">
        <v>867877071</v>
      </c>
      <c r="B2234" s="49" t="s">
        <v>926</v>
      </c>
    </row>
    <row r="2235" spans="1:2" x14ac:dyDescent="0.25">
      <c r="A2235" s="49">
        <v>876199909</v>
      </c>
      <c r="B2235" s="49" t="s">
        <v>540</v>
      </c>
    </row>
    <row r="2236" spans="1:2" x14ac:dyDescent="0.25">
      <c r="A2236" s="49">
        <v>909421338</v>
      </c>
      <c r="B2236" s="49" t="s">
        <v>902</v>
      </c>
    </row>
    <row r="2237" spans="1:2" x14ac:dyDescent="0.25">
      <c r="A2237" s="49">
        <v>918953941</v>
      </c>
      <c r="B2237" s="49" t="s">
        <v>76</v>
      </c>
    </row>
    <row r="2238" spans="1:2" x14ac:dyDescent="0.25">
      <c r="A2238" s="49">
        <v>919484073</v>
      </c>
      <c r="B2238" s="49" t="s">
        <v>83</v>
      </c>
    </row>
    <row r="2239" spans="1:2" x14ac:dyDescent="0.25">
      <c r="A2239" s="49">
        <v>933225525</v>
      </c>
      <c r="B2239" s="49" t="s">
        <v>157</v>
      </c>
    </row>
    <row r="2240" spans="1:2" x14ac:dyDescent="0.25">
      <c r="A2240" s="49">
        <v>1170081631</v>
      </c>
      <c r="B2240" s="49" t="s">
        <v>1475</v>
      </c>
    </row>
    <row r="2241" spans="1:2" x14ac:dyDescent="0.25">
      <c r="A2241" s="49">
        <v>1182481324</v>
      </c>
      <c r="B2241" s="49" t="s">
        <v>1710</v>
      </c>
    </row>
    <row r="2242" spans="1:2" x14ac:dyDescent="0.25">
      <c r="A2242" s="49">
        <v>1285915519</v>
      </c>
      <c r="B2242" s="49" t="s">
        <v>1108</v>
      </c>
    </row>
    <row r="2243" spans="1:2" x14ac:dyDescent="0.25">
      <c r="A2243" s="49">
        <v>1321623234</v>
      </c>
      <c r="B2243" s="49" t="s">
        <v>1740</v>
      </c>
    </row>
    <row r="2244" spans="1:2" x14ac:dyDescent="0.25">
      <c r="A2244" s="49">
        <v>1323518727</v>
      </c>
      <c r="B2244" s="49" t="s">
        <v>894</v>
      </c>
    </row>
    <row r="2245" spans="1:2" x14ac:dyDescent="0.25">
      <c r="A2245" s="49">
        <v>1370177442</v>
      </c>
      <c r="B2245" s="49" t="s">
        <v>694</v>
      </c>
    </row>
    <row r="2246" spans="1:2" x14ac:dyDescent="0.25">
      <c r="A2246" s="49">
        <v>1423204934</v>
      </c>
      <c r="B2246" s="49" t="s">
        <v>1529</v>
      </c>
    </row>
    <row r="2247" spans="1:2" x14ac:dyDescent="0.25">
      <c r="A2247" s="49">
        <v>1373198991</v>
      </c>
      <c r="B2247" s="49" t="s">
        <v>804</v>
      </c>
    </row>
    <row r="2248" spans="1:2" x14ac:dyDescent="0.25">
      <c r="A2248" s="49">
        <v>618905320</v>
      </c>
      <c r="B2248" s="49" t="s">
        <v>471</v>
      </c>
    </row>
    <row r="2249" spans="1:2" x14ac:dyDescent="0.25">
      <c r="A2249" s="49">
        <v>830315742</v>
      </c>
      <c r="B2249" s="49" t="s">
        <v>1299</v>
      </c>
    </row>
    <row r="2250" spans="1:2" x14ac:dyDescent="0.25">
      <c r="A2250" s="49">
        <v>650532031</v>
      </c>
      <c r="B2250" s="49" t="s">
        <v>61</v>
      </c>
    </row>
    <row r="2251" spans="1:2" x14ac:dyDescent="0.25">
      <c r="A2251" s="49">
        <v>770185940</v>
      </c>
      <c r="B2251" s="49" t="s">
        <v>1510</v>
      </c>
    </row>
    <row r="2252" spans="1:2" x14ac:dyDescent="0.25">
      <c r="A2252" s="49">
        <v>919170521</v>
      </c>
      <c r="B2252" s="49" t="s">
        <v>501</v>
      </c>
    </row>
    <row r="2253" spans="1:2" x14ac:dyDescent="0.25">
      <c r="A2253" s="49">
        <v>781940697</v>
      </c>
      <c r="B2253" s="49" t="s">
        <v>1223</v>
      </c>
    </row>
    <row r="2254" spans="1:2" x14ac:dyDescent="0.25">
      <c r="A2254" s="49">
        <v>1128978384</v>
      </c>
      <c r="B2254" s="49" t="s">
        <v>775</v>
      </c>
    </row>
    <row r="2255" spans="1:2" x14ac:dyDescent="0.25">
      <c r="A2255" s="49">
        <v>1147530892</v>
      </c>
      <c r="B2255" s="49" t="s">
        <v>1603</v>
      </c>
    </row>
    <row r="2256" spans="1:2" x14ac:dyDescent="0.25">
      <c r="A2256" s="49">
        <v>776594401</v>
      </c>
      <c r="B2256" s="49" t="s">
        <v>1528</v>
      </c>
    </row>
    <row r="2257" spans="1:2" x14ac:dyDescent="0.25">
      <c r="A2257" s="49">
        <v>612229249</v>
      </c>
      <c r="B2257" s="49" t="s">
        <v>337</v>
      </c>
    </row>
    <row r="2258" spans="1:2" x14ac:dyDescent="0.25">
      <c r="A2258" s="49">
        <v>641168973</v>
      </c>
      <c r="B2258" s="49" t="s">
        <v>1121</v>
      </c>
    </row>
    <row r="2259" spans="1:2" x14ac:dyDescent="0.25">
      <c r="A2259" s="49">
        <v>641410838</v>
      </c>
      <c r="B2259" s="49" t="s">
        <v>341</v>
      </c>
    </row>
    <row r="2260" spans="1:2" x14ac:dyDescent="0.25">
      <c r="A2260" s="49">
        <v>664574494</v>
      </c>
      <c r="B2260" s="49" t="s">
        <v>1575</v>
      </c>
    </row>
    <row r="2261" spans="1:2" x14ac:dyDescent="0.25">
      <c r="A2261" s="49">
        <v>701729654</v>
      </c>
      <c r="B2261" s="49" t="s">
        <v>344</v>
      </c>
    </row>
    <row r="2262" spans="1:2" x14ac:dyDescent="0.25">
      <c r="A2262" s="49">
        <v>706519219</v>
      </c>
      <c r="B2262" s="49" t="s">
        <v>751</v>
      </c>
    </row>
    <row r="2263" spans="1:2" x14ac:dyDescent="0.25">
      <c r="A2263" s="49">
        <v>759563020</v>
      </c>
      <c r="B2263" s="49" t="s">
        <v>1661</v>
      </c>
    </row>
    <row r="2264" spans="1:2" x14ac:dyDescent="0.25">
      <c r="A2264" s="49">
        <v>759549999</v>
      </c>
      <c r="B2264" s="49" t="s">
        <v>1553</v>
      </c>
    </row>
    <row r="2265" spans="1:2" x14ac:dyDescent="0.25">
      <c r="A2265" s="49">
        <v>762435193</v>
      </c>
      <c r="B2265" s="49" t="s">
        <v>1053</v>
      </c>
    </row>
    <row r="2266" spans="1:2" x14ac:dyDescent="0.25">
      <c r="A2266" s="49">
        <v>777653025</v>
      </c>
      <c r="B2266" s="49" t="s">
        <v>324</v>
      </c>
    </row>
    <row r="2267" spans="1:2" x14ac:dyDescent="0.25">
      <c r="A2267" s="49">
        <v>784478712</v>
      </c>
      <c r="B2267" s="49" t="s">
        <v>976</v>
      </c>
    </row>
    <row r="2268" spans="1:2" x14ac:dyDescent="0.25">
      <c r="A2268" s="49">
        <v>788864936</v>
      </c>
      <c r="B2268" s="49" t="s">
        <v>148</v>
      </c>
    </row>
    <row r="2269" spans="1:2" x14ac:dyDescent="0.25">
      <c r="A2269" s="49">
        <v>864534509</v>
      </c>
      <c r="B2269" s="49" t="s">
        <v>1307</v>
      </c>
    </row>
    <row r="2270" spans="1:2" x14ac:dyDescent="0.25">
      <c r="A2270" s="49">
        <v>868772983</v>
      </c>
      <c r="B2270" s="49" t="s">
        <v>387</v>
      </c>
    </row>
    <row r="2271" spans="1:2" x14ac:dyDescent="0.25">
      <c r="A2271" s="49">
        <v>868770408</v>
      </c>
      <c r="B2271" s="49" t="s">
        <v>392</v>
      </c>
    </row>
    <row r="2272" spans="1:2" x14ac:dyDescent="0.25">
      <c r="A2272" s="49">
        <v>878722321</v>
      </c>
      <c r="B2272" s="49" t="s">
        <v>1378</v>
      </c>
    </row>
    <row r="2273" spans="1:2" x14ac:dyDescent="0.25">
      <c r="A2273" s="49">
        <v>878923650</v>
      </c>
      <c r="B2273" s="49" t="s">
        <v>905</v>
      </c>
    </row>
    <row r="2274" spans="1:2" x14ac:dyDescent="0.25">
      <c r="A2274" s="49">
        <v>928624737</v>
      </c>
      <c r="B2274" s="49" t="s">
        <v>1574</v>
      </c>
    </row>
    <row r="2275" spans="1:2" x14ac:dyDescent="0.25">
      <c r="A2275" s="49">
        <v>929153043</v>
      </c>
      <c r="B2275" s="49" t="s">
        <v>1015</v>
      </c>
    </row>
    <row r="2276" spans="1:2" x14ac:dyDescent="0.25">
      <c r="A2276" s="49">
        <v>1103355198</v>
      </c>
      <c r="B2276" s="49" t="s">
        <v>856</v>
      </c>
    </row>
    <row r="2277" spans="1:2" x14ac:dyDescent="0.25">
      <c r="A2277" s="49">
        <v>1120334970</v>
      </c>
      <c r="B2277" s="49" t="s">
        <v>660</v>
      </c>
    </row>
    <row r="2278" spans="1:2" x14ac:dyDescent="0.25">
      <c r="A2278" s="49">
        <v>1127924240</v>
      </c>
      <c r="B2278" s="49" t="s">
        <v>1445</v>
      </c>
    </row>
    <row r="2279" spans="1:2" x14ac:dyDescent="0.25">
      <c r="A2279" s="49">
        <v>1163406414</v>
      </c>
      <c r="B2279" s="49" t="s">
        <v>231</v>
      </c>
    </row>
    <row r="2280" spans="1:2" x14ac:dyDescent="0.25">
      <c r="A2280" s="49">
        <v>1182422576</v>
      </c>
      <c r="B2280" s="49" t="s">
        <v>258</v>
      </c>
    </row>
    <row r="2281" spans="1:2" x14ac:dyDescent="0.25">
      <c r="A2281" s="49">
        <v>1188052154</v>
      </c>
      <c r="B2281" s="49" t="s">
        <v>922</v>
      </c>
    </row>
    <row r="2282" spans="1:2" x14ac:dyDescent="0.25">
      <c r="A2282" s="49">
        <v>1229014427</v>
      </c>
      <c r="B2282" s="49" t="s">
        <v>1721</v>
      </c>
    </row>
    <row r="2283" spans="1:2" x14ac:dyDescent="0.25">
      <c r="A2283" s="49">
        <v>1355659176</v>
      </c>
      <c r="B2283" s="49" t="s">
        <v>1809</v>
      </c>
    </row>
    <row r="2284" spans="1:2" x14ac:dyDescent="0.25">
      <c r="A2284" s="49">
        <v>1423279304</v>
      </c>
      <c r="B2284" s="49" t="s">
        <v>938</v>
      </c>
    </row>
    <row r="2285" spans="1:2" x14ac:dyDescent="0.25">
      <c r="A2285" s="49">
        <v>1379561567</v>
      </c>
      <c r="B2285" s="49" t="s">
        <v>1537</v>
      </c>
    </row>
    <row r="2286" spans="1:2" x14ac:dyDescent="0.25">
      <c r="A2286" s="49">
        <v>765896180</v>
      </c>
      <c r="B2286" s="49" t="s">
        <v>883</v>
      </c>
    </row>
    <row r="2287" spans="1:2" x14ac:dyDescent="0.25">
      <c r="A2287" s="49">
        <v>873051847</v>
      </c>
      <c r="B2287" s="49" t="s">
        <v>193</v>
      </c>
    </row>
    <row r="2288" spans="1:2" x14ac:dyDescent="0.25">
      <c r="A2288" s="49">
        <v>875443251</v>
      </c>
      <c r="B2288" s="49" t="s">
        <v>1187</v>
      </c>
    </row>
    <row r="2289" spans="1:2" x14ac:dyDescent="0.25">
      <c r="A2289" s="49">
        <v>683012262</v>
      </c>
      <c r="B2289" s="49" t="s">
        <v>1489</v>
      </c>
    </row>
    <row r="2290" spans="1:2" x14ac:dyDescent="0.25">
      <c r="A2290" s="49">
        <v>762438350</v>
      </c>
      <c r="B2290" s="49" t="s">
        <v>530</v>
      </c>
    </row>
    <row r="2291" spans="1:2" x14ac:dyDescent="0.25">
      <c r="A2291" s="49">
        <v>782122106</v>
      </c>
      <c r="B2291" s="49" t="s">
        <v>1325</v>
      </c>
    </row>
    <row r="2292" spans="1:2" x14ac:dyDescent="0.25">
      <c r="A2292" s="49">
        <v>822001274</v>
      </c>
      <c r="B2292" s="49" t="s">
        <v>1448</v>
      </c>
    </row>
    <row r="2293" spans="1:2" x14ac:dyDescent="0.25">
      <c r="A2293" s="49">
        <v>934671141</v>
      </c>
      <c r="B2293" s="49" t="s">
        <v>1411</v>
      </c>
    </row>
    <row r="2294" spans="1:2" x14ac:dyDescent="0.25">
      <c r="A2294" s="49">
        <v>1114207389</v>
      </c>
      <c r="B2294" s="49" t="s">
        <v>205</v>
      </c>
    </row>
    <row r="2295" spans="1:2" x14ac:dyDescent="0.25">
      <c r="A2295" s="49">
        <v>1149367281</v>
      </c>
      <c r="B2295" s="49" t="s">
        <v>1038</v>
      </c>
    </row>
    <row r="2296" spans="1:2" x14ac:dyDescent="0.25">
      <c r="A2296" s="49">
        <v>662748930</v>
      </c>
      <c r="B2296" s="49" t="s">
        <v>111</v>
      </c>
    </row>
    <row r="2297" spans="1:2" x14ac:dyDescent="0.25">
      <c r="A2297" s="49">
        <v>679388171</v>
      </c>
      <c r="B2297" s="49" t="s">
        <v>1457</v>
      </c>
    </row>
    <row r="2298" spans="1:2" x14ac:dyDescent="0.25">
      <c r="A2298" s="49">
        <v>766750911</v>
      </c>
      <c r="B2298" s="49" t="s">
        <v>3646</v>
      </c>
    </row>
    <row r="2299" spans="1:2" x14ac:dyDescent="0.25">
      <c r="A2299" s="49">
        <v>1344994786</v>
      </c>
      <c r="B2299" s="49" t="s">
        <v>1779</v>
      </c>
    </row>
    <row r="2300" spans="1:2" x14ac:dyDescent="0.25">
      <c r="A2300" s="49">
        <v>1357359554</v>
      </c>
      <c r="B2300" s="49" t="s">
        <v>1813</v>
      </c>
    </row>
    <row r="2301" spans="1:2" x14ac:dyDescent="0.25">
      <c r="A2301" s="49">
        <v>613078577</v>
      </c>
      <c r="B2301" s="49" t="s">
        <v>665</v>
      </c>
    </row>
    <row r="2302" spans="1:2" x14ac:dyDescent="0.25">
      <c r="A2302" s="49">
        <v>614138593</v>
      </c>
      <c r="B2302" s="49" t="s">
        <v>1221</v>
      </c>
    </row>
    <row r="2303" spans="1:2" x14ac:dyDescent="0.25">
      <c r="A2303" s="49">
        <v>651484790</v>
      </c>
      <c r="B2303" s="49" t="s">
        <v>901</v>
      </c>
    </row>
    <row r="2304" spans="1:2" x14ac:dyDescent="0.25">
      <c r="A2304" s="49">
        <v>682865229</v>
      </c>
      <c r="B2304" s="49" t="s">
        <v>573</v>
      </c>
    </row>
    <row r="2305" spans="1:2" x14ac:dyDescent="0.25">
      <c r="A2305" s="49">
        <v>759930079</v>
      </c>
      <c r="B2305" s="49" t="s">
        <v>227</v>
      </c>
    </row>
    <row r="2306" spans="1:2" x14ac:dyDescent="0.25">
      <c r="A2306" s="49">
        <v>776564266</v>
      </c>
      <c r="B2306" s="49" t="s">
        <v>600</v>
      </c>
    </row>
    <row r="2307" spans="1:2" x14ac:dyDescent="0.25">
      <c r="A2307" s="49">
        <v>778014736</v>
      </c>
      <c r="B2307" s="49" t="s">
        <v>783</v>
      </c>
    </row>
    <row r="2308" spans="1:2" x14ac:dyDescent="0.25">
      <c r="A2308" s="49">
        <v>781330742</v>
      </c>
      <c r="B2308" s="49" t="s">
        <v>1282</v>
      </c>
    </row>
    <row r="2309" spans="1:2" x14ac:dyDescent="0.25">
      <c r="A2309" s="49">
        <v>783534936</v>
      </c>
      <c r="B2309" s="49" t="s">
        <v>531</v>
      </c>
    </row>
    <row r="2310" spans="1:2" x14ac:dyDescent="0.25">
      <c r="A2310" s="49">
        <v>784934694</v>
      </c>
      <c r="B2310" s="49" t="s">
        <v>722</v>
      </c>
    </row>
    <row r="2311" spans="1:2" x14ac:dyDescent="0.25">
      <c r="A2311" s="49">
        <v>784930182</v>
      </c>
      <c r="B2311" s="49" t="s">
        <v>719</v>
      </c>
    </row>
    <row r="2312" spans="1:2" x14ac:dyDescent="0.25">
      <c r="A2312" s="49">
        <v>797620961</v>
      </c>
      <c r="B2312" s="49" t="s">
        <v>1464</v>
      </c>
    </row>
    <row r="2313" spans="1:2" x14ac:dyDescent="0.25">
      <c r="A2313" s="49">
        <v>821708570</v>
      </c>
      <c r="B2313" s="49" t="s">
        <v>515</v>
      </c>
    </row>
    <row r="2314" spans="1:2" x14ac:dyDescent="0.25">
      <c r="A2314" s="49">
        <v>821872971</v>
      </c>
      <c r="B2314" s="49" t="s">
        <v>510</v>
      </c>
    </row>
    <row r="2315" spans="1:2" x14ac:dyDescent="0.25">
      <c r="A2315" s="49">
        <v>875608989</v>
      </c>
      <c r="B2315" s="49" t="s">
        <v>546</v>
      </c>
    </row>
    <row r="2316" spans="1:2" x14ac:dyDescent="0.25">
      <c r="A2316" s="49">
        <v>877477388</v>
      </c>
      <c r="B2316" s="49" t="s">
        <v>547</v>
      </c>
    </row>
    <row r="2317" spans="1:2" x14ac:dyDescent="0.25">
      <c r="A2317" s="49">
        <v>907429214</v>
      </c>
      <c r="B2317" s="49" t="s">
        <v>154</v>
      </c>
    </row>
    <row r="2318" spans="1:2" x14ac:dyDescent="0.25">
      <c r="A2318" s="49">
        <v>912753178</v>
      </c>
      <c r="B2318" s="49" t="s">
        <v>1370</v>
      </c>
    </row>
    <row r="2319" spans="1:2" x14ac:dyDescent="0.25">
      <c r="A2319" s="49">
        <v>913081575</v>
      </c>
      <c r="B2319" s="49" t="s">
        <v>1203</v>
      </c>
    </row>
    <row r="2320" spans="1:2" x14ac:dyDescent="0.25">
      <c r="A2320" s="49">
        <v>929153087</v>
      </c>
      <c r="B2320" s="49" t="s">
        <v>1452</v>
      </c>
    </row>
    <row r="2321" spans="1:2" x14ac:dyDescent="0.25">
      <c r="A2321" s="49">
        <v>1111024820</v>
      </c>
      <c r="B2321" s="49" t="s">
        <v>842</v>
      </c>
    </row>
    <row r="2322" spans="1:2" x14ac:dyDescent="0.25">
      <c r="A2322" s="49">
        <v>1174601552</v>
      </c>
      <c r="B2322" s="49" t="s">
        <v>801</v>
      </c>
    </row>
    <row r="2323" spans="1:2" x14ac:dyDescent="0.25">
      <c r="A2323" s="49">
        <v>1185374740</v>
      </c>
      <c r="B2323" s="49" t="s">
        <v>1431</v>
      </c>
    </row>
    <row r="2324" spans="1:2" x14ac:dyDescent="0.25">
      <c r="A2324" s="49">
        <v>1186231722</v>
      </c>
      <c r="B2324" s="49" t="s">
        <v>1720</v>
      </c>
    </row>
    <row r="2325" spans="1:2" x14ac:dyDescent="0.25">
      <c r="A2325" s="49">
        <v>1375813145</v>
      </c>
      <c r="B2325" s="49" t="s">
        <v>689</v>
      </c>
    </row>
    <row r="2326" spans="1:2" x14ac:dyDescent="0.25">
      <c r="A2326" s="49">
        <v>1451608458</v>
      </c>
      <c r="B2326" s="49" t="s">
        <v>815</v>
      </c>
    </row>
    <row r="2327" spans="1:2" x14ac:dyDescent="0.25">
      <c r="A2327" s="49">
        <v>781293801</v>
      </c>
      <c r="B2327" s="49" t="s">
        <v>762</v>
      </c>
    </row>
    <row r="2328" spans="1:2" x14ac:dyDescent="0.25">
      <c r="A2328" s="49">
        <v>835463681</v>
      </c>
      <c r="B2328" s="49" t="s">
        <v>1350</v>
      </c>
    </row>
    <row r="2329" spans="1:2" x14ac:dyDescent="0.25">
      <c r="A2329" s="49">
        <v>706553407</v>
      </c>
      <c r="B2329" s="49" t="s">
        <v>207</v>
      </c>
    </row>
    <row r="2330" spans="1:2" x14ac:dyDescent="0.25">
      <c r="A2330" s="49">
        <v>776731666</v>
      </c>
      <c r="B2330" s="49" t="s">
        <v>1437</v>
      </c>
    </row>
    <row r="2331" spans="1:2" x14ac:dyDescent="0.25">
      <c r="A2331" s="49">
        <v>935712806</v>
      </c>
      <c r="B2331" s="49" t="s">
        <v>412</v>
      </c>
    </row>
    <row r="2332" spans="1:2" x14ac:dyDescent="0.25">
      <c r="A2332" s="49">
        <v>735908100</v>
      </c>
      <c r="B2332" s="49" t="s">
        <v>1017</v>
      </c>
    </row>
    <row r="2333" spans="1:2" x14ac:dyDescent="0.25">
      <c r="A2333" s="49">
        <v>648290709</v>
      </c>
      <c r="B2333" s="49" t="s">
        <v>103</v>
      </c>
    </row>
    <row r="2334" spans="1:2" x14ac:dyDescent="0.25">
      <c r="A2334" s="49">
        <v>648611565</v>
      </c>
      <c r="B2334" s="49" t="s">
        <v>1298</v>
      </c>
    </row>
    <row r="2335" spans="1:2" x14ac:dyDescent="0.25">
      <c r="A2335" s="49">
        <v>681774147</v>
      </c>
      <c r="B2335" s="49" t="s">
        <v>295</v>
      </c>
    </row>
    <row r="2336" spans="1:2" x14ac:dyDescent="0.25">
      <c r="A2336" s="49">
        <v>738292918</v>
      </c>
      <c r="B2336" s="49" t="s">
        <v>593</v>
      </c>
    </row>
    <row r="2337" spans="1:2" x14ac:dyDescent="0.25">
      <c r="A2337" s="49">
        <v>758403584</v>
      </c>
      <c r="B2337" s="49" t="s">
        <v>901</v>
      </c>
    </row>
    <row r="2338" spans="1:2" x14ac:dyDescent="0.25">
      <c r="A2338" s="49">
        <v>766940639</v>
      </c>
      <c r="B2338" s="49" t="s">
        <v>1476</v>
      </c>
    </row>
    <row r="2339" spans="1:2" x14ac:dyDescent="0.25">
      <c r="A2339" s="49">
        <v>777652940</v>
      </c>
      <c r="B2339" s="49" t="s">
        <v>335</v>
      </c>
    </row>
    <row r="2340" spans="1:2" x14ac:dyDescent="0.25">
      <c r="A2340" s="49">
        <v>779928083</v>
      </c>
      <c r="B2340" s="49" t="s">
        <v>522</v>
      </c>
    </row>
    <row r="2341" spans="1:2" x14ac:dyDescent="0.25">
      <c r="A2341" s="49">
        <v>782129853</v>
      </c>
      <c r="B2341" s="49" t="s">
        <v>1197</v>
      </c>
    </row>
    <row r="2342" spans="1:2" x14ac:dyDescent="0.25">
      <c r="A2342" s="49">
        <v>785144744</v>
      </c>
      <c r="B2342" s="49" t="s">
        <v>137</v>
      </c>
    </row>
    <row r="2343" spans="1:2" x14ac:dyDescent="0.25">
      <c r="A2343" s="49">
        <v>861907907</v>
      </c>
      <c r="B2343" s="49" t="s">
        <v>1579</v>
      </c>
    </row>
    <row r="2344" spans="1:2" x14ac:dyDescent="0.25">
      <c r="A2344" s="49">
        <v>1105695202</v>
      </c>
      <c r="B2344" s="49" t="s">
        <v>1664</v>
      </c>
    </row>
    <row r="2345" spans="1:2" x14ac:dyDescent="0.25">
      <c r="A2345" s="49">
        <v>1345896309</v>
      </c>
      <c r="B2345" s="49" t="s">
        <v>1798</v>
      </c>
    </row>
    <row r="2346" spans="1:2" x14ac:dyDescent="0.25">
      <c r="A2346" s="49">
        <v>800364137</v>
      </c>
      <c r="B2346" s="49" t="s">
        <v>218</v>
      </c>
    </row>
    <row r="2347" spans="1:2" x14ac:dyDescent="0.25">
      <c r="A2347" s="49">
        <v>800356347</v>
      </c>
      <c r="B2347" s="49" t="s">
        <v>261</v>
      </c>
    </row>
    <row r="2348" spans="1:2" x14ac:dyDescent="0.25">
      <c r="A2348" s="49">
        <v>779903228</v>
      </c>
      <c r="B2348" s="49" t="s">
        <v>643</v>
      </c>
    </row>
    <row r="2349" spans="1:2" x14ac:dyDescent="0.25">
      <c r="A2349" s="49">
        <v>912758476</v>
      </c>
      <c r="B2349" s="49" t="s">
        <v>149</v>
      </c>
    </row>
    <row r="2350" spans="1:2" x14ac:dyDescent="0.25">
      <c r="A2350" s="49">
        <v>611569507</v>
      </c>
      <c r="B2350" s="49" t="s">
        <v>767</v>
      </c>
    </row>
    <row r="2351" spans="1:2" x14ac:dyDescent="0.25">
      <c r="A2351" s="49">
        <v>715141999</v>
      </c>
      <c r="B2351" s="49" t="s">
        <v>1402</v>
      </c>
    </row>
    <row r="2352" spans="1:2" x14ac:dyDescent="0.25">
      <c r="A2352" s="49">
        <v>1100070846</v>
      </c>
      <c r="B2352" s="49" t="s">
        <v>1702</v>
      </c>
    </row>
    <row r="2353" spans="1:2" x14ac:dyDescent="0.25">
      <c r="A2353" s="49">
        <v>1111588643</v>
      </c>
      <c r="B2353" s="49" t="s">
        <v>3643</v>
      </c>
    </row>
    <row r="2354" spans="1:2" x14ac:dyDescent="0.25">
      <c r="A2354" s="49">
        <v>1133578791</v>
      </c>
      <c r="B2354" s="49" t="s">
        <v>165</v>
      </c>
    </row>
    <row r="2355" spans="1:2" x14ac:dyDescent="0.25">
      <c r="A2355" s="49">
        <v>1268103308</v>
      </c>
      <c r="B2355" s="49" t="s">
        <v>1727</v>
      </c>
    </row>
    <row r="2356" spans="1:2" x14ac:dyDescent="0.25">
      <c r="A2356" s="49">
        <v>816535907</v>
      </c>
      <c r="B2356" s="49" t="s">
        <v>1303</v>
      </c>
    </row>
    <row r="2357" spans="1:2" x14ac:dyDescent="0.25">
      <c r="A2357" s="49">
        <v>617316042</v>
      </c>
      <c r="B2357" s="49" t="s">
        <v>449</v>
      </c>
    </row>
    <row r="2358" spans="1:2" x14ac:dyDescent="0.25">
      <c r="A2358" s="49">
        <v>619284479</v>
      </c>
      <c r="B2358" s="49" t="s">
        <v>1210</v>
      </c>
    </row>
    <row r="2359" spans="1:2" x14ac:dyDescent="0.25">
      <c r="A2359" s="49">
        <v>689723470</v>
      </c>
      <c r="B2359" s="49" t="s">
        <v>1311</v>
      </c>
    </row>
    <row r="2360" spans="1:2" x14ac:dyDescent="0.25">
      <c r="A2360" s="49">
        <v>690440435</v>
      </c>
      <c r="B2360" s="49" t="s">
        <v>1330</v>
      </c>
    </row>
    <row r="2361" spans="1:2" x14ac:dyDescent="0.25">
      <c r="A2361" s="49">
        <v>713997546</v>
      </c>
      <c r="B2361" s="49" t="s">
        <v>1697</v>
      </c>
    </row>
    <row r="2362" spans="1:2" x14ac:dyDescent="0.25">
      <c r="A2362" s="49">
        <v>734154892</v>
      </c>
      <c r="B2362" s="49" t="s">
        <v>1507</v>
      </c>
    </row>
    <row r="2363" spans="1:2" x14ac:dyDescent="0.25">
      <c r="A2363" s="49">
        <v>758479401</v>
      </c>
      <c r="B2363" s="49" t="s">
        <v>1024</v>
      </c>
    </row>
    <row r="2364" spans="1:2" x14ac:dyDescent="0.25">
      <c r="A2364" s="49">
        <v>759576221</v>
      </c>
      <c r="B2364" s="49" t="s">
        <v>1571</v>
      </c>
    </row>
    <row r="2365" spans="1:2" x14ac:dyDescent="0.25">
      <c r="A2365" s="49">
        <v>760285746</v>
      </c>
      <c r="B2365" s="49" t="s">
        <v>770</v>
      </c>
    </row>
    <row r="2366" spans="1:2" x14ac:dyDescent="0.25">
      <c r="A2366" s="49">
        <v>777650531</v>
      </c>
      <c r="B2366" s="49" t="s">
        <v>494</v>
      </c>
    </row>
    <row r="2367" spans="1:2" x14ac:dyDescent="0.25">
      <c r="A2367" s="49">
        <v>780796223</v>
      </c>
      <c r="B2367" s="49" t="s">
        <v>1082</v>
      </c>
    </row>
    <row r="2368" spans="1:2" x14ac:dyDescent="0.25">
      <c r="A2368" s="49">
        <v>781343896</v>
      </c>
      <c r="B2368" s="49" t="s">
        <v>1310</v>
      </c>
    </row>
    <row r="2369" spans="1:2" x14ac:dyDescent="0.25">
      <c r="A2369" s="49">
        <v>783376217</v>
      </c>
      <c r="B2369" s="49" t="s">
        <v>529</v>
      </c>
    </row>
    <row r="2370" spans="1:2" x14ac:dyDescent="0.25">
      <c r="A2370" s="49">
        <v>886825073</v>
      </c>
      <c r="B2370" s="49" t="s">
        <v>1665</v>
      </c>
    </row>
    <row r="2371" spans="1:2" x14ac:dyDescent="0.25">
      <c r="A2371" s="49">
        <v>896089681</v>
      </c>
      <c r="B2371" s="49" t="s">
        <v>579</v>
      </c>
    </row>
    <row r="2372" spans="1:2" x14ac:dyDescent="0.25">
      <c r="A2372" s="49">
        <v>899437854</v>
      </c>
      <c r="B2372" s="49" t="s">
        <v>1211</v>
      </c>
    </row>
    <row r="2373" spans="1:2" x14ac:dyDescent="0.25">
      <c r="A2373" s="49">
        <v>909415127</v>
      </c>
      <c r="B2373" s="49" t="s">
        <v>944</v>
      </c>
    </row>
    <row r="2374" spans="1:2" x14ac:dyDescent="0.25">
      <c r="A2374" s="49">
        <v>918958345</v>
      </c>
      <c r="B2374" s="49" t="s">
        <v>77</v>
      </c>
    </row>
    <row r="2375" spans="1:2" x14ac:dyDescent="0.25">
      <c r="A2375" s="49">
        <v>928520667</v>
      </c>
      <c r="B2375" s="49" t="s">
        <v>1564</v>
      </c>
    </row>
    <row r="2376" spans="1:2" x14ac:dyDescent="0.25">
      <c r="A2376" s="49">
        <v>933673657</v>
      </c>
      <c r="B2376" s="49" t="s">
        <v>289</v>
      </c>
    </row>
    <row r="2377" spans="1:2" x14ac:dyDescent="0.25">
      <c r="A2377" s="49">
        <v>1142730090</v>
      </c>
      <c r="B2377" s="49" t="s">
        <v>1208</v>
      </c>
    </row>
    <row r="2378" spans="1:2" x14ac:dyDescent="0.25">
      <c r="A2378" s="49">
        <v>1144275150</v>
      </c>
      <c r="B2378" s="49" t="s">
        <v>986</v>
      </c>
    </row>
    <row r="2379" spans="1:2" x14ac:dyDescent="0.25">
      <c r="A2379" s="49">
        <v>1185425791</v>
      </c>
      <c r="B2379" s="49" t="s">
        <v>1111</v>
      </c>
    </row>
    <row r="2380" spans="1:2" x14ac:dyDescent="0.25">
      <c r="A2380" s="49">
        <v>1345896310</v>
      </c>
      <c r="B2380" s="49" t="s">
        <v>1798</v>
      </c>
    </row>
    <row r="2381" spans="1:2" x14ac:dyDescent="0.25">
      <c r="A2381" s="49">
        <v>835461744</v>
      </c>
      <c r="B2381" s="49" t="s">
        <v>1363</v>
      </c>
    </row>
    <row r="2382" spans="1:2" x14ac:dyDescent="0.25">
      <c r="A2382" s="49">
        <v>674971467</v>
      </c>
      <c r="B2382" s="49" t="s">
        <v>559</v>
      </c>
    </row>
    <row r="2383" spans="1:2" x14ac:dyDescent="0.25">
      <c r="A2383" s="49">
        <v>898254663</v>
      </c>
      <c r="B2383" s="49" t="s">
        <v>1546</v>
      </c>
    </row>
    <row r="2384" spans="1:2" x14ac:dyDescent="0.25">
      <c r="A2384" s="49">
        <v>917486062</v>
      </c>
      <c r="B2384" s="49" t="s">
        <v>1711</v>
      </c>
    </row>
    <row r="2385" spans="1:2" x14ac:dyDescent="0.25">
      <c r="A2385" s="49">
        <v>776560955</v>
      </c>
      <c r="B2385" s="49" t="s">
        <v>584</v>
      </c>
    </row>
    <row r="2386" spans="1:2" x14ac:dyDescent="0.25">
      <c r="A2386" s="49">
        <v>936074660</v>
      </c>
      <c r="B2386" s="49" t="s">
        <v>1446</v>
      </c>
    </row>
    <row r="2387" spans="1:2" x14ac:dyDescent="0.25">
      <c r="A2387" s="49">
        <v>1150200155</v>
      </c>
      <c r="B2387" s="49" t="s">
        <v>1606</v>
      </c>
    </row>
    <row r="2388" spans="1:2" x14ac:dyDescent="0.25">
      <c r="A2388" s="49">
        <v>776791075</v>
      </c>
      <c r="B2388" s="49" t="s">
        <v>111</v>
      </c>
    </row>
    <row r="2389" spans="1:2" x14ac:dyDescent="0.25">
      <c r="A2389" s="49">
        <v>639595205</v>
      </c>
      <c r="B2389" s="49" t="s">
        <v>1565</v>
      </c>
    </row>
    <row r="2390" spans="1:2" x14ac:dyDescent="0.25">
      <c r="A2390" s="49">
        <v>649866236</v>
      </c>
      <c r="B2390" s="49" t="s">
        <v>474</v>
      </c>
    </row>
    <row r="2391" spans="1:2" x14ac:dyDescent="0.25">
      <c r="A2391" s="49">
        <v>728738562</v>
      </c>
      <c r="B2391" s="49" t="s">
        <v>1102</v>
      </c>
    </row>
    <row r="2392" spans="1:2" x14ac:dyDescent="0.25">
      <c r="A2392" s="49">
        <v>743423770</v>
      </c>
      <c r="B2392" s="49" t="s">
        <v>176</v>
      </c>
    </row>
    <row r="2393" spans="1:2" x14ac:dyDescent="0.25">
      <c r="A2393" s="49">
        <v>759924038</v>
      </c>
      <c r="B2393" s="49" t="s">
        <v>239</v>
      </c>
    </row>
    <row r="2394" spans="1:2" x14ac:dyDescent="0.25">
      <c r="A2394" s="49">
        <v>760283860</v>
      </c>
      <c r="B2394" s="49" t="s">
        <v>1500</v>
      </c>
    </row>
    <row r="2395" spans="1:2" x14ac:dyDescent="0.25">
      <c r="A2395" s="49">
        <v>760283697</v>
      </c>
      <c r="B2395" s="49" t="s">
        <v>1439</v>
      </c>
    </row>
    <row r="2396" spans="1:2" x14ac:dyDescent="0.25">
      <c r="A2396" s="49">
        <v>766934324</v>
      </c>
      <c r="B2396" s="49" t="s">
        <v>834</v>
      </c>
    </row>
    <row r="2397" spans="1:2" x14ac:dyDescent="0.25">
      <c r="A2397" s="49">
        <v>778010465</v>
      </c>
      <c r="B2397" s="49" t="s">
        <v>534</v>
      </c>
    </row>
    <row r="2398" spans="1:2" x14ac:dyDescent="0.25">
      <c r="A2398" s="49">
        <v>778987889</v>
      </c>
      <c r="B2398" s="49" t="s">
        <v>316</v>
      </c>
    </row>
    <row r="2399" spans="1:2" x14ac:dyDescent="0.25">
      <c r="A2399" s="49">
        <v>781337650</v>
      </c>
      <c r="B2399" s="49" t="s">
        <v>1304</v>
      </c>
    </row>
    <row r="2400" spans="1:2" x14ac:dyDescent="0.25">
      <c r="A2400" s="49">
        <v>782165538</v>
      </c>
      <c r="B2400" s="49" t="s">
        <v>322</v>
      </c>
    </row>
    <row r="2401" spans="1:2" x14ac:dyDescent="0.25">
      <c r="A2401" s="49">
        <v>858820324</v>
      </c>
      <c r="B2401" s="49" t="s">
        <v>1519</v>
      </c>
    </row>
    <row r="2402" spans="1:2" x14ac:dyDescent="0.25">
      <c r="A2402" s="49">
        <v>869244252</v>
      </c>
      <c r="B2402" s="49" t="s">
        <v>399</v>
      </c>
    </row>
    <row r="2403" spans="1:2" x14ac:dyDescent="0.25">
      <c r="A2403" s="49">
        <v>876198022</v>
      </c>
      <c r="B2403" s="49" t="s">
        <v>541</v>
      </c>
    </row>
    <row r="2404" spans="1:2" x14ac:dyDescent="0.25">
      <c r="A2404" s="49">
        <v>928744558</v>
      </c>
      <c r="B2404" s="49" t="s">
        <v>1390</v>
      </c>
    </row>
    <row r="2405" spans="1:2" x14ac:dyDescent="0.25">
      <c r="A2405" s="49">
        <v>928912537</v>
      </c>
      <c r="B2405" s="49" t="s">
        <v>1021</v>
      </c>
    </row>
    <row r="2406" spans="1:2" x14ac:dyDescent="0.25">
      <c r="A2406" s="49">
        <v>934280074</v>
      </c>
      <c r="B2406" s="49" t="s">
        <v>127</v>
      </c>
    </row>
    <row r="2407" spans="1:2" x14ac:dyDescent="0.25">
      <c r="A2407" s="49">
        <v>1110824705</v>
      </c>
      <c r="B2407" s="49" t="s">
        <v>1714</v>
      </c>
    </row>
    <row r="2408" spans="1:2" x14ac:dyDescent="0.25">
      <c r="A2408" s="49">
        <v>1143183917</v>
      </c>
      <c r="B2408" s="49" t="s">
        <v>1145</v>
      </c>
    </row>
    <row r="2409" spans="1:2" x14ac:dyDescent="0.25">
      <c r="A2409" s="49">
        <v>1147599853</v>
      </c>
      <c r="B2409" s="49" t="s">
        <v>1440</v>
      </c>
    </row>
    <row r="2410" spans="1:2" x14ac:dyDescent="0.25">
      <c r="A2410" s="49">
        <v>1362315407</v>
      </c>
      <c r="B2410" s="49" t="s">
        <v>1069</v>
      </c>
    </row>
    <row r="2411" spans="1:2" x14ac:dyDescent="0.25">
      <c r="A2411" s="49">
        <v>1368549097</v>
      </c>
      <c r="B2411" s="49" t="s">
        <v>1829</v>
      </c>
    </row>
    <row r="2412" spans="1:2" x14ac:dyDescent="0.25">
      <c r="A2412" s="49">
        <v>1419932836</v>
      </c>
      <c r="B2412" s="49" t="s">
        <v>1833</v>
      </c>
    </row>
    <row r="2413" spans="1:2" x14ac:dyDescent="0.25">
      <c r="A2413" s="49">
        <v>1419602066</v>
      </c>
      <c r="B2413" s="49" t="s">
        <v>1834</v>
      </c>
    </row>
    <row r="2414" spans="1:2" x14ac:dyDescent="0.25">
      <c r="A2414" s="49">
        <v>1443757946</v>
      </c>
      <c r="B2414" s="49" t="s">
        <v>686</v>
      </c>
    </row>
    <row r="2415" spans="1:2" x14ac:dyDescent="0.25">
      <c r="A2415" s="49">
        <v>709984115</v>
      </c>
      <c r="B2415" s="49" t="s">
        <v>969</v>
      </c>
    </row>
    <row r="2416" spans="1:2" x14ac:dyDescent="0.25">
      <c r="A2416" s="49">
        <v>897654498</v>
      </c>
      <c r="B2416" s="49" t="s">
        <v>1271</v>
      </c>
    </row>
    <row r="2417" spans="1:2" x14ac:dyDescent="0.25">
      <c r="A2417" s="49">
        <v>674972412</v>
      </c>
      <c r="B2417" s="49" t="s">
        <v>558</v>
      </c>
    </row>
    <row r="2418" spans="1:2" x14ac:dyDescent="0.25">
      <c r="A2418" s="49">
        <v>907431503</v>
      </c>
      <c r="B2418" s="49" t="s">
        <v>1393</v>
      </c>
    </row>
    <row r="2419" spans="1:2" x14ac:dyDescent="0.25">
      <c r="A2419" s="49">
        <v>816537960</v>
      </c>
      <c r="B2419" s="49" t="s">
        <v>1316</v>
      </c>
    </row>
    <row r="2420" spans="1:2" x14ac:dyDescent="0.25">
      <c r="A2420" s="49">
        <v>1100208017</v>
      </c>
      <c r="B2420" s="49" t="s">
        <v>776</v>
      </c>
    </row>
    <row r="2421" spans="1:2" x14ac:dyDescent="0.25">
      <c r="A2421" s="49">
        <v>781931817</v>
      </c>
      <c r="B2421" s="49" t="s">
        <v>1207</v>
      </c>
    </row>
    <row r="2422" spans="1:2" x14ac:dyDescent="0.25">
      <c r="A2422" s="49">
        <v>608151045</v>
      </c>
      <c r="B2422" s="49" t="s">
        <v>527</v>
      </c>
    </row>
    <row r="2423" spans="1:2" x14ac:dyDescent="0.25">
      <c r="A2423" s="49">
        <v>617136018</v>
      </c>
      <c r="B2423" s="49" t="s">
        <v>410</v>
      </c>
    </row>
    <row r="2424" spans="1:2" x14ac:dyDescent="0.25">
      <c r="A2424" s="49">
        <v>648170048</v>
      </c>
      <c r="B2424" s="49" t="s">
        <v>1168</v>
      </c>
    </row>
    <row r="2425" spans="1:2" x14ac:dyDescent="0.25">
      <c r="A2425" s="49">
        <v>649964751</v>
      </c>
      <c r="B2425" s="49" t="s">
        <v>419</v>
      </c>
    </row>
    <row r="2426" spans="1:2" x14ac:dyDescent="0.25">
      <c r="A2426" s="49">
        <v>668865646</v>
      </c>
      <c r="B2426" s="49" t="s">
        <v>263</v>
      </c>
    </row>
    <row r="2427" spans="1:2" x14ac:dyDescent="0.25">
      <c r="A2427" s="49">
        <v>672270151</v>
      </c>
      <c r="B2427" s="49" t="s">
        <v>351</v>
      </c>
    </row>
    <row r="2428" spans="1:2" x14ac:dyDescent="0.25">
      <c r="A2428" s="49">
        <v>696093729</v>
      </c>
      <c r="B2428" s="49" t="s">
        <v>1466</v>
      </c>
    </row>
    <row r="2429" spans="1:2" x14ac:dyDescent="0.25">
      <c r="A2429" s="49">
        <v>699162134</v>
      </c>
      <c r="B2429" s="49" t="s">
        <v>1464</v>
      </c>
    </row>
    <row r="2430" spans="1:2" x14ac:dyDescent="0.25">
      <c r="A2430" s="49">
        <v>729354384</v>
      </c>
      <c r="B2430" s="49" t="s">
        <v>910</v>
      </c>
    </row>
    <row r="2431" spans="1:2" x14ac:dyDescent="0.25">
      <c r="A2431" s="49">
        <v>742184656</v>
      </c>
      <c r="B2431" s="49" t="s">
        <v>941</v>
      </c>
    </row>
    <row r="2432" spans="1:2" x14ac:dyDescent="0.25">
      <c r="A2432" s="49">
        <v>730261914</v>
      </c>
      <c r="B2432" s="49" t="s">
        <v>599</v>
      </c>
    </row>
    <row r="2433" spans="1:2" x14ac:dyDescent="0.25">
      <c r="A2433" s="49">
        <v>780835284</v>
      </c>
      <c r="B2433" s="49" t="s">
        <v>412</v>
      </c>
    </row>
    <row r="2434" spans="1:2" x14ac:dyDescent="0.25">
      <c r="A2434" s="49">
        <v>784071161</v>
      </c>
      <c r="B2434" s="49" t="s">
        <v>671</v>
      </c>
    </row>
    <row r="2435" spans="1:2" x14ac:dyDescent="0.25">
      <c r="A2435" s="49">
        <v>784061559</v>
      </c>
      <c r="B2435" s="49" t="s">
        <v>805</v>
      </c>
    </row>
    <row r="2436" spans="1:2" x14ac:dyDescent="0.25">
      <c r="A2436" s="49">
        <v>797658454</v>
      </c>
      <c r="B2436" s="49" t="s">
        <v>1474</v>
      </c>
    </row>
    <row r="2437" spans="1:2" x14ac:dyDescent="0.25">
      <c r="A2437" s="49">
        <v>797825762</v>
      </c>
      <c r="B2437" s="49" t="s">
        <v>1554</v>
      </c>
    </row>
    <row r="2438" spans="1:2" x14ac:dyDescent="0.25">
      <c r="A2438" s="49">
        <v>842598397</v>
      </c>
      <c r="B2438" s="49" t="s">
        <v>1235</v>
      </c>
    </row>
    <row r="2439" spans="1:2" x14ac:dyDescent="0.25">
      <c r="A2439" s="49">
        <v>842704575</v>
      </c>
      <c r="B2439" s="49" t="s">
        <v>1066</v>
      </c>
    </row>
    <row r="2440" spans="1:2" x14ac:dyDescent="0.25">
      <c r="A2440" s="49">
        <v>868767655</v>
      </c>
      <c r="B2440" s="49" t="s">
        <v>390</v>
      </c>
    </row>
    <row r="2441" spans="1:2" x14ac:dyDescent="0.25">
      <c r="A2441" s="49">
        <v>906023864</v>
      </c>
      <c r="B2441" s="49" t="s">
        <v>552</v>
      </c>
    </row>
    <row r="2442" spans="1:2" x14ac:dyDescent="0.25">
      <c r="A2442" s="49">
        <v>928742030</v>
      </c>
      <c r="B2442" s="49" t="s">
        <v>1389</v>
      </c>
    </row>
    <row r="2443" spans="1:2" x14ac:dyDescent="0.25">
      <c r="A2443" s="49">
        <v>1105726260</v>
      </c>
      <c r="B2443" s="49" t="s">
        <v>59</v>
      </c>
    </row>
    <row r="2444" spans="1:2" x14ac:dyDescent="0.25">
      <c r="A2444" s="49">
        <v>1114999381</v>
      </c>
      <c r="B2444" s="49" t="s">
        <v>849</v>
      </c>
    </row>
    <row r="2445" spans="1:2" x14ac:dyDescent="0.25">
      <c r="A2445" s="49">
        <v>1114969591</v>
      </c>
      <c r="B2445" s="49" t="s">
        <v>1434</v>
      </c>
    </row>
    <row r="2446" spans="1:2" x14ac:dyDescent="0.25">
      <c r="A2446" s="49">
        <v>1159148482</v>
      </c>
      <c r="B2446" s="49" t="s">
        <v>235</v>
      </c>
    </row>
    <row r="2447" spans="1:2" x14ac:dyDescent="0.25">
      <c r="A2447" s="49">
        <v>1171353292</v>
      </c>
      <c r="B2447" s="49" t="s">
        <v>949</v>
      </c>
    </row>
    <row r="2448" spans="1:2" x14ac:dyDescent="0.25">
      <c r="A2448" s="49">
        <v>1346836229</v>
      </c>
      <c r="B2448" s="49" t="s">
        <v>1802</v>
      </c>
    </row>
    <row r="2449" spans="1:2" x14ac:dyDescent="0.25">
      <c r="A2449" s="49">
        <v>759872413</v>
      </c>
      <c r="B2449" s="49" t="s">
        <v>1642</v>
      </c>
    </row>
    <row r="2450" spans="1:2" x14ac:dyDescent="0.25">
      <c r="A2450" s="49">
        <v>641430438</v>
      </c>
      <c r="B2450" s="49" t="s">
        <v>631</v>
      </c>
    </row>
    <row r="2451" spans="1:2" x14ac:dyDescent="0.25">
      <c r="A2451" s="49">
        <v>762402088</v>
      </c>
      <c r="B2451" s="49" t="s">
        <v>572</v>
      </c>
    </row>
    <row r="2452" spans="1:2" x14ac:dyDescent="0.25">
      <c r="A2452" s="49">
        <v>1184757251</v>
      </c>
      <c r="B2452" s="49" t="s">
        <v>1381</v>
      </c>
    </row>
    <row r="2453" spans="1:2" x14ac:dyDescent="0.25">
      <c r="A2453" s="49">
        <v>609536027</v>
      </c>
      <c r="B2453" s="49" t="s">
        <v>375</v>
      </c>
    </row>
    <row r="2454" spans="1:2" x14ac:dyDescent="0.25">
      <c r="A2454" s="49">
        <v>614138585</v>
      </c>
      <c r="B2454" s="49" t="s">
        <v>318</v>
      </c>
    </row>
    <row r="2455" spans="1:2" x14ac:dyDescent="0.25">
      <c r="A2455" s="49">
        <v>614883297</v>
      </c>
      <c r="B2455" s="49" t="s">
        <v>538</v>
      </c>
    </row>
    <row r="2456" spans="1:2" x14ac:dyDescent="0.25">
      <c r="A2456" s="49">
        <v>642049370</v>
      </c>
      <c r="B2456" s="49" t="s">
        <v>507</v>
      </c>
    </row>
    <row r="2457" spans="1:2" x14ac:dyDescent="0.25">
      <c r="A2457" s="49">
        <v>661643912</v>
      </c>
      <c r="B2457" s="49" t="s">
        <v>106</v>
      </c>
    </row>
    <row r="2458" spans="1:2" x14ac:dyDescent="0.25">
      <c r="A2458" s="49">
        <v>672270431</v>
      </c>
      <c r="B2458" s="49" t="s">
        <v>357</v>
      </c>
    </row>
    <row r="2459" spans="1:2" x14ac:dyDescent="0.25">
      <c r="A2459" s="49">
        <v>709325110</v>
      </c>
      <c r="B2459" s="49" t="s">
        <v>1644</v>
      </c>
    </row>
    <row r="2460" spans="1:2" x14ac:dyDescent="0.25">
      <c r="A2460" s="49">
        <v>717847008</v>
      </c>
      <c r="B2460" s="49" t="s">
        <v>815</v>
      </c>
    </row>
    <row r="2461" spans="1:2" x14ac:dyDescent="0.25">
      <c r="A2461" s="49">
        <v>729131505</v>
      </c>
      <c r="B2461" s="49" t="s">
        <v>933</v>
      </c>
    </row>
    <row r="2462" spans="1:2" x14ac:dyDescent="0.25">
      <c r="A2462" s="49">
        <v>748775401</v>
      </c>
      <c r="B2462" s="49" t="s">
        <v>1560</v>
      </c>
    </row>
    <row r="2463" spans="1:2" x14ac:dyDescent="0.25">
      <c r="A2463" s="49">
        <v>762435707</v>
      </c>
      <c r="B2463" s="49" t="s">
        <v>293</v>
      </c>
    </row>
    <row r="2464" spans="1:2" x14ac:dyDescent="0.25">
      <c r="A2464" s="49">
        <v>777651777</v>
      </c>
      <c r="B2464" s="49" t="s">
        <v>318</v>
      </c>
    </row>
    <row r="2465" spans="1:2" x14ac:dyDescent="0.25">
      <c r="A2465" s="49">
        <v>779905033</v>
      </c>
      <c r="B2465" s="49" t="s">
        <v>642</v>
      </c>
    </row>
    <row r="2466" spans="1:2" x14ac:dyDescent="0.25">
      <c r="A2466" s="49">
        <v>781329116</v>
      </c>
      <c r="B2466" s="49" t="s">
        <v>1274</v>
      </c>
    </row>
    <row r="2467" spans="1:2" x14ac:dyDescent="0.25">
      <c r="A2467" s="49">
        <v>782128227</v>
      </c>
      <c r="B2467" s="49" t="s">
        <v>1193</v>
      </c>
    </row>
    <row r="2468" spans="1:2" x14ac:dyDescent="0.25">
      <c r="A2468" s="49">
        <v>784062832</v>
      </c>
      <c r="B2468" s="49" t="s">
        <v>804</v>
      </c>
    </row>
    <row r="2469" spans="1:2" x14ac:dyDescent="0.25">
      <c r="A2469" s="49">
        <v>798183777</v>
      </c>
      <c r="B2469" s="49" t="s">
        <v>1425</v>
      </c>
    </row>
    <row r="2470" spans="1:2" x14ac:dyDescent="0.25">
      <c r="A2470" s="49">
        <v>913250122</v>
      </c>
      <c r="B2470" s="49" t="s">
        <v>110</v>
      </c>
    </row>
    <row r="2471" spans="1:2" x14ac:dyDescent="0.25">
      <c r="A2471" s="49">
        <v>935913444</v>
      </c>
      <c r="B2471" s="49" t="s">
        <v>1529</v>
      </c>
    </row>
    <row r="2472" spans="1:2" x14ac:dyDescent="0.25">
      <c r="A2472" s="49">
        <v>1100874386</v>
      </c>
      <c r="B2472" s="49" t="s">
        <v>677</v>
      </c>
    </row>
    <row r="2473" spans="1:2" x14ac:dyDescent="0.25">
      <c r="A2473" s="49">
        <v>1103635483</v>
      </c>
      <c r="B2473" s="49" t="s">
        <v>863</v>
      </c>
    </row>
    <row r="2474" spans="1:2" x14ac:dyDescent="0.25">
      <c r="A2474" s="49">
        <v>1144256060</v>
      </c>
      <c r="B2474" s="49" t="s">
        <v>986</v>
      </c>
    </row>
    <row r="2475" spans="1:2" x14ac:dyDescent="0.25">
      <c r="A2475" s="49">
        <v>1180072876</v>
      </c>
      <c r="B2475" s="49" t="s">
        <v>112</v>
      </c>
    </row>
    <row r="2476" spans="1:2" x14ac:dyDescent="0.25">
      <c r="A2476" s="49">
        <v>1345223797</v>
      </c>
      <c r="B2476" s="49" t="s">
        <v>1774</v>
      </c>
    </row>
    <row r="2477" spans="1:2" x14ac:dyDescent="0.25">
      <c r="A2477" s="49">
        <v>1439949006</v>
      </c>
      <c r="B2477" s="49" t="s">
        <v>1480</v>
      </c>
    </row>
    <row r="2478" spans="1:2" x14ac:dyDescent="0.25">
      <c r="A2478" s="49">
        <v>796660840</v>
      </c>
      <c r="B2478" s="49" t="s">
        <v>217</v>
      </c>
    </row>
    <row r="2479" spans="1:2" x14ac:dyDescent="0.25">
      <c r="A2479" s="49">
        <v>641031351</v>
      </c>
      <c r="B2479" s="49" t="s">
        <v>1537</v>
      </c>
    </row>
    <row r="2480" spans="1:2" x14ac:dyDescent="0.25">
      <c r="A2480" s="49">
        <v>778988265</v>
      </c>
      <c r="B2480" s="49" t="s">
        <v>505</v>
      </c>
    </row>
    <row r="2481" spans="1:2" x14ac:dyDescent="0.25">
      <c r="A2481" s="49">
        <v>1128943923</v>
      </c>
      <c r="B2481" s="49" t="s">
        <v>923</v>
      </c>
    </row>
    <row r="2482" spans="1:2" x14ac:dyDescent="0.25">
      <c r="A2482" s="49">
        <v>1139051905</v>
      </c>
      <c r="B2482" s="49" t="s">
        <v>219</v>
      </c>
    </row>
    <row r="2483" spans="1:2" x14ac:dyDescent="0.25">
      <c r="A2483" s="49">
        <v>1179033072</v>
      </c>
      <c r="B2483" s="49" t="s">
        <v>1392</v>
      </c>
    </row>
    <row r="2484" spans="1:2" x14ac:dyDescent="0.25">
      <c r="A2484" s="49">
        <v>1192731290</v>
      </c>
      <c r="B2484" s="49" t="s">
        <v>1320</v>
      </c>
    </row>
    <row r="2485" spans="1:2" x14ac:dyDescent="0.25">
      <c r="A2485" s="49">
        <v>1344819806</v>
      </c>
      <c r="B2485" s="49" t="s">
        <v>1775</v>
      </c>
    </row>
    <row r="2486" spans="1:2" x14ac:dyDescent="0.25">
      <c r="A2486" s="49">
        <v>621415667</v>
      </c>
      <c r="B2486" s="49" t="s">
        <v>239</v>
      </c>
    </row>
    <row r="2487" spans="1:2" x14ac:dyDescent="0.25">
      <c r="A2487" s="49">
        <v>645110516</v>
      </c>
      <c r="B2487" s="49" t="s">
        <v>987</v>
      </c>
    </row>
    <row r="2488" spans="1:2" x14ac:dyDescent="0.25">
      <c r="A2488" s="49">
        <v>706959268</v>
      </c>
      <c r="B2488" s="49" t="s">
        <v>192</v>
      </c>
    </row>
    <row r="2489" spans="1:2" x14ac:dyDescent="0.25">
      <c r="A2489" s="49">
        <v>756016180</v>
      </c>
      <c r="B2489" s="49" t="s">
        <v>1163</v>
      </c>
    </row>
    <row r="2490" spans="1:2" x14ac:dyDescent="0.25">
      <c r="A2490" s="49">
        <v>762233014</v>
      </c>
      <c r="B2490" s="49" t="s">
        <v>823</v>
      </c>
    </row>
    <row r="2491" spans="1:2" x14ac:dyDescent="0.25">
      <c r="A2491" s="49">
        <v>762231361</v>
      </c>
      <c r="B2491" s="49" t="s">
        <v>820</v>
      </c>
    </row>
    <row r="2492" spans="1:2" x14ac:dyDescent="0.25">
      <c r="A2492" s="49">
        <v>776591347</v>
      </c>
      <c r="B2492" s="49" t="s">
        <v>202</v>
      </c>
    </row>
    <row r="2493" spans="1:2" x14ac:dyDescent="0.25">
      <c r="A2493" s="49">
        <v>777654375</v>
      </c>
      <c r="B2493" s="49" t="s">
        <v>354</v>
      </c>
    </row>
    <row r="2494" spans="1:2" x14ac:dyDescent="0.25">
      <c r="A2494" s="49">
        <v>780594302</v>
      </c>
      <c r="B2494" s="49" t="s">
        <v>1080</v>
      </c>
    </row>
    <row r="2495" spans="1:2" x14ac:dyDescent="0.25">
      <c r="A2495" s="49">
        <v>780818516</v>
      </c>
      <c r="B2495" s="49" t="s">
        <v>751</v>
      </c>
    </row>
    <row r="2496" spans="1:2" x14ac:dyDescent="0.25">
      <c r="A2496" s="49">
        <v>780818427</v>
      </c>
      <c r="B2496" s="49" t="s">
        <v>750</v>
      </c>
    </row>
    <row r="2497" spans="1:2" x14ac:dyDescent="0.25">
      <c r="A2497" s="49">
        <v>781800534</v>
      </c>
      <c r="B2497" s="49" t="s">
        <v>130</v>
      </c>
    </row>
    <row r="2498" spans="1:2" x14ac:dyDescent="0.25">
      <c r="A2498" s="49">
        <v>782120651</v>
      </c>
      <c r="B2498" s="49" t="s">
        <v>1270</v>
      </c>
    </row>
    <row r="2499" spans="1:2" x14ac:dyDescent="0.25">
      <c r="A2499" s="49">
        <v>784483182</v>
      </c>
      <c r="B2499" s="49" t="s">
        <v>909</v>
      </c>
    </row>
    <row r="2500" spans="1:2" x14ac:dyDescent="0.25">
      <c r="A2500" s="49">
        <v>800362423</v>
      </c>
      <c r="B2500" s="49" t="s">
        <v>215</v>
      </c>
    </row>
    <row r="2501" spans="1:2" x14ac:dyDescent="0.25">
      <c r="A2501" s="49">
        <v>868312991</v>
      </c>
      <c r="B2501" s="49" t="s">
        <v>1008</v>
      </c>
    </row>
    <row r="2502" spans="1:2" x14ac:dyDescent="0.25">
      <c r="A2502" s="49">
        <v>869244568</v>
      </c>
      <c r="B2502" s="49" t="s">
        <v>398</v>
      </c>
    </row>
    <row r="2503" spans="1:2" x14ac:dyDescent="0.25">
      <c r="A2503" s="49">
        <v>883090492</v>
      </c>
      <c r="B2503" s="49" t="s">
        <v>1269</v>
      </c>
    </row>
    <row r="2504" spans="1:2" x14ac:dyDescent="0.25">
      <c r="A2504" s="49">
        <v>907416269</v>
      </c>
      <c r="B2504" s="49" t="s">
        <v>872</v>
      </c>
    </row>
    <row r="2505" spans="1:2" x14ac:dyDescent="0.25">
      <c r="A2505" s="49">
        <v>1105688934</v>
      </c>
      <c r="B2505" s="49" t="s">
        <v>1449</v>
      </c>
    </row>
    <row r="2506" spans="1:2" x14ac:dyDescent="0.25">
      <c r="A2506" s="49">
        <v>1147118300</v>
      </c>
      <c r="B2506" s="49" t="s">
        <v>1371</v>
      </c>
    </row>
    <row r="2507" spans="1:2" x14ac:dyDescent="0.25">
      <c r="A2507" s="49">
        <v>1147123387</v>
      </c>
      <c r="B2507" s="49" t="s">
        <v>1461</v>
      </c>
    </row>
    <row r="2508" spans="1:2" x14ac:dyDescent="0.25">
      <c r="A2508" s="49">
        <v>1171327278</v>
      </c>
      <c r="B2508" s="49" t="s">
        <v>949</v>
      </c>
    </row>
    <row r="2509" spans="1:2" x14ac:dyDescent="0.25">
      <c r="A2509" s="49">
        <v>1344830701</v>
      </c>
      <c r="B2509" s="49" t="s">
        <v>1783</v>
      </c>
    </row>
    <row r="2510" spans="1:2" x14ac:dyDescent="0.25">
      <c r="A2510" s="49">
        <v>1344777715</v>
      </c>
      <c r="B2510" s="49" t="s">
        <v>736</v>
      </c>
    </row>
    <row r="2511" spans="1:2" x14ac:dyDescent="0.25">
      <c r="A2511" s="49">
        <v>714240697</v>
      </c>
      <c r="B2511" s="49" t="s">
        <v>1690</v>
      </c>
    </row>
    <row r="2512" spans="1:2" x14ac:dyDescent="0.25">
      <c r="A2512" s="49">
        <v>1122291059</v>
      </c>
      <c r="B2512" s="49" t="s">
        <v>1054</v>
      </c>
    </row>
    <row r="2513" spans="1:2" x14ac:dyDescent="0.25">
      <c r="A2513" s="49">
        <v>1150194747</v>
      </c>
      <c r="B2513" s="49" t="s">
        <v>1599</v>
      </c>
    </row>
    <row r="2514" spans="1:2" x14ac:dyDescent="0.25">
      <c r="A2514" s="49">
        <v>605723975</v>
      </c>
      <c r="B2514" s="49" t="s">
        <v>1130</v>
      </c>
    </row>
    <row r="2515" spans="1:2" x14ac:dyDescent="0.25">
      <c r="A2515" s="49">
        <v>620528164</v>
      </c>
      <c r="B2515" s="49" t="s">
        <v>1185</v>
      </c>
    </row>
    <row r="2516" spans="1:2" x14ac:dyDescent="0.25">
      <c r="A2516" s="49">
        <v>621565789</v>
      </c>
      <c r="B2516" s="49" t="s">
        <v>220</v>
      </c>
    </row>
    <row r="2517" spans="1:2" x14ac:dyDescent="0.25">
      <c r="A2517" s="49">
        <v>639593823</v>
      </c>
      <c r="B2517" s="49" t="s">
        <v>1676</v>
      </c>
    </row>
    <row r="2518" spans="1:2" x14ac:dyDescent="0.25">
      <c r="A2518" s="49">
        <v>690007503</v>
      </c>
      <c r="B2518" s="49" t="s">
        <v>1233</v>
      </c>
    </row>
    <row r="2519" spans="1:2" x14ac:dyDescent="0.25">
      <c r="A2519" s="49">
        <v>720867278</v>
      </c>
      <c r="B2519" s="49" t="s">
        <v>913</v>
      </c>
    </row>
    <row r="2520" spans="1:2" x14ac:dyDescent="0.25">
      <c r="A2520" s="49">
        <v>754548265</v>
      </c>
      <c r="B2520" s="49" t="s">
        <v>1007</v>
      </c>
    </row>
    <row r="2521" spans="1:2" x14ac:dyDescent="0.25">
      <c r="A2521" s="49">
        <v>776431691</v>
      </c>
      <c r="B2521" s="49" t="s">
        <v>1456</v>
      </c>
    </row>
    <row r="2522" spans="1:2" x14ac:dyDescent="0.25">
      <c r="A2522" s="49">
        <v>776734496</v>
      </c>
      <c r="B2522" s="49" t="s">
        <v>1488</v>
      </c>
    </row>
    <row r="2523" spans="1:2" x14ac:dyDescent="0.25">
      <c r="A2523" s="49">
        <v>778013593</v>
      </c>
      <c r="B2523" s="49" t="s">
        <v>792</v>
      </c>
    </row>
    <row r="2524" spans="1:2" x14ac:dyDescent="0.25">
      <c r="A2524" s="49">
        <v>781285273</v>
      </c>
      <c r="B2524" s="49" t="s">
        <v>303</v>
      </c>
    </row>
    <row r="2525" spans="1:2" x14ac:dyDescent="0.25">
      <c r="A2525" s="49">
        <v>795096552</v>
      </c>
      <c r="B2525" s="49" t="s">
        <v>117</v>
      </c>
    </row>
    <row r="2526" spans="1:2" x14ac:dyDescent="0.25">
      <c r="A2526" s="49">
        <v>842601310</v>
      </c>
      <c r="B2526" s="49" t="s">
        <v>1069</v>
      </c>
    </row>
    <row r="2527" spans="1:2" x14ac:dyDescent="0.25">
      <c r="A2527" s="49">
        <v>846628982</v>
      </c>
      <c r="B2527" s="49" t="s">
        <v>467</v>
      </c>
    </row>
    <row r="2528" spans="1:2" x14ac:dyDescent="0.25">
      <c r="A2528" s="49">
        <v>860117811</v>
      </c>
      <c r="B2528" s="49" t="s">
        <v>1649</v>
      </c>
    </row>
    <row r="2529" spans="1:2" x14ac:dyDescent="0.25">
      <c r="A2529" s="49">
        <v>867410330</v>
      </c>
      <c r="B2529" s="49" t="s">
        <v>1669</v>
      </c>
    </row>
    <row r="2530" spans="1:2" x14ac:dyDescent="0.25">
      <c r="A2530" s="49">
        <v>875600972</v>
      </c>
      <c r="B2530" s="49" t="s">
        <v>548</v>
      </c>
    </row>
    <row r="2531" spans="1:2" x14ac:dyDescent="0.25">
      <c r="A2531" s="49">
        <v>878917376</v>
      </c>
      <c r="B2531" s="49" t="s">
        <v>649</v>
      </c>
    </row>
    <row r="2532" spans="1:2" x14ac:dyDescent="0.25">
      <c r="A2532" s="49">
        <v>1103341554</v>
      </c>
      <c r="B2532" s="49" t="s">
        <v>854</v>
      </c>
    </row>
    <row r="2533" spans="1:2" x14ac:dyDescent="0.25">
      <c r="A2533" s="49">
        <v>1111184552</v>
      </c>
      <c r="B2533" s="49" t="s">
        <v>840</v>
      </c>
    </row>
    <row r="2534" spans="1:2" x14ac:dyDescent="0.25">
      <c r="A2534" s="49">
        <v>1397954314</v>
      </c>
      <c r="B2534" s="49" t="s">
        <v>1014</v>
      </c>
    </row>
    <row r="2535" spans="1:2" x14ac:dyDescent="0.25">
      <c r="A2535" s="49">
        <v>1369373699</v>
      </c>
      <c r="B2535" s="49" t="s">
        <v>1832</v>
      </c>
    </row>
    <row r="2536" spans="1:2" x14ac:dyDescent="0.25">
      <c r="A2536" s="49">
        <v>900851559</v>
      </c>
      <c r="B2536" s="49" t="s">
        <v>1451</v>
      </c>
    </row>
    <row r="2537" spans="1:2" x14ac:dyDescent="0.25">
      <c r="A2537" s="49">
        <v>778988171</v>
      </c>
      <c r="B2537" s="49" t="s">
        <v>461</v>
      </c>
    </row>
    <row r="2538" spans="1:2" x14ac:dyDescent="0.25">
      <c r="A2538" s="49">
        <v>847058593</v>
      </c>
      <c r="B2538" s="49" t="s">
        <v>179</v>
      </c>
    </row>
    <row r="2539" spans="1:2" x14ac:dyDescent="0.25">
      <c r="A2539" s="49">
        <v>1110824832</v>
      </c>
      <c r="B2539" s="49" t="s">
        <v>1715</v>
      </c>
    </row>
    <row r="2540" spans="1:2" x14ac:dyDescent="0.25">
      <c r="A2540" s="49">
        <v>785732387</v>
      </c>
      <c r="B2540" s="49" t="s">
        <v>1180</v>
      </c>
    </row>
    <row r="2541" spans="1:2" x14ac:dyDescent="0.25">
      <c r="A2541" s="49">
        <v>1130406338</v>
      </c>
      <c r="B2541" s="49" t="s">
        <v>262</v>
      </c>
    </row>
    <row r="2542" spans="1:2" x14ac:dyDescent="0.25">
      <c r="A2542" s="49">
        <v>1171138524</v>
      </c>
      <c r="B2542" s="49" t="s">
        <v>885</v>
      </c>
    </row>
    <row r="2543" spans="1:2" x14ac:dyDescent="0.25">
      <c r="A2543" s="49">
        <v>1198295429</v>
      </c>
      <c r="B2543" s="49" t="s">
        <v>1345</v>
      </c>
    </row>
    <row r="2544" spans="1:2" x14ac:dyDescent="0.25">
      <c r="A2544" s="49">
        <v>608438251</v>
      </c>
      <c r="B2544" s="49" t="s">
        <v>368</v>
      </c>
    </row>
    <row r="2545" spans="1:2" x14ac:dyDescent="0.25">
      <c r="A2545" s="49">
        <v>617138810</v>
      </c>
      <c r="B2545" s="49" t="s">
        <v>440</v>
      </c>
    </row>
    <row r="2546" spans="1:2" x14ac:dyDescent="0.25">
      <c r="A2546" s="49">
        <v>625816857</v>
      </c>
      <c r="B2546" s="49" t="s">
        <v>521</v>
      </c>
    </row>
    <row r="2547" spans="1:2" x14ac:dyDescent="0.25">
      <c r="A2547" s="49">
        <v>629011219</v>
      </c>
      <c r="B2547" s="49" t="s">
        <v>202</v>
      </c>
    </row>
    <row r="2548" spans="1:2" x14ac:dyDescent="0.25">
      <c r="A2548" s="49">
        <v>684754653</v>
      </c>
      <c r="B2548" s="49" t="s">
        <v>222</v>
      </c>
    </row>
    <row r="2549" spans="1:2" x14ac:dyDescent="0.25">
      <c r="A2549" s="49">
        <v>756005548</v>
      </c>
      <c r="B2549" s="49" t="s">
        <v>1002</v>
      </c>
    </row>
    <row r="2550" spans="1:2" x14ac:dyDescent="0.25">
      <c r="A2550" s="49">
        <v>759932022</v>
      </c>
      <c r="B2550" s="49" t="s">
        <v>1185</v>
      </c>
    </row>
    <row r="2551" spans="1:2" x14ac:dyDescent="0.25">
      <c r="A2551" s="49">
        <v>759930549</v>
      </c>
      <c r="B2551" s="49" t="s">
        <v>1657</v>
      </c>
    </row>
    <row r="2552" spans="1:2" x14ac:dyDescent="0.25">
      <c r="A2552" s="49">
        <v>760286702</v>
      </c>
      <c r="B2552" s="49" t="s">
        <v>624</v>
      </c>
    </row>
    <row r="2553" spans="1:2" x14ac:dyDescent="0.25">
      <c r="A2553" s="49">
        <v>777662647</v>
      </c>
      <c r="B2553" s="49" t="s">
        <v>331</v>
      </c>
    </row>
    <row r="2554" spans="1:2" x14ac:dyDescent="0.25">
      <c r="A2554" s="49">
        <v>777655517</v>
      </c>
      <c r="B2554" s="49" t="s">
        <v>339</v>
      </c>
    </row>
    <row r="2555" spans="1:2" x14ac:dyDescent="0.25">
      <c r="A2555" s="49">
        <v>781141981</v>
      </c>
      <c r="B2555" s="49" t="s">
        <v>1342</v>
      </c>
    </row>
    <row r="2556" spans="1:2" x14ac:dyDescent="0.25">
      <c r="A2556" s="49">
        <v>821870819</v>
      </c>
      <c r="B2556" s="49" t="s">
        <v>511</v>
      </c>
    </row>
    <row r="2557" spans="1:2" x14ac:dyDescent="0.25">
      <c r="A2557" s="49">
        <v>826589132</v>
      </c>
      <c r="B2557" s="49" t="s">
        <v>1134</v>
      </c>
    </row>
    <row r="2558" spans="1:2" x14ac:dyDescent="0.25">
      <c r="A2558" s="49">
        <v>863215199</v>
      </c>
      <c r="B2558" s="49" t="s">
        <v>1614</v>
      </c>
    </row>
    <row r="2559" spans="1:2" x14ac:dyDescent="0.25">
      <c r="A2559" s="49">
        <v>918957887</v>
      </c>
      <c r="B2559" s="49" t="s">
        <v>77</v>
      </c>
    </row>
    <row r="2560" spans="1:2" x14ac:dyDescent="0.25">
      <c r="A2560" s="49">
        <v>919312831</v>
      </c>
      <c r="B2560" s="49" t="s">
        <v>90</v>
      </c>
    </row>
    <row r="2561" spans="1:2" x14ac:dyDescent="0.25">
      <c r="A2561" s="49">
        <v>1136526356</v>
      </c>
      <c r="B2561" s="49" t="s">
        <v>1034</v>
      </c>
    </row>
    <row r="2562" spans="1:2" x14ac:dyDescent="0.25">
      <c r="A2562" s="49">
        <v>1143973285</v>
      </c>
      <c r="B2562" s="49" t="s">
        <v>1127</v>
      </c>
    </row>
    <row r="2563" spans="1:2" x14ac:dyDescent="0.25">
      <c r="A2563" s="49">
        <v>1285874773</v>
      </c>
      <c r="B2563" s="49" t="s">
        <v>1732</v>
      </c>
    </row>
    <row r="2564" spans="1:2" x14ac:dyDescent="0.25">
      <c r="A2564" s="49">
        <v>1341048986</v>
      </c>
      <c r="B2564" s="49" t="s">
        <v>1757</v>
      </c>
    </row>
    <row r="2565" spans="1:2" x14ac:dyDescent="0.25">
      <c r="A2565" s="49">
        <v>1355799879</v>
      </c>
      <c r="B2565" s="49" t="s">
        <v>1805</v>
      </c>
    </row>
    <row r="2566" spans="1:2" x14ac:dyDescent="0.25">
      <c r="A2566" s="49">
        <v>1451595064</v>
      </c>
      <c r="B2566" s="49" t="s">
        <v>1479</v>
      </c>
    </row>
    <row r="2567" spans="1:2" x14ac:dyDescent="0.25">
      <c r="A2567" s="49">
        <v>650026862</v>
      </c>
      <c r="B2567" s="49" t="s">
        <v>491</v>
      </c>
    </row>
    <row r="2568" spans="1:2" x14ac:dyDescent="0.25">
      <c r="A2568" s="49">
        <v>609325652</v>
      </c>
      <c r="B2568" s="49" t="s">
        <v>1183</v>
      </c>
    </row>
    <row r="2569" spans="1:2" x14ac:dyDescent="0.25">
      <c r="A2569" s="49">
        <v>743400937</v>
      </c>
      <c r="B2569" s="49" t="s">
        <v>183</v>
      </c>
    </row>
    <row r="2570" spans="1:2" x14ac:dyDescent="0.25">
      <c r="A2570" s="49">
        <v>782128261</v>
      </c>
      <c r="B2570" s="49" t="s">
        <v>1217</v>
      </c>
    </row>
    <row r="2571" spans="1:2" x14ac:dyDescent="0.25">
      <c r="A2571" s="49">
        <v>609334753</v>
      </c>
      <c r="B2571" s="49" t="s">
        <v>1197</v>
      </c>
    </row>
    <row r="2572" spans="1:2" x14ac:dyDescent="0.25">
      <c r="A2572" s="49">
        <v>622590450</v>
      </c>
      <c r="B2572" s="49" t="s">
        <v>1051</v>
      </c>
    </row>
    <row r="2573" spans="1:2" x14ac:dyDescent="0.25">
      <c r="A2573" s="49">
        <v>689571459</v>
      </c>
      <c r="B2573" s="49" t="s">
        <v>931</v>
      </c>
    </row>
    <row r="2574" spans="1:2" x14ac:dyDescent="0.25">
      <c r="A2574" s="49">
        <v>777652240</v>
      </c>
      <c r="B2574" s="49" t="s">
        <v>348</v>
      </c>
    </row>
    <row r="2575" spans="1:2" x14ac:dyDescent="0.25">
      <c r="A2575" s="49">
        <v>778004431</v>
      </c>
      <c r="B2575" s="49" t="s">
        <v>311</v>
      </c>
    </row>
    <row r="2576" spans="1:2" x14ac:dyDescent="0.25">
      <c r="A2576" s="49">
        <v>778291320</v>
      </c>
      <c r="B2576" s="49" t="s">
        <v>1086</v>
      </c>
    </row>
    <row r="2577" spans="1:2" x14ac:dyDescent="0.25">
      <c r="A2577" s="49">
        <v>781285922</v>
      </c>
      <c r="B2577" s="49" t="s">
        <v>307</v>
      </c>
    </row>
    <row r="2578" spans="1:2" x14ac:dyDescent="0.25">
      <c r="A2578" s="49">
        <v>781930528</v>
      </c>
      <c r="B2578" s="49" t="s">
        <v>1336</v>
      </c>
    </row>
    <row r="2579" spans="1:2" x14ac:dyDescent="0.25">
      <c r="A2579" s="49">
        <v>782127891</v>
      </c>
      <c r="B2579" s="49" t="s">
        <v>1099</v>
      </c>
    </row>
    <row r="2580" spans="1:2" x14ac:dyDescent="0.25">
      <c r="A2580" s="49">
        <v>782125801</v>
      </c>
      <c r="B2580" s="49" t="s">
        <v>278</v>
      </c>
    </row>
    <row r="2581" spans="1:2" x14ac:dyDescent="0.25">
      <c r="A2581" s="49">
        <v>783534847</v>
      </c>
      <c r="B2581" s="49" t="s">
        <v>531</v>
      </c>
    </row>
    <row r="2582" spans="1:2" x14ac:dyDescent="0.25">
      <c r="A2582" s="49">
        <v>799471533</v>
      </c>
      <c r="B2582" s="49" t="s">
        <v>1427</v>
      </c>
    </row>
    <row r="2583" spans="1:2" x14ac:dyDescent="0.25">
      <c r="A2583" s="49">
        <v>821720793</v>
      </c>
      <c r="B2583" s="49" t="s">
        <v>514</v>
      </c>
    </row>
    <row r="2584" spans="1:2" x14ac:dyDescent="0.25">
      <c r="A2584" s="49">
        <v>832177152</v>
      </c>
      <c r="B2584" s="49" t="s">
        <v>638</v>
      </c>
    </row>
    <row r="2585" spans="1:2" x14ac:dyDescent="0.25">
      <c r="A2585" s="49">
        <v>871127593</v>
      </c>
      <c r="B2585" s="49" t="s">
        <v>1287</v>
      </c>
    </row>
    <row r="2586" spans="1:2" x14ac:dyDescent="0.25">
      <c r="A2586" s="49">
        <v>917484220</v>
      </c>
      <c r="B2586" s="49" t="s">
        <v>1707</v>
      </c>
    </row>
    <row r="2587" spans="1:2" x14ac:dyDescent="0.25">
      <c r="A2587" s="49">
        <v>936054881</v>
      </c>
      <c r="B2587" s="49" t="s">
        <v>156</v>
      </c>
    </row>
    <row r="2588" spans="1:2" x14ac:dyDescent="0.25">
      <c r="A2588" s="49">
        <v>1105726437</v>
      </c>
      <c r="B2588" s="49" t="s">
        <v>1189</v>
      </c>
    </row>
    <row r="2589" spans="1:2" x14ac:dyDescent="0.25">
      <c r="A2589" s="49">
        <v>1317259351</v>
      </c>
      <c r="B2589" s="49" t="s">
        <v>570</v>
      </c>
    </row>
    <row r="2590" spans="1:2" x14ac:dyDescent="0.25">
      <c r="A2590" s="49">
        <v>1344831079</v>
      </c>
      <c r="B2590" s="49" t="s">
        <v>1784</v>
      </c>
    </row>
    <row r="2591" spans="1:2" x14ac:dyDescent="0.25">
      <c r="A2591" s="49">
        <v>714420517</v>
      </c>
      <c r="B2591" s="49" t="s">
        <v>1600</v>
      </c>
    </row>
    <row r="2592" spans="1:2" x14ac:dyDescent="0.25">
      <c r="A2592" s="49">
        <v>762403171</v>
      </c>
      <c r="B2592" s="49" t="s">
        <v>589</v>
      </c>
    </row>
    <row r="2593" spans="1:2" x14ac:dyDescent="0.25">
      <c r="A2593" s="49">
        <v>776734566</v>
      </c>
      <c r="B2593" s="49" t="s">
        <v>1490</v>
      </c>
    </row>
    <row r="2594" spans="1:2" x14ac:dyDescent="0.25">
      <c r="A2594" s="49">
        <v>822001320</v>
      </c>
      <c r="B2594" s="49" t="s">
        <v>1448</v>
      </c>
    </row>
    <row r="2595" spans="1:2" x14ac:dyDescent="0.25">
      <c r="A2595" s="49">
        <v>898253613</v>
      </c>
      <c r="B2595" s="49" t="s">
        <v>1544</v>
      </c>
    </row>
    <row r="2596" spans="1:2" x14ac:dyDescent="0.25">
      <c r="A2596" s="49">
        <v>776562755</v>
      </c>
      <c r="B2596" s="49" t="s">
        <v>761</v>
      </c>
    </row>
    <row r="2597" spans="1:2" x14ac:dyDescent="0.25">
      <c r="A2597" s="49">
        <v>836742441</v>
      </c>
      <c r="B2597" s="49" t="s">
        <v>1406</v>
      </c>
    </row>
    <row r="2598" spans="1:2" x14ac:dyDescent="0.25">
      <c r="A2598" s="49">
        <v>1374540428</v>
      </c>
      <c r="B2598" s="49" t="s">
        <v>1819</v>
      </c>
    </row>
    <row r="2599" spans="1:2" x14ac:dyDescent="0.25">
      <c r="A2599" s="49">
        <v>605724243</v>
      </c>
      <c r="B2599" s="49" t="s">
        <v>479</v>
      </c>
    </row>
    <row r="2600" spans="1:2" x14ac:dyDescent="0.25">
      <c r="A2600" s="49">
        <v>614138592</v>
      </c>
      <c r="B2600" s="49" t="s">
        <v>377</v>
      </c>
    </row>
    <row r="2601" spans="1:2" x14ac:dyDescent="0.25">
      <c r="A2601" s="49">
        <v>627700298</v>
      </c>
      <c r="B2601" s="49" t="s">
        <v>402</v>
      </c>
    </row>
    <row r="2602" spans="1:2" x14ac:dyDescent="0.25">
      <c r="A2602" s="49">
        <v>645672987</v>
      </c>
      <c r="B2602" s="49" t="s">
        <v>977</v>
      </c>
    </row>
    <row r="2603" spans="1:2" x14ac:dyDescent="0.25">
      <c r="A2603" s="49">
        <v>770191404</v>
      </c>
      <c r="B2603" s="49" t="s">
        <v>1188</v>
      </c>
    </row>
    <row r="2604" spans="1:2" x14ac:dyDescent="0.25">
      <c r="A2604" s="49">
        <v>777652535</v>
      </c>
      <c r="B2604" s="49" t="s">
        <v>345</v>
      </c>
    </row>
    <row r="2605" spans="1:2" x14ac:dyDescent="0.25">
      <c r="A2605" s="49">
        <v>777652139</v>
      </c>
      <c r="B2605" s="49" t="s">
        <v>338</v>
      </c>
    </row>
    <row r="2606" spans="1:2" x14ac:dyDescent="0.25">
      <c r="A2606" s="49">
        <v>778013929</v>
      </c>
      <c r="B2606" s="49" t="s">
        <v>794</v>
      </c>
    </row>
    <row r="2607" spans="1:2" x14ac:dyDescent="0.25">
      <c r="A2607" s="49">
        <v>778012179</v>
      </c>
      <c r="B2607" s="49" t="s">
        <v>815</v>
      </c>
    </row>
    <row r="2608" spans="1:2" x14ac:dyDescent="0.25">
      <c r="A2608" s="49">
        <v>778431411</v>
      </c>
      <c r="B2608" s="49" t="s">
        <v>682</v>
      </c>
    </row>
    <row r="2609" spans="1:2" x14ac:dyDescent="0.25">
      <c r="A2609" s="49">
        <v>778430542</v>
      </c>
      <c r="B2609" s="49" t="s">
        <v>707</v>
      </c>
    </row>
    <row r="2610" spans="1:2" x14ac:dyDescent="0.25">
      <c r="A2610" s="49">
        <v>781344404</v>
      </c>
      <c r="B2610" s="49" t="s">
        <v>1312</v>
      </c>
    </row>
    <row r="2611" spans="1:2" x14ac:dyDescent="0.25">
      <c r="A2611" s="49">
        <v>785146712</v>
      </c>
      <c r="B2611" s="49" t="s">
        <v>140</v>
      </c>
    </row>
    <row r="2612" spans="1:2" x14ac:dyDescent="0.25">
      <c r="A2612" s="49">
        <v>797826566</v>
      </c>
      <c r="B2612" s="49" t="s">
        <v>1556</v>
      </c>
    </row>
    <row r="2613" spans="1:2" x14ac:dyDescent="0.25">
      <c r="A2613" s="49">
        <v>865766872</v>
      </c>
      <c r="B2613" s="49" t="s">
        <v>1372</v>
      </c>
    </row>
    <row r="2614" spans="1:2" x14ac:dyDescent="0.25">
      <c r="A2614" s="49">
        <v>876433860</v>
      </c>
      <c r="B2614" s="49" t="s">
        <v>1140</v>
      </c>
    </row>
    <row r="2615" spans="1:2" x14ac:dyDescent="0.25">
      <c r="A2615" s="49">
        <v>907416295</v>
      </c>
      <c r="B2615" s="49" t="s">
        <v>872</v>
      </c>
    </row>
    <row r="2616" spans="1:2" x14ac:dyDescent="0.25">
      <c r="A2616" s="49">
        <v>909404979</v>
      </c>
      <c r="B2616" s="49" t="s">
        <v>1094</v>
      </c>
    </row>
    <row r="2617" spans="1:2" x14ac:dyDescent="0.25">
      <c r="A2617" s="49">
        <v>919491493</v>
      </c>
      <c r="B2617" s="49" t="s">
        <v>92</v>
      </c>
    </row>
    <row r="2618" spans="1:2" x14ac:dyDescent="0.25">
      <c r="A2618" s="49">
        <v>1120328180</v>
      </c>
      <c r="B2618" s="49" t="s">
        <v>1293</v>
      </c>
    </row>
    <row r="2619" spans="1:2" x14ac:dyDescent="0.25">
      <c r="A2619" s="49">
        <v>1130836078</v>
      </c>
      <c r="B2619" s="49" t="s">
        <v>1349</v>
      </c>
    </row>
    <row r="2620" spans="1:2" x14ac:dyDescent="0.25">
      <c r="A2620" s="49">
        <v>1135409746</v>
      </c>
      <c r="B2620" s="49" t="s">
        <v>160</v>
      </c>
    </row>
    <row r="2621" spans="1:2" x14ac:dyDescent="0.25">
      <c r="A2621" s="49">
        <v>1155459248</v>
      </c>
      <c r="B2621" s="49" t="s">
        <v>1155</v>
      </c>
    </row>
    <row r="2622" spans="1:2" x14ac:dyDescent="0.25">
      <c r="A2622" s="49">
        <v>1187451690</v>
      </c>
      <c r="B2622" s="49" t="s">
        <v>158</v>
      </c>
    </row>
    <row r="2623" spans="1:2" x14ac:dyDescent="0.25">
      <c r="A2623" s="49">
        <v>1285507860</v>
      </c>
      <c r="B2623" s="49" t="s">
        <v>1727</v>
      </c>
    </row>
    <row r="2624" spans="1:2" x14ac:dyDescent="0.25">
      <c r="A2624" s="49">
        <v>1359336658</v>
      </c>
      <c r="B2624" s="49" t="s">
        <v>1816</v>
      </c>
    </row>
    <row r="2625" spans="1:2" x14ac:dyDescent="0.25">
      <c r="A2625" s="49">
        <v>1423365784</v>
      </c>
      <c r="B2625" s="49" t="s">
        <v>115</v>
      </c>
    </row>
    <row r="2626" spans="1:2" x14ac:dyDescent="0.25">
      <c r="A2626" s="49">
        <v>645937781</v>
      </c>
      <c r="B2626" s="49" t="s">
        <v>973</v>
      </c>
    </row>
    <row r="2627" spans="1:2" x14ac:dyDescent="0.25">
      <c r="A2627" s="49">
        <v>873053515</v>
      </c>
      <c r="B2627" s="49" t="s">
        <v>193</v>
      </c>
    </row>
    <row r="2628" spans="1:2" x14ac:dyDescent="0.25">
      <c r="A2628" s="49">
        <v>784476256</v>
      </c>
      <c r="B2628" s="49" t="s">
        <v>1036</v>
      </c>
    </row>
    <row r="2629" spans="1:2" x14ac:dyDescent="0.25">
      <c r="A2629" s="49">
        <v>1110697576</v>
      </c>
      <c r="B2629" s="49" t="s">
        <v>1712</v>
      </c>
    </row>
    <row r="2630" spans="1:2" x14ac:dyDescent="0.25">
      <c r="A2630" s="49">
        <v>1133567505</v>
      </c>
      <c r="B2630" s="49" t="s">
        <v>166</v>
      </c>
    </row>
    <row r="2631" spans="1:2" x14ac:dyDescent="0.25">
      <c r="A2631" s="49">
        <v>1163436631</v>
      </c>
      <c r="B2631" s="49" t="s">
        <v>1618</v>
      </c>
    </row>
    <row r="2632" spans="1:2" x14ac:dyDescent="0.25">
      <c r="A2632" s="49">
        <v>1194770852</v>
      </c>
      <c r="B2632" s="49" t="s">
        <v>651</v>
      </c>
    </row>
    <row r="2633" spans="1:2" x14ac:dyDescent="0.25">
      <c r="A2633" s="49">
        <v>756056282</v>
      </c>
      <c r="B2633" s="49" t="s">
        <v>1333</v>
      </c>
    </row>
    <row r="2634" spans="1:2" x14ac:dyDescent="0.25">
      <c r="A2634" s="49">
        <v>1344829226</v>
      </c>
      <c r="B2634" s="49" t="s">
        <v>1505</v>
      </c>
    </row>
    <row r="2635" spans="1:2" x14ac:dyDescent="0.25">
      <c r="A2635" s="49">
        <v>625556530</v>
      </c>
      <c r="B2635" s="49" t="s">
        <v>1241</v>
      </c>
    </row>
    <row r="2636" spans="1:2" x14ac:dyDescent="0.25">
      <c r="A2636" s="49">
        <v>661032862</v>
      </c>
      <c r="B2636" s="49" t="s">
        <v>1476</v>
      </c>
    </row>
    <row r="2637" spans="1:2" x14ac:dyDescent="0.25">
      <c r="A2637" s="49">
        <v>695470233</v>
      </c>
      <c r="B2637" s="49" t="s">
        <v>1662</v>
      </c>
    </row>
    <row r="2638" spans="1:2" x14ac:dyDescent="0.25">
      <c r="A2638" s="49">
        <v>717837590</v>
      </c>
      <c r="B2638" s="49" t="s">
        <v>811</v>
      </c>
    </row>
    <row r="2639" spans="1:2" x14ac:dyDescent="0.25">
      <c r="A2639" s="49">
        <v>742978772</v>
      </c>
      <c r="B2639" s="49" t="s">
        <v>1215</v>
      </c>
    </row>
    <row r="2640" spans="1:2" x14ac:dyDescent="0.25">
      <c r="A2640" s="49">
        <v>760282945</v>
      </c>
      <c r="B2640" s="49" t="s">
        <v>284</v>
      </c>
    </row>
    <row r="2641" spans="1:2" x14ac:dyDescent="0.25">
      <c r="A2641" s="49">
        <v>780836253</v>
      </c>
      <c r="B2641" s="49" t="s">
        <v>425</v>
      </c>
    </row>
    <row r="2642" spans="1:2" x14ac:dyDescent="0.25">
      <c r="A2642" s="49">
        <v>780814830</v>
      </c>
      <c r="B2642" s="49" t="s">
        <v>704</v>
      </c>
    </row>
    <row r="2643" spans="1:2" x14ac:dyDescent="0.25">
      <c r="A2643" s="49">
        <v>784369431</v>
      </c>
      <c r="B2643" s="49" t="s">
        <v>697</v>
      </c>
    </row>
    <row r="2644" spans="1:2" x14ac:dyDescent="0.25">
      <c r="A2644" s="49">
        <v>785540848</v>
      </c>
      <c r="B2644" s="49" t="s">
        <v>1012</v>
      </c>
    </row>
    <row r="2645" spans="1:2" x14ac:dyDescent="0.25">
      <c r="A2645" s="49">
        <v>819131226</v>
      </c>
      <c r="B2645" s="49" t="s">
        <v>625</v>
      </c>
    </row>
    <row r="2646" spans="1:2" x14ac:dyDescent="0.25">
      <c r="A2646" s="49">
        <v>860122620</v>
      </c>
      <c r="B2646" s="49" t="s">
        <v>924</v>
      </c>
    </row>
    <row r="2647" spans="1:2" x14ac:dyDescent="0.25">
      <c r="A2647" s="49">
        <v>868767389</v>
      </c>
      <c r="B2647" s="49" t="s">
        <v>390</v>
      </c>
    </row>
    <row r="2648" spans="1:2" x14ac:dyDescent="0.25">
      <c r="A2648" s="49">
        <v>869244290</v>
      </c>
      <c r="B2648" s="49" t="s">
        <v>393</v>
      </c>
    </row>
    <row r="2649" spans="1:2" x14ac:dyDescent="0.25">
      <c r="A2649" s="49">
        <v>928527836</v>
      </c>
      <c r="B2649" s="49" t="s">
        <v>1436</v>
      </c>
    </row>
    <row r="2650" spans="1:2" x14ac:dyDescent="0.25">
      <c r="A2650" s="49">
        <v>928526024</v>
      </c>
      <c r="B2650" s="49" t="s">
        <v>1491</v>
      </c>
    </row>
    <row r="2651" spans="1:2" x14ac:dyDescent="0.25">
      <c r="A2651" s="49">
        <v>928521943</v>
      </c>
      <c r="B2651" s="49" t="s">
        <v>1018</v>
      </c>
    </row>
    <row r="2652" spans="1:2" x14ac:dyDescent="0.25">
      <c r="A2652" s="49">
        <v>1103121662</v>
      </c>
      <c r="B2652" s="49" t="s">
        <v>853</v>
      </c>
    </row>
    <row r="2653" spans="1:2" x14ac:dyDescent="0.25">
      <c r="A2653" s="49">
        <v>1180627602</v>
      </c>
      <c r="B2653" s="49" t="s">
        <v>113</v>
      </c>
    </row>
    <row r="2654" spans="1:2" x14ac:dyDescent="0.25">
      <c r="A2654" s="49">
        <v>1341129266</v>
      </c>
      <c r="B2654" s="49" t="s">
        <v>1768</v>
      </c>
    </row>
    <row r="2655" spans="1:2" x14ac:dyDescent="0.25">
      <c r="A2655" s="49">
        <v>1345222786</v>
      </c>
      <c r="B2655" s="49" t="s">
        <v>1781</v>
      </c>
    </row>
    <row r="2656" spans="1:2" x14ac:dyDescent="0.25">
      <c r="A2656" s="49">
        <v>906018382</v>
      </c>
      <c r="B2656" s="49" t="s">
        <v>951</v>
      </c>
    </row>
    <row r="2657" spans="1:2" x14ac:dyDescent="0.25">
      <c r="A2657" s="49">
        <v>789220397</v>
      </c>
      <c r="B2657" s="49" t="s">
        <v>1501</v>
      </c>
    </row>
    <row r="2658" spans="1:2" x14ac:dyDescent="0.25">
      <c r="A2658" s="49">
        <v>676801713</v>
      </c>
      <c r="B2658" s="49" t="s">
        <v>1428</v>
      </c>
    </row>
    <row r="2659" spans="1:2" x14ac:dyDescent="0.25">
      <c r="A2659" s="49">
        <v>776731861</v>
      </c>
      <c r="B2659" s="49" t="s">
        <v>1497</v>
      </c>
    </row>
    <row r="2660" spans="1:2" x14ac:dyDescent="0.25">
      <c r="A2660" s="49">
        <v>636580748</v>
      </c>
      <c r="B2660" s="49" t="s">
        <v>1664</v>
      </c>
    </row>
    <row r="2661" spans="1:2" x14ac:dyDescent="0.25">
      <c r="A2661" s="49">
        <v>681778468</v>
      </c>
      <c r="B2661" s="49" t="s">
        <v>292</v>
      </c>
    </row>
    <row r="2662" spans="1:2" x14ac:dyDescent="0.25">
      <c r="A2662" s="49">
        <v>717893481</v>
      </c>
      <c r="B2662" s="49" t="s">
        <v>810</v>
      </c>
    </row>
    <row r="2663" spans="1:2" x14ac:dyDescent="0.25">
      <c r="A2663" s="49">
        <v>737881381</v>
      </c>
      <c r="B2663" s="49" t="s">
        <v>879</v>
      </c>
    </row>
    <row r="2664" spans="1:2" x14ac:dyDescent="0.25">
      <c r="A2664" s="49">
        <v>756047124</v>
      </c>
      <c r="B2664" s="49" t="s">
        <v>1006</v>
      </c>
    </row>
    <row r="2665" spans="1:2" x14ac:dyDescent="0.25">
      <c r="A2665" s="49">
        <v>767695967</v>
      </c>
      <c r="B2665" s="49" t="s">
        <v>1646</v>
      </c>
    </row>
    <row r="2666" spans="1:2" x14ac:dyDescent="0.25">
      <c r="A2666" s="49">
        <v>875607617</v>
      </c>
      <c r="B2666" s="49" t="s">
        <v>546</v>
      </c>
    </row>
    <row r="2667" spans="1:2" x14ac:dyDescent="0.25">
      <c r="A2667" s="49">
        <v>934324433</v>
      </c>
      <c r="B2667" s="49" t="s">
        <v>749</v>
      </c>
    </row>
    <row r="2668" spans="1:2" x14ac:dyDescent="0.25">
      <c r="A2668" s="49">
        <v>1154909630</v>
      </c>
      <c r="B2668" s="49" t="s">
        <v>687</v>
      </c>
    </row>
    <row r="2669" spans="1:2" x14ac:dyDescent="0.25">
      <c r="A2669" s="49">
        <v>1156992139</v>
      </c>
      <c r="B2669" s="49" t="s">
        <v>1120</v>
      </c>
    </row>
    <row r="2670" spans="1:2" x14ac:dyDescent="0.25">
      <c r="A2670" s="49">
        <v>1175794774</v>
      </c>
      <c r="B2670" s="49" t="s">
        <v>1385</v>
      </c>
    </row>
    <row r="2671" spans="1:2" x14ac:dyDescent="0.25">
      <c r="A2671" s="49">
        <v>1344964336</v>
      </c>
      <c r="B2671" s="49" t="s">
        <v>3640</v>
      </c>
    </row>
    <row r="2672" spans="1:2" x14ac:dyDescent="0.25">
      <c r="A2672" s="49">
        <v>767528600</v>
      </c>
      <c r="B2672" s="49" t="s">
        <v>218</v>
      </c>
    </row>
    <row r="2673" spans="1:2" x14ac:dyDescent="0.25">
      <c r="A2673" s="49">
        <v>796634270</v>
      </c>
      <c r="B2673" s="49" t="s">
        <v>210</v>
      </c>
    </row>
    <row r="2674" spans="1:2" x14ac:dyDescent="0.25">
      <c r="A2674" s="49">
        <v>719733658</v>
      </c>
      <c r="B2674" s="49" t="s">
        <v>880</v>
      </c>
    </row>
    <row r="2675" spans="1:2" x14ac:dyDescent="0.25">
      <c r="A2675" s="49">
        <v>781285550</v>
      </c>
      <c r="B2675" s="49" t="s">
        <v>756</v>
      </c>
    </row>
    <row r="2676" spans="1:2" x14ac:dyDescent="0.25">
      <c r="A2676" s="49">
        <v>784937163</v>
      </c>
      <c r="B2676" s="49" t="s">
        <v>723</v>
      </c>
    </row>
    <row r="2677" spans="1:2" x14ac:dyDescent="0.25">
      <c r="A2677" s="49">
        <v>916079578</v>
      </c>
      <c r="B2677" s="49" t="s">
        <v>1108</v>
      </c>
    </row>
    <row r="2678" spans="1:2" x14ac:dyDescent="0.25">
      <c r="A2678" s="49">
        <v>782122204</v>
      </c>
      <c r="B2678" s="49" t="s">
        <v>1326</v>
      </c>
    </row>
    <row r="2679" spans="1:2" x14ac:dyDescent="0.25">
      <c r="A2679" s="49">
        <v>1139064390</v>
      </c>
      <c r="B2679" s="49" t="s">
        <v>219</v>
      </c>
    </row>
    <row r="2680" spans="1:2" x14ac:dyDescent="0.25">
      <c r="A2680" s="49">
        <v>1171158446</v>
      </c>
      <c r="B2680" s="49" t="s">
        <v>886</v>
      </c>
    </row>
    <row r="2681" spans="1:2" x14ac:dyDescent="0.25">
      <c r="A2681" s="49">
        <v>639244223</v>
      </c>
      <c r="B2681" s="49" t="s">
        <v>1634</v>
      </c>
    </row>
    <row r="2682" spans="1:2" x14ac:dyDescent="0.25">
      <c r="A2682" s="49">
        <v>644764968</v>
      </c>
      <c r="B2682" s="49" t="s">
        <v>252</v>
      </c>
    </row>
    <row r="2683" spans="1:2" x14ac:dyDescent="0.25">
      <c r="A2683" s="49">
        <v>649966949</v>
      </c>
      <c r="B2683" s="49" t="s">
        <v>487</v>
      </c>
    </row>
    <row r="2684" spans="1:2" x14ac:dyDescent="0.25">
      <c r="A2684" s="49">
        <v>658042355</v>
      </c>
      <c r="B2684" s="49" t="s">
        <v>1643</v>
      </c>
    </row>
    <row r="2685" spans="1:2" x14ac:dyDescent="0.25">
      <c r="A2685" s="49">
        <v>698752178</v>
      </c>
      <c r="B2685" s="49" t="s">
        <v>175</v>
      </c>
    </row>
    <row r="2686" spans="1:2" x14ac:dyDescent="0.25">
      <c r="A2686" s="49">
        <v>719460486</v>
      </c>
      <c r="B2686" s="49" t="s">
        <v>787</v>
      </c>
    </row>
    <row r="2687" spans="1:2" x14ac:dyDescent="0.25">
      <c r="A2687" s="49">
        <v>759925065</v>
      </c>
      <c r="B2687" s="49" t="s">
        <v>240</v>
      </c>
    </row>
    <row r="2688" spans="1:2" x14ac:dyDescent="0.25">
      <c r="A2688" s="49">
        <v>760285816</v>
      </c>
      <c r="B2688" s="49" t="s">
        <v>771</v>
      </c>
    </row>
    <row r="2689" spans="1:2" x14ac:dyDescent="0.25">
      <c r="A2689" s="49">
        <v>776791832</v>
      </c>
      <c r="B2689" s="49" t="s">
        <v>297</v>
      </c>
    </row>
    <row r="2690" spans="1:2" x14ac:dyDescent="0.25">
      <c r="A2690" s="49">
        <v>779927951</v>
      </c>
      <c r="B2690" s="49" t="s">
        <v>637</v>
      </c>
    </row>
    <row r="2691" spans="1:2" x14ac:dyDescent="0.25">
      <c r="A2691" s="49">
        <v>781345181</v>
      </c>
      <c r="B2691" s="49" t="s">
        <v>1330</v>
      </c>
    </row>
    <row r="2692" spans="1:2" x14ac:dyDescent="0.25">
      <c r="A2692" s="49">
        <v>781342478</v>
      </c>
      <c r="B2692" s="49" t="s">
        <v>1309</v>
      </c>
    </row>
    <row r="2693" spans="1:2" x14ac:dyDescent="0.25">
      <c r="A2693" s="49">
        <v>789869659</v>
      </c>
      <c r="B2693" s="49" t="s">
        <v>629</v>
      </c>
    </row>
    <row r="2694" spans="1:2" x14ac:dyDescent="0.25">
      <c r="A2694" s="49">
        <v>878930423</v>
      </c>
      <c r="B2694" s="49" t="s">
        <v>1257</v>
      </c>
    </row>
    <row r="2695" spans="1:2" x14ac:dyDescent="0.25">
      <c r="A2695" s="49">
        <v>886828700</v>
      </c>
      <c r="B2695" s="49" t="s">
        <v>904</v>
      </c>
    </row>
    <row r="2696" spans="1:2" x14ac:dyDescent="0.25">
      <c r="A2696" s="49">
        <v>898142268</v>
      </c>
      <c r="B2696" s="49" t="s">
        <v>1463</v>
      </c>
    </row>
    <row r="2697" spans="1:2" x14ac:dyDescent="0.25">
      <c r="A2697" s="49">
        <v>899436316</v>
      </c>
      <c r="B2697" s="49" t="s">
        <v>595</v>
      </c>
    </row>
    <row r="2698" spans="1:2" x14ac:dyDescent="0.25">
      <c r="A2698" s="49">
        <v>1144027276</v>
      </c>
      <c r="B2698" s="49" t="s">
        <v>1128</v>
      </c>
    </row>
    <row r="2699" spans="1:2" x14ac:dyDescent="0.25">
      <c r="A2699" s="49">
        <v>1166097567</v>
      </c>
      <c r="B2699" s="49" t="s">
        <v>159</v>
      </c>
    </row>
    <row r="2700" spans="1:2" x14ac:dyDescent="0.25">
      <c r="A2700" s="49">
        <v>1179025906</v>
      </c>
      <c r="B2700" s="49" t="s">
        <v>1391</v>
      </c>
    </row>
    <row r="2701" spans="1:2" x14ac:dyDescent="0.25">
      <c r="A2701" s="49">
        <v>1368426535</v>
      </c>
      <c r="B2701" s="49" t="s">
        <v>583</v>
      </c>
    </row>
    <row r="2702" spans="1:2" x14ac:dyDescent="0.25">
      <c r="A2702" s="49">
        <v>1429810088</v>
      </c>
      <c r="B2702" s="49" t="s">
        <v>882</v>
      </c>
    </row>
    <row r="2703" spans="1:2" x14ac:dyDescent="0.25">
      <c r="A2703" s="49">
        <v>1373211417</v>
      </c>
      <c r="B2703" s="49" t="s">
        <v>694</v>
      </c>
    </row>
    <row r="2704" spans="1:2" x14ac:dyDescent="0.25">
      <c r="A2704" s="49">
        <v>1374719061</v>
      </c>
      <c r="B2704" s="49" t="s">
        <v>586</v>
      </c>
    </row>
    <row r="2705" spans="1:2" x14ac:dyDescent="0.25">
      <c r="A2705" s="49">
        <v>609336612</v>
      </c>
      <c r="B2705" s="49" t="s">
        <v>1314</v>
      </c>
    </row>
    <row r="2706" spans="1:2" x14ac:dyDescent="0.25">
      <c r="A2706" s="49">
        <v>622580688</v>
      </c>
      <c r="B2706" s="49" t="s">
        <v>1052</v>
      </c>
    </row>
    <row r="2707" spans="1:2" x14ac:dyDescent="0.25">
      <c r="A2707" s="49">
        <v>886668362</v>
      </c>
      <c r="B2707" s="49" t="s">
        <v>1593</v>
      </c>
    </row>
    <row r="2708" spans="1:2" x14ac:dyDescent="0.25">
      <c r="A2708" s="49">
        <v>781141771</v>
      </c>
      <c r="B2708" s="49" t="s">
        <v>758</v>
      </c>
    </row>
    <row r="2709" spans="1:2" x14ac:dyDescent="0.25">
      <c r="A2709" s="49">
        <v>654675704</v>
      </c>
      <c r="B2709" s="49" t="s">
        <v>530</v>
      </c>
    </row>
    <row r="2710" spans="1:2" x14ac:dyDescent="0.25">
      <c r="A2710" s="49">
        <v>907426129</v>
      </c>
      <c r="B2710" s="49" t="s">
        <v>152</v>
      </c>
    </row>
    <row r="2711" spans="1:2" x14ac:dyDescent="0.25">
      <c r="A2711" s="49">
        <v>1109212502</v>
      </c>
      <c r="B2711" s="49" t="s">
        <v>777</v>
      </c>
    </row>
    <row r="2712" spans="1:2" x14ac:dyDescent="0.25">
      <c r="A2712" s="49">
        <v>676749088</v>
      </c>
      <c r="B2712" s="49" t="s">
        <v>1591</v>
      </c>
    </row>
    <row r="2713" spans="1:2" x14ac:dyDescent="0.25">
      <c r="A2713" s="49">
        <v>1341702268</v>
      </c>
      <c r="B2713" s="49" t="s">
        <v>1766</v>
      </c>
    </row>
    <row r="2714" spans="1:2" x14ac:dyDescent="0.25">
      <c r="A2714" s="49">
        <v>781335992</v>
      </c>
      <c r="B2714" s="49" t="s">
        <v>1253</v>
      </c>
    </row>
    <row r="2715" spans="1:2" x14ac:dyDescent="0.25">
      <c r="A2715" s="49">
        <v>799474393</v>
      </c>
      <c r="B2715" s="49" t="s">
        <v>1435</v>
      </c>
    </row>
    <row r="2716" spans="1:2" x14ac:dyDescent="0.25">
      <c r="A2716" s="49">
        <v>1456036742</v>
      </c>
      <c r="B2716" s="49" t="s">
        <v>3745</v>
      </c>
    </row>
    <row r="2717" spans="1:2" x14ac:dyDescent="0.25">
      <c r="A2717" s="49">
        <v>605724015</v>
      </c>
      <c r="B2717" s="49" t="s">
        <v>327</v>
      </c>
    </row>
    <row r="2718" spans="1:2" x14ac:dyDescent="0.25">
      <c r="A2718" s="49">
        <v>673917381</v>
      </c>
      <c r="B2718" s="49" t="s">
        <v>272</v>
      </c>
    </row>
    <row r="2719" spans="1:2" x14ac:dyDescent="0.25">
      <c r="A2719" s="49">
        <v>732543833</v>
      </c>
      <c r="B2719" s="49" t="s">
        <v>1430</v>
      </c>
    </row>
    <row r="2720" spans="1:2" x14ac:dyDescent="0.25">
      <c r="A2720" s="49">
        <v>758038228</v>
      </c>
      <c r="B2720" s="49" t="s">
        <v>1496</v>
      </c>
    </row>
    <row r="2721" spans="1:2" x14ac:dyDescent="0.25">
      <c r="A2721" s="49">
        <v>767473857</v>
      </c>
      <c r="B2721" s="49" t="s">
        <v>140</v>
      </c>
    </row>
    <row r="2722" spans="1:2" x14ac:dyDescent="0.25">
      <c r="A2722" s="49">
        <v>775863393</v>
      </c>
      <c r="B2722" s="49" t="s">
        <v>1063</v>
      </c>
    </row>
    <row r="2723" spans="1:2" x14ac:dyDescent="0.25">
      <c r="A2723" s="49">
        <v>612229240</v>
      </c>
      <c r="B2723" s="49" t="s">
        <v>400</v>
      </c>
    </row>
    <row r="2724" spans="1:2" x14ac:dyDescent="0.25">
      <c r="A2724" s="49">
        <v>777660429</v>
      </c>
      <c r="B2724" s="49" t="s">
        <v>340</v>
      </c>
    </row>
    <row r="2725" spans="1:2" x14ac:dyDescent="0.25">
      <c r="A2725" s="49">
        <v>781332063</v>
      </c>
      <c r="B2725" s="49" t="s">
        <v>1289</v>
      </c>
    </row>
    <row r="2726" spans="1:2" x14ac:dyDescent="0.25">
      <c r="A2726" s="49">
        <v>781800775</v>
      </c>
      <c r="B2726" s="49" t="s">
        <v>130</v>
      </c>
    </row>
    <row r="2727" spans="1:2" x14ac:dyDescent="0.25">
      <c r="A2727" s="49">
        <v>782129008</v>
      </c>
      <c r="B2727" s="49" t="s">
        <v>1218</v>
      </c>
    </row>
    <row r="2728" spans="1:2" x14ac:dyDescent="0.25">
      <c r="A2728" s="49">
        <v>784062973</v>
      </c>
      <c r="B2728" s="49" t="s">
        <v>804</v>
      </c>
    </row>
    <row r="2729" spans="1:2" x14ac:dyDescent="0.25">
      <c r="A2729" s="49">
        <v>801698270</v>
      </c>
      <c r="B2729" s="49" t="s">
        <v>299</v>
      </c>
    </row>
    <row r="2730" spans="1:2" x14ac:dyDescent="0.25">
      <c r="A2730" s="49">
        <v>918553671</v>
      </c>
      <c r="B2730" s="49" t="s">
        <v>78</v>
      </c>
    </row>
    <row r="2731" spans="1:2" x14ac:dyDescent="0.25">
      <c r="A2731" s="49">
        <v>918991277</v>
      </c>
      <c r="B2731" s="49" t="s">
        <v>273</v>
      </c>
    </row>
    <row r="2732" spans="1:2" x14ac:dyDescent="0.25">
      <c r="A2732" s="49">
        <v>919169943</v>
      </c>
      <c r="B2732" s="49" t="s">
        <v>95</v>
      </c>
    </row>
    <row r="2733" spans="1:2" x14ac:dyDescent="0.25">
      <c r="A2733" s="49">
        <v>1120334656</v>
      </c>
      <c r="B2733" s="49" t="s">
        <v>1293</v>
      </c>
    </row>
    <row r="2734" spans="1:2" x14ac:dyDescent="0.25">
      <c r="A2734" s="49">
        <v>1141510832</v>
      </c>
      <c r="B2734" s="49" t="s">
        <v>1605</v>
      </c>
    </row>
    <row r="2735" spans="1:2" x14ac:dyDescent="0.25">
      <c r="A2735" s="49">
        <v>1149775159</v>
      </c>
      <c r="B2735" s="49" t="s">
        <v>1413</v>
      </c>
    </row>
    <row r="2736" spans="1:2" x14ac:dyDescent="0.25">
      <c r="A2736" s="49">
        <v>1410579430</v>
      </c>
      <c r="B2736" s="49" t="s">
        <v>1830</v>
      </c>
    </row>
    <row r="2737" spans="1:2" x14ac:dyDescent="0.25">
      <c r="A2737" s="49">
        <v>690457306</v>
      </c>
      <c r="B2737" s="49" t="s">
        <v>756</v>
      </c>
    </row>
    <row r="2738" spans="1:2" x14ac:dyDescent="0.25">
      <c r="A2738" s="49">
        <v>909422832</v>
      </c>
      <c r="B2738" s="49" t="s">
        <v>1610</v>
      </c>
    </row>
    <row r="2739" spans="1:2" x14ac:dyDescent="0.25">
      <c r="A2739" s="49">
        <v>913978125</v>
      </c>
      <c r="B2739" s="49" t="s">
        <v>1623</v>
      </c>
    </row>
    <row r="2740" spans="1:2" x14ac:dyDescent="0.25">
      <c r="A2740" s="49">
        <v>844559297</v>
      </c>
      <c r="B2740" s="49" t="s">
        <v>1037</v>
      </c>
    </row>
    <row r="2741" spans="1:2" x14ac:dyDescent="0.25">
      <c r="A2741" s="49">
        <v>874954161</v>
      </c>
      <c r="B2741" s="49" t="s">
        <v>141</v>
      </c>
    </row>
    <row r="2742" spans="1:2" x14ac:dyDescent="0.25">
      <c r="A2742" s="49">
        <v>1109160582</v>
      </c>
      <c r="B2742" s="49" t="s">
        <v>777</v>
      </c>
    </row>
    <row r="2743" spans="1:2" x14ac:dyDescent="0.25">
      <c r="A2743" s="49">
        <v>1141375433</v>
      </c>
      <c r="B2743" s="49" t="s">
        <v>1602</v>
      </c>
    </row>
    <row r="2744" spans="1:2" x14ac:dyDescent="0.25">
      <c r="A2744" s="49">
        <v>1144478911</v>
      </c>
      <c r="B2744" s="49" t="s">
        <v>1658</v>
      </c>
    </row>
    <row r="2745" spans="1:2" x14ac:dyDescent="0.25">
      <c r="A2745" s="49">
        <v>1339770938</v>
      </c>
      <c r="B2745" s="49" t="s">
        <v>1747</v>
      </c>
    </row>
    <row r="2746" spans="1:2" x14ac:dyDescent="0.25">
      <c r="A2746" s="49">
        <v>1357333751</v>
      </c>
      <c r="B2746" s="49" t="s">
        <v>1813</v>
      </c>
    </row>
    <row r="2747" spans="1:2" x14ac:dyDescent="0.25">
      <c r="A2747" s="49">
        <v>1372500449</v>
      </c>
      <c r="B2747" s="49" t="s">
        <v>1837</v>
      </c>
    </row>
    <row r="2748" spans="1:2" x14ac:dyDescent="0.25">
      <c r="A2748" s="49">
        <v>620061716</v>
      </c>
      <c r="B2748" s="49" t="s">
        <v>428</v>
      </c>
    </row>
    <row r="2749" spans="1:2" x14ac:dyDescent="0.25">
      <c r="A2749" s="49">
        <v>651501055</v>
      </c>
      <c r="B2749" s="49" t="s">
        <v>928</v>
      </c>
    </row>
    <row r="2750" spans="1:2" x14ac:dyDescent="0.25">
      <c r="A2750" s="49">
        <v>706266420</v>
      </c>
      <c r="B2750" s="49" t="s">
        <v>700</v>
      </c>
    </row>
    <row r="2751" spans="1:2" x14ac:dyDescent="0.25">
      <c r="A2751" s="49">
        <v>743396593</v>
      </c>
      <c r="B2751" s="49" t="s">
        <v>201</v>
      </c>
    </row>
    <row r="2752" spans="1:2" x14ac:dyDescent="0.25">
      <c r="A2752" s="49">
        <v>758037901</v>
      </c>
      <c r="B2752" s="49" t="s">
        <v>1495</v>
      </c>
    </row>
    <row r="2753" spans="1:2" x14ac:dyDescent="0.25">
      <c r="A2753" s="49">
        <v>762233156</v>
      </c>
      <c r="B2753" s="49" t="s">
        <v>824</v>
      </c>
    </row>
    <row r="2754" spans="1:2" x14ac:dyDescent="0.25">
      <c r="A2754" s="49">
        <v>730263031</v>
      </c>
      <c r="B2754" s="49" t="s">
        <v>601</v>
      </c>
    </row>
    <row r="2755" spans="1:2" x14ac:dyDescent="0.25">
      <c r="A2755" s="49">
        <v>777653462</v>
      </c>
      <c r="B2755" s="49" t="s">
        <v>352</v>
      </c>
    </row>
    <row r="2756" spans="1:2" x14ac:dyDescent="0.25">
      <c r="A2756" s="49">
        <v>777653229</v>
      </c>
      <c r="B2756" s="49" t="s">
        <v>332</v>
      </c>
    </row>
    <row r="2757" spans="1:2" x14ac:dyDescent="0.25">
      <c r="A2757" s="49">
        <v>782309179</v>
      </c>
      <c r="B2757" s="49" t="s">
        <v>523</v>
      </c>
    </row>
    <row r="2758" spans="1:2" x14ac:dyDescent="0.25">
      <c r="A2758" s="49">
        <v>860113757</v>
      </c>
      <c r="B2758" s="49" t="s">
        <v>1651</v>
      </c>
    </row>
    <row r="2759" spans="1:2" x14ac:dyDescent="0.25">
      <c r="A2759" s="49">
        <v>865759351</v>
      </c>
      <c r="B2759" s="49" t="s">
        <v>1377</v>
      </c>
    </row>
    <row r="2760" spans="1:2" x14ac:dyDescent="0.25">
      <c r="A2760" s="49">
        <v>876030768</v>
      </c>
      <c r="B2760" s="49" t="s">
        <v>542</v>
      </c>
    </row>
    <row r="2761" spans="1:2" x14ac:dyDescent="0.25">
      <c r="A2761" s="49">
        <v>882917381</v>
      </c>
      <c r="B2761" s="49" t="s">
        <v>1166</v>
      </c>
    </row>
    <row r="2762" spans="1:2" x14ac:dyDescent="0.25">
      <c r="A2762" s="49">
        <v>906023811</v>
      </c>
      <c r="B2762" s="49" t="s">
        <v>552</v>
      </c>
    </row>
    <row r="2763" spans="1:2" x14ac:dyDescent="0.25">
      <c r="A2763" s="49">
        <v>1127910805</v>
      </c>
      <c r="B2763" s="49" t="s">
        <v>1144</v>
      </c>
    </row>
    <row r="2764" spans="1:2" x14ac:dyDescent="0.25">
      <c r="A2764" s="49">
        <v>1285507851</v>
      </c>
      <c r="B2764" s="49" t="s">
        <v>1680</v>
      </c>
    </row>
    <row r="2765" spans="1:2" x14ac:dyDescent="0.25">
      <c r="A2765" s="49">
        <v>1379561433</v>
      </c>
      <c r="B2765" s="49" t="s">
        <v>1198</v>
      </c>
    </row>
    <row r="2766" spans="1:2" x14ac:dyDescent="0.25">
      <c r="A2766" s="49">
        <v>741934157</v>
      </c>
      <c r="B2766" s="49" t="s">
        <v>955</v>
      </c>
    </row>
    <row r="2767" spans="1:2" x14ac:dyDescent="0.25">
      <c r="A2767" s="49">
        <v>744120399</v>
      </c>
      <c r="B2767" s="49" t="s">
        <v>305</v>
      </c>
    </row>
    <row r="2768" spans="1:2" x14ac:dyDescent="0.25">
      <c r="A2768" s="49">
        <v>1184719518</v>
      </c>
      <c r="B2768" s="49" t="s">
        <v>1416</v>
      </c>
    </row>
    <row r="2769" spans="1:2" x14ac:dyDescent="0.25">
      <c r="A2769" s="49">
        <v>1255748709</v>
      </c>
      <c r="B2769" s="49" t="s">
        <v>1728</v>
      </c>
    </row>
    <row r="2770" spans="1:2" x14ac:dyDescent="0.25">
      <c r="A2770" s="49">
        <v>605724019</v>
      </c>
      <c r="B2770" s="49" t="s">
        <v>373</v>
      </c>
    </row>
    <row r="2771" spans="1:2" x14ac:dyDescent="0.25">
      <c r="A2771" s="49">
        <v>624080047</v>
      </c>
      <c r="B2771" s="49" t="s">
        <v>3651</v>
      </c>
    </row>
    <row r="2772" spans="1:2" x14ac:dyDescent="0.25">
      <c r="A2772" s="49">
        <v>625955695</v>
      </c>
      <c r="B2772" s="49" t="s">
        <v>291</v>
      </c>
    </row>
    <row r="2773" spans="1:2" x14ac:dyDescent="0.25">
      <c r="A2773" s="49">
        <v>640555489</v>
      </c>
      <c r="B2773" s="49" t="s">
        <v>1113</v>
      </c>
    </row>
    <row r="2774" spans="1:2" x14ac:dyDescent="0.25">
      <c r="A2774" s="49">
        <v>642165747</v>
      </c>
      <c r="B2774" s="49" t="s">
        <v>504</v>
      </c>
    </row>
    <row r="2775" spans="1:2" x14ac:dyDescent="0.25">
      <c r="A2775" s="49">
        <v>719637249</v>
      </c>
      <c r="B2775" s="49" t="s">
        <v>781</v>
      </c>
    </row>
    <row r="2776" spans="1:2" x14ac:dyDescent="0.25">
      <c r="A2776" s="49">
        <v>732377733</v>
      </c>
      <c r="B2776" s="49" t="s">
        <v>1630</v>
      </c>
    </row>
    <row r="2777" spans="1:2" x14ac:dyDescent="0.25">
      <c r="A2777" s="49">
        <v>759872113</v>
      </c>
      <c r="B2777" s="49" t="s">
        <v>220</v>
      </c>
    </row>
    <row r="2778" spans="1:2" x14ac:dyDescent="0.25">
      <c r="A2778" s="49">
        <v>760286480</v>
      </c>
      <c r="B2778" s="49" t="s">
        <v>343</v>
      </c>
    </row>
    <row r="2779" spans="1:2" x14ac:dyDescent="0.25">
      <c r="A2779" s="49">
        <v>762401991</v>
      </c>
      <c r="B2779" s="49" t="s">
        <v>941</v>
      </c>
    </row>
    <row r="2780" spans="1:2" x14ac:dyDescent="0.25">
      <c r="A2780" s="49">
        <v>769161694</v>
      </c>
      <c r="B2780" s="49" t="s">
        <v>1455</v>
      </c>
    </row>
    <row r="2781" spans="1:2" x14ac:dyDescent="0.25">
      <c r="A2781" s="49">
        <v>782128651</v>
      </c>
      <c r="B2781" s="49" t="s">
        <v>1228</v>
      </c>
    </row>
    <row r="2782" spans="1:2" x14ac:dyDescent="0.25">
      <c r="A2782" s="49">
        <v>835289887</v>
      </c>
      <c r="B2782" s="49" t="s">
        <v>1356</v>
      </c>
    </row>
    <row r="2783" spans="1:2" x14ac:dyDescent="0.25">
      <c r="A2783" s="49">
        <v>874969641</v>
      </c>
      <c r="B2783" s="49" t="s">
        <v>661</v>
      </c>
    </row>
    <row r="2784" spans="1:2" x14ac:dyDescent="0.25">
      <c r="A2784" s="49">
        <v>913671681</v>
      </c>
      <c r="B2784" s="49" t="s">
        <v>3653</v>
      </c>
    </row>
    <row r="2785" spans="1:2" x14ac:dyDescent="0.25">
      <c r="A2785" s="49">
        <v>935907356</v>
      </c>
      <c r="B2785" s="49" t="s">
        <v>1530</v>
      </c>
    </row>
    <row r="2786" spans="1:2" x14ac:dyDescent="0.25">
      <c r="A2786" s="49">
        <v>1148976413</v>
      </c>
      <c r="B2786" s="49" t="s">
        <v>1441</v>
      </c>
    </row>
    <row r="2787" spans="1:2" x14ac:dyDescent="0.25">
      <c r="A2787" s="49">
        <v>1249805661</v>
      </c>
      <c r="B2787" s="49" t="s">
        <v>1591</v>
      </c>
    </row>
    <row r="2788" spans="1:2" x14ac:dyDescent="0.25">
      <c r="A2788" s="49">
        <v>1348126066</v>
      </c>
      <c r="B2788" s="49" t="s">
        <v>672</v>
      </c>
    </row>
    <row r="2789" spans="1:2" x14ac:dyDescent="0.25">
      <c r="A2789" s="49">
        <v>1355994001</v>
      </c>
      <c r="B2789" s="49" t="s">
        <v>1809</v>
      </c>
    </row>
    <row r="2790" spans="1:2" x14ac:dyDescent="0.25">
      <c r="A2790" s="49">
        <v>1355296491</v>
      </c>
      <c r="B2790" s="49" t="s">
        <v>1804</v>
      </c>
    </row>
    <row r="2791" spans="1:2" x14ac:dyDescent="0.25">
      <c r="A2791" s="49">
        <v>1401408182</v>
      </c>
      <c r="B2791" s="49" t="s">
        <v>1828</v>
      </c>
    </row>
    <row r="2792" spans="1:2" x14ac:dyDescent="0.25">
      <c r="A2792" s="49">
        <v>1376595679</v>
      </c>
      <c r="B2792" s="49" t="s">
        <v>1086</v>
      </c>
    </row>
    <row r="2793" spans="1:2" x14ac:dyDescent="0.25">
      <c r="A2793" s="49">
        <v>898143412</v>
      </c>
      <c r="B2793" s="49" t="s">
        <v>3662</v>
      </c>
    </row>
    <row r="2794" spans="1:2" x14ac:dyDescent="0.25">
      <c r="A2794" s="49">
        <v>758481071</v>
      </c>
      <c r="B2794" s="49" t="s">
        <v>1020</v>
      </c>
    </row>
    <row r="2795" spans="1:2" x14ac:dyDescent="0.25">
      <c r="A2795" s="49">
        <v>1149726894</v>
      </c>
      <c r="B2795" s="49" t="s">
        <v>1413</v>
      </c>
    </row>
    <row r="2796" spans="1:2" x14ac:dyDescent="0.25">
      <c r="A2796" s="49">
        <v>1341026811</v>
      </c>
      <c r="B2796" s="49" t="s">
        <v>1764</v>
      </c>
    </row>
    <row r="2797" spans="1:2" x14ac:dyDescent="0.25">
      <c r="A2797" s="49">
        <v>621416365</v>
      </c>
      <c r="B2797" s="49" t="s">
        <v>232</v>
      </c>
    </row>
    <row r="2798" spans="1:2" x14ac:dyDescent="0.25">
      <c r="A2798" s="49">
        <v>628410024</v>
      </c>
      <c r="B2798" s="49" t="s">
        <v>989</v>
      </c>
    </row>
    <row r="2799" spans="1:2" x14ac:dyDescent="0.25">
      <c r="A2799" s="49">
        <v>637566770</v>
      </c>
      <c r="B2799" s="49" t="s">
        <v>690</v>
      </c>
    </row>
    <row r="2800" spans="1:2" x14ac:dyDescent="0.25">
      <c r="A2800" s="49">
        <v>641006701</v>
      </c>
      <c r="B2800" s="49" t="s">
        <v>1160</v>
      </c>
    </row>
    <row r="2801" spans="1:2" x14ac:dyDescent="0.25">
      <c r="A2801" s="49">
        <v>675312352</v>
      </c>
      <c r="B2801" s="49" t="s">
        <v>1259</v>
      </c>
    </row>
    <row r="2802" spans="1:2" x14ac:dyDescent="0.25">
      <c r="A2802" s="49">
        <v>717906144</v>
      </c>
      <c r="B2802" s="49" t="s">
        <v>793</v>
      </c>
    </row>
    <row r="2803" spans="1:2" x14ac:dyDescent="0.25">
      <c r="A2803" s="49">
        <v>737072521</v>
      </c>
      <c r="B2803" s="49" t="s">
        <v>878</v>
      </c>
    </row>
    <row r="2804" spans="1:2" x14ac:dyDescent="0.25">
      <c r="A2804" s="49">
        <v>776563766</v>
      </c>
      <c r="B2804" s="49" t="s">
        <v>765</v>
      </c>
    </row>
    <row r="2805" spans="1:2" x14ac:dyDescent="0.25">
      <c r="A2805" s="49">
        <v>776742743</v>
      </c>
      <c r="B2805" s="49" t="s">
        <v>647</v>
      </c>
    </row>
    <row r="2806" spans="1:2" x14ac:dyDescent="0.25">
      <c r="A2806" s="49">
        <v>778013823</v>
      </c>
      <c r="B2806" s="49" t="s">
        <v>796</v>
      </c>
    </row>
    <row r="2807" spans="1:2" x14ac:dyDescent="0.25">
      <c r="A2807" s="49">
        <v>785332132</v>
      </c>
      <c r="B2807" s="49" t="s">
        <v>746</v>
      </c>
    </row>
    <row r="2808" spans="1:2" x14ac:dyDescent="0.25">
      <c r="A2808" s="49">
        <v>794753612</v>
      </c>
      <c r="B2808" s="49" t="s">
        <v>1659</v>
      </c>
    </row>
    <row r="2809" spans="1:2" x14ac:dyDescent="0.25">
      <c r="A2809" s="49">
        <v>821991281</v>
      </c>
      <c r="B2809" s="49" t="s">
        <v>511</v>
      </c>
    </row>
    <row r="2810" spans="1:2" x14ac:dyDescent="0.25">
      <c r="A2810" s="49">
        <v>909404328</v>
      </c>
      <c r="B2810" s="49" t="s">
        <v>1095</v>
      </c>
    </row>
    <row r="2811" spans="1:2" x14ac:dyDescent="0.25">
      <c r="A2811" s="49">
        <v>919304588</v>
      </c>
      <c r="B2811" s="49" t="s">
        <v>81</v>
      </c>
    </row>
    <row r="2812" spans="1:2" x14ac:dyDescent="0.25">
      <c r="A2812" s="49">
        <v>919298241</v>
      </c>
      <c r="B2812" s="49" t="s">
        <v>93</v>
      </c>
    </row>
    <row r="2813" spans="1:2" x14ac:dyDescent="0.25">
      <c r="A2813" s="49">
        <v>919467681</v>
      </c>
      <c r="B2813" s="49" t="s">
        <v>88</v>
      </c>
    </row>
    <row r="2814" spans="1:2" x14ac:dyDescent="0.25">
      <c r="A2814" s="49">
        <v>928740938</v>
      </c>
      <c r="B2814" s="49" t="s">
        <v>1389</v>
      </c>
    </row>
    <row r="2815" spans="1:2" x14ac:dyDescent="0.25">
      <c r="A2815" s="49">
        <v>935719884</v>
      </c>
      <c r="B2815" s="49" t="s">
        <v>752</v>
      </c>
    </row>
    <row r="2816" spans="1:2" x14ac:dyDescent="0.25">
      <c r="A2816" s="49">
        <v>1105755057</v>
      </c>
      <c r="B2816" s="49" t="s">
        <v>1664</v>
      </c>
    </row>
    <row r="2817" spans="1:2" x14ac:dyDescent="0.25">
      <c r="A2817" s="49">
        <v>1154490439</v>
      </c>
      <c r="B2817" s="49" t="s">
        <v>1152</v>
      </c>
    </row>
    <row r="2818" spans="1:2" x14ac:dyDescent="0.25">
      <c r="A2818" s="49">
        <v>1155454343</v>
      </c>
      <c r="B2818" s="49" t="s">
        <v>1154</v>
      </c>
    </row>
    <row r="2819" spans="1:2" x14ac:dyDescent="0.25">
      <c r="A2819" s="49">
        <v>1321591020</v>
      </c>
      <c r="B2819" s="49" t="s">
        <v>1740</v>
      </c>
    </row>
    <row r="2820" spans="1:2" x14ac:dyDescent="0.25">
      <c r="A2820" s="49">
        <v>1339979216</v>
      </c>
      <c r="B2820" s="49" t="s">
        <v>1752</v>
      </c>
    </row>
    <row r="2821" spans="1:2" x14ac:dyDescent="0.25">
      <c r="A2821" s="49">
        <v>1345234616</v>
      </c>
      <c r="B2821" s="49" t="s">
        <v>1581</v>
      </c>
    </row>
    <row r="2822" spans="1:2" x14ac:dyDescent="0.25">
      <c r="A2822" s="49">
        <v>1397905114</v>
      </c>
      <c r="B2822" s="49" t="s">
        <v>1823</v>
      </c>
    </row>
    <row r="2823" spans="1:2" x14ac:dyDescent="0.25">
      <c r="A2823" s="49">
        <v>1370926053</v>
      </c>
      <c r="B2823" s="49" t="s">
        <v>1476</v>
      </c>
    </row>
    <row r="2824" spans="1:2" x14ac:dyDescent="0.25">
      <c r="A2824" s="49">
        <v>1432294606</v>
      </c>
      <c r="B2824" s="49" t="s">
        <v>685</v>
      </c>
    </row>
    <row r="2825" spans="1:2" x14ac:dyDescent="0.25">
      <c r="A2825" s="49">
        <v>782129314</v>
      </c>
      <c r="B2825" s="49" t="s">
        <v>1220</v>
      </c>
    </row>
    <row r="2826" spans="1:2" x14ac:dyDescent="0.25">
      <c r="A2826" s="49">
        <v>781139097</v>
      </c>
      <c r="B2826" s="49" t="s">
        <v>305</v>
      </c>
    </row>
    <row r="2827" spans="1:2" x14ac:dyDescent="0.25">
      <c r="A2827" s="49">
        <v>882912507</v>
      </c>
      <c r="B2827" s="49" t="s">
        <v>1176</v>
      </c>
    </row>
    <row r="2828" spans="1:2" x14ac:dyDescent="0.25">
      <c r="A2828" s="49">
        <v>1287017170</v>
      </c>
      <c r="B2828" s="49" t="s">
        <v>1703</v>
      </c>
    </row>
    <row r="2829" spans="1:2" x14ac:dyDescent="0.25">
      <c r="A2829" s="49">
        <v>636199671</v>
      </c>
      <c r="B2829" s="49" t="s">
        <v>328</v>
      </c>
    </row>
    <row r="2830" spans="1:2" x14ac:dyDescent="0.25">
      <c r="A2830" s="49">
        <v>641648750</v>
      </c>
      <c r="B2830" s="49" t="s">
        <v>99</v>
      </c>
    </row>
    <row r="2831" spans="1:2" x14ac:dyDescent="0.25">
      <c r="A2831" s="49">
        <v>693830750</v>
      </c>
      <c r="B2831" s="49" t="s">
        <v>185</v>
      </c>
    </row>
    <row r="2832" spans="1:2" x14ac:dyDescent="0.25">
      <c r="A2832" s="49">
        <v>718168181</v>
      </c>
      <c r="B2832" s="49" t="s">
        <v>796</v>
      </c>
    </row>
    <row r="2833" spans="1:2" x14ac:dyDescent="0.25">
      <c r="A2833" s="49">
        <v>754278505</v>
      </c>
      <c r="B2833" s="49" t="s">
        <v>1628</v>
      </c>
    </row>
    <row r="2834" spans="1:2" x14ac:dyDescent="0.25">
      <c r="A2834" s="49">
        <v>760066969</v>
      </c>
      <c r="B2834" s="49" t="s">
        <v>1183</v>
      </c>
    </row>
    <row r="2835" spans="1:2" x14ac:dyDescent="0.25">
      <c r="A2835" s="49">
        <v>764006166</v>
      </c>
      <c r="B2835" s="49" t="s">
        <v>819</v>
      </c>
    </row>
    <row r="2836" spans="1:2" x14ac:dyDescent="0.25">
      <c r="A2836" s="49">
        <v>782128085</v>
      </c>
      <c r="B2836" s="49" t="s">
        <v>1186</v>
      </c>
    </row>
    <row r="2837" spans="1:2" x14ac:dyDescent="0.25">
      <c r="A2837" s="49">
        <v>830044268</v>
      </c>
      <c r="B2837" s="49" t="s">
        <v>760</v>
      </c>
    </row>
    <row r="2838" spans="1:2" x14ac:dyDescent="0.25">
      <c r="A2838" s="49">
        <v>861903027</v>
      </c>
      <c r="B2838" s="49" t="s">
        <v>1578</v>
      </c>
    </row>
    <row r="2839" spans="1:2" x14ac:dyDescent="0.25">
      <c r="A2839" s="49">
        <v>865767921</v>
      </c>
      <c r="B2839" s="49" t="s">
        <v>1372</v>
      </c>
    </row>
    <row r="2840" spans="1:2" x14ac:dyDescent="0.25">
      <c r="A2840" s="49">
        <v>866742778</v>
      </c>
      <c r="B2840" s="49" t="s">
        <v>906</v>
      </c>
    </row>
    <row r="2841" spans="1:2" x14ac:dyDescent="0.25">
      <c r="A2841" s="49">
        <v>868109445</v>
      </c>
      <c r="B2841" s="49" t="s">
        <v>383</v>
      </c>
    </row>
    <row r="2842" spans="1:2" x14ac:dyDescent="0.25">
      <c r="A2842" s="49">
        <v>883091505</v>
      </c>
      <c r="B2842" s="49" t="s">
        <v>1269</v>
      </c>
    </row>
    <row r="2843" spans="1:2" x14ac:dyDescent="0.25">
      <c r="A2843" s="49">
        <v>918982799</v>
      </c>
      <c r="B2843" s="49" t="s">
        <v>91</v>
      </c>
    </row>
    <row r="2844" spans="1:2" x14ac:dyDescent="0.25">
      <c r="A2844" s="49">
        <v>918960624</v>
      </c>
      <c r="B2844" s="49" t="s">
        <v>75</v>
      </c>
    </row>
    <row r="2845" spans="1:2" x14ac:dyDescent="0.25">
      <c r="A2845" s="49">
        <v>1103168404</v>
      </c>
      <c r="B2845" s="49" t="s">
        <v>852</v>
      </c>
    </row>
    <row r="2846" spans="1:2" x14ac:dyDescent="0.25">
      <c r="A2846" s="49">
        <v>1194629981</v>
      </c>
      <c r="B2846" s="49" t="s">
        <v>1256</v>
      </c>
    </row>
    <row r="2847" spans="1:2" x14ac:dyDescent="0.25">
      <c r="A2847" s="49">
        <v>1375813169</v>
      </c>
      <c r="B2847" s="49" t="s">
        <v>1504</v>
      </c>
    </row>
    <row r="2848" spans="1:2" x14ac:dyDescent="0.25">
      <c r="A2848" s="49">
        <v>796657331</v>
      </c>
      <c r="B2848" s="49" t="s">
        <v>209</v>
      </c>
    </row>
    <row r="2849" spans="1:2" x14ac:dyDescent="0.25">
      <c r="A2849" s="49">
        <v>759872339</v>
      </c>
      <c r="B2849" s="49" t="s">
        <v>1684</v>
      </c>
    </row>
    <row r="2850" spans="1:2" x14ac:dyDescent="0.25">
      <c r="A2850" s="49">
        <v>698641011</v>
      </c>
      <c r="B2850" s="49" t="s">
        <v>1626</v>
      </c>
    </row>
    <row r="2851" spans="1:2" x14ac:dyDescent="0.25">
      <c r="A2851" s="49">
        <v>1133871015</v>
      </c>
      <c r="B2851" s="49" t="s">
        <v>162</v>
      </c>
    </row>
    <row r="2852" spans="1:2" x14ac:dyDescent="0.25">
      <c r="A2852" s="49">
        <v>781286459</v>
      </c>
      <c r="B2852" s="49" t="s">
        <v>728</v>
      </c>
    </row>
    <row r="2853" spans="1:2" x14ac:dyDescent="0.25">
      <c r="A2853" s="49">
        <v>1341689640</v>
      </c>
      <c r="B2853" s="49" t="s">
        <v>1767</v>
      </c>
    </row>
    <row r="2854" spans="1:2" x14ac:dyDescent="0.25">
      <c r="A2854" s="49">
        <v>690006344</v>
      </c>
      <c r="B2854" s="49" t="s">
        <v>1232</v>
      </c>
    </row>
    <row r="2855" spans="1:2" x14ac:dyDescent="0.25">
      <c r="A2855" s="49">
        <v>705320895</v>
      </c>
      <c r="B2855" s="49" t="s">
        <v>329</v>
      </c>
    </row>
    <row r="2856" spans="1:2" x14ac:dyDescent="0.25">
      <c r="A2856" s="49">
        <v>714217616</v>
      </c>
      <c r="B2856" s="49" t="s">
        <v>1695</v>
      </c>
    </row>
    <row r="2857" spans="1:2" x14ac:dyDescent="0.25">
      <c r="A2857" s="49">
        <v>777655223</v>
      </c>
      <c r="B2857" s="49" t="s">
        <v>355</v>
      </c>
    </row>
    <row r="2858" spans="1:2" x14ac:dyDescent="0.25">
      <c r="A2858" s="49">
        <v>778432963</v>
      </c>
      <c r="B2858" s="49" t="s">
        <v>560</v>
      </c>
    </row>
    <row r="2859" spans="1:2" x14ac:dyDescent="0.25">
      <c r="A2859" s="49">
        <v>778430105</v>
      </c>
      <c r="B2859" s="49" t="s">
        <v>694</v>
      </c>
    </row>
    <row r="2860" spans="1:2" x14ac:dyDescent="0.25">
      <c r="A2860" s="49">
        <v>784066737</v>
      </c>
      <c r="B2860" s="49" t="s">
        <v>669</v>
      </c>
    </row>
    <row r="2861" spans="1:2" x14ac:dyDescent="0.25">
      <c r="A2861" s="49">
        <v>784481812</v>
      </c>
      <c r="B2861" s="49" t="s">
        <v>980</v>
      </c>
    </row>
    <row r="2862" spans="1:2" x14ac:dyDescent="0.25">
      <c r="A2862" s="49">
        <v>789183802</v>
      </c>
      <c r="B2862" s="49" t="s">
        <v>673</v>
      </c>
    </row>
    <row r="2863" spans="1:2" x14ac:dyDescent="0.25">
      <c r="A2863" s="49">
        <v>798183479</v>
      </c>
      <c r="B2863" s="49" t="s">
        <v>1422</v>
      </c>
    </row>
    <row r="2864" spans="1:2" x14ac:dyDescent="0.25">
      <c r="A2864" s="49">
        <v>832179645</v>
      </c>
      <c r="B2864" s="49" t="s">
        <v>151</v>
      </c>
    </row>
    <row r="2865" spans="1:2" x14ac:dyDescent="0.25">
      <c r="A2865" s="49">
        <v>835620466</v>
      </c>
      <c r="B2865" s="49" t="s">
        <v>1355</v>
      </c>
    </row>
    <row r="2866" spans="1:2" x14ac:dyDescent="0.25">
      <c r="A2866" s="49">
        <v>861904550</v>
      </c>
      <c r="B2866" s="49" t="s">
        <v>1578</v>
      </c>
    </row>
    <row r="2867" spans="1:2" x14ac:dyDescent="0.25">
      <c r="A2867" s="49">
        <v>864511865</v>
      </c>
      <c r="B2867" s="49" t="s">
        <v>360</v>
      </c>
    </row>
    <row r="2868" spans="1:2" x14ac:dyDescent="0.25">
      <c r="A2868" s="49">
        <v>928921474</v>
      </c>
      <c r="B2868" s="49" t="s">
        <v>1497</v>
      </c>
    </row>
    <row r="2869" spans="1:2" x14ac:dyDescent="0.25">
      <c r="A2869" s="49">
        <v>1103498188</v>
      </c>
      <c r="B2869" s="49" t="s">
        <v>862</v>
      </c>
    </row>
    <row r="2870" spans="1:2" x14ac:dyDescent="0.25">
      <c r="A2870" s="49">
        <v>1140963067</v>
      </c>
      <c r="B2870" s="49" t="s">
        <v>119</v>
      </c>
    </row>
    <row r="2871" spans="1:2" x14ac:dyDescent="0.25">
      <c r="A2871" s="49">
        <v>1221547651</v>
      </c>
      <c r="B2871" s="49" t="s">
        <v>111</v>
      </c>
    </row>
    <row r="2872" spans="1:2" x14ac:dyDescent="0.25">
      <c r="A2872" s="49">
        <v>1419602144</v>
      </c>
      <c r="B2872" s="49" t="s">
        <v>1834</v>
      </c>
    </row>
    <row r="2873" spans="1:2" x14ac:dyDescent="0.25">
      <c r="A2873" s="49">
        <v>1372487903</v>
      </c>
      <c r="B2873" s="49" t="s">
        <v>1837</v>
      </c>
    </row>
    <row r="2874" spans="1:2" x14ac:dyDescent="0.25">
      <c r="A2874" s="49">
        <v>675041555</v>
      </c>
      <c r="B2874" s="49" t="s">
        <v>1657</v>
      </c>
    </row>
    <row r="2875" spans="1:2" x14ac:dyDescent="0.25">
      <c r="A2875" s="49">
        <v>779464581</v>
      </c>
      <c r="B2875" s="49" t="s">
        <v>521</v>
      </c>
    </row>
    <row r="2876" spans="1:2" x14ac:dyDescent="0.25">
      <c r="A2876" s="49">
        <v>841091800</v>
      </c>
      <c r="B2876" s="49" t="s">
        <v>1395</v>
      </c>
    </row>
    <row r="2877" spans="1:2" x14ac:dyDescent="0.25">
      <c r="A2877" s="49">
        <v>886667397</v>
      </c>
      <c r="B2877" s="49" t="s">
        <v>1454</v>
      </c>
    </row>
    <row r="2878" spans="1:2" x14ac:dyDescent="0.25">
      <c r="A2878" s="49">
        <v>928627525</v>
      </c>
      <c r="B2878" s="49" t="s">
        <v>1388</v>
      </c>
    </row>
    <row r="2879" spans="1:2" x14ac:dyDescent="0.25">
      <c r="A2879" s="49">
        <v>934889048</v>
      </c>
      <c r="B2879" s="49" t="s">
        <v>1412</v>
      </c>
    </row>
    <row r="2880" spans="1:2" x14ac:dyDescent="0.25">
      <c r="A2880" s="49">
        <v>785735886</v>
      </c>
      <c r="B2880" s="49" t="s">
        <v>1182</v>
      </c>
    </row>
    <row r="2881" spans="1:2" x14ac:dyDescent="0.25">
      <c r="A2881" s="49">
        <v>785732234</v>
      </c>
      <c r="B2881" s="49" t="s">
        <v>1180</v>
      </c>
    </row>
    <row r="2882" spans="1:2" x14ac:dyDescent="0.25">
      <c r="A2882" s="49">
        <v>1299681022</v>
      </c>
      <c r="B2882" s="49" t="s">
        <v>1736</v>
      </c>
    </row>
    <row r="2883" spans="1:2" x14ac:dyDescent="0.25">
      <c r="A2883" s="49">
        <v>777650892</v>
      </c>
      <c r="B2883" s="49" t="s">
        <v>581</v>
      </c>
    </row>
    <row r="2884" spans="1:2" x14ac:dyDescent="0.25">
      <c r="A2884" s="49">
        <v>613358735</v>
      </c>
      <c r="B2884" s="49" t="s">
        <v>1337</v>
      </c>
    </row>
    <row r="2885" spans="1:2" x14ac:dyDescent="0.25">
      <c r="A2885" s="49">
        <v>622549426</v>
      </c>
      <c r="B2885" s="49" t="s">
        <v>1053</v>
      </c>
    </row>
    <row r="2886" spans="1:2" x14ac:dyDescent="0.25">
      <c r="A2886" s="49">
        <v>641008242</v>
      </c>
      <c r="B2886" s="49" t="s">
        <v>1270</v>
      </c>
    </row>
    <row r="2887" spans="1:2" x14ac:dyDescent="0.25">
      <c r="A2887" s="49">
        <v>649001998</v>
      </c>
      <c r="B2887" s="49" t="s">
        <v>134</v>
      </c>
    </row>
    <row r="2888" spans="1:2" x14ac:dyDescent="0.25">
      <c r="A2888" s="49">
        <v>660267921</v>
      </c>
      <c r="B2888" s="49" t="s">
        <v>189</v>
      </c>
    </row>
    <row r="2889" spans="1:2" x14ac:dyDescent="0.25">
      <c r="A2889" s="49">
        <v>712954860</v>
      </c>
      <c r="B2889" s="49" t="s">
        <v>1013</v>
      </c>
    </row>
    <row r="2890" spans="1:2" x14ac:dyDescent="0.25">
      <c r="A2890" s="49">
        <v>785168507</v>
      </c>
      <c r="B2890" s="49" t="s">
        <v>739</v>
      </c>
    </row>
    <row r="2891" spans="1:2" x14ac:dyDescent="0.25">
      <c r="A2891" s="49">
        <v>785146778</v>
      </c>
      <c r="B2891" s="49" t="s">
        <v>139</v>
      </c>
    </row>
    <row r="2892" spans="1:2" x14ac:dyDescent="0.25">
      <c r="A2892" s="49">
        <v>797826772</v>
      </c>
      <c r="B2892" s="49" t="s">
        <v>1477</v>
      </c>
    </row>
    <row r="2893" spans="1:2" x14ac:dyDescent="0.25">
      <c r="A2893" s="49">
        <v>871131287</v>
      </c>
      <c r="B2893" s="49" t="s">
        <v>1286</v>
      </c>
    </row>
    <row r="2894" spans="1:2" x14ac:dyDescent="0.25">
      <c r="A2894" s="49">
        <v>1120262962</v>
      </c>
      <c r="B2894" s="49" t="s">
        <v>1292</v>
      </c>
    </row>
    <row r="2895" spans="1:2" x14ac:dyDescent="0.25">
      <c r="A2895" s="49">
        <v>1186156502</v>
      </c>
      <c r="B2895" s="49" t="s">
        <v>975</v>
      </c>
    </row>
    <row r="2896" spans="1:2" x14ac:dyDescent="0.25">
      <c r="A2896" s="49">
        <v>1229743379</v>
      </c>
      <c r="B2896" s="49" t="s">
        <v>1722</v>
      </c>
    </row>
    <row r="2897" spans="1:2" x14ac:dyDescent="0.25">
      <c r="A2897" s="49">
        <v>1381789160</v>
      </c>
      <c r="B2897" s="49" t="s">
        <v>3674</v>
      </c>
    </row>
    <row r="2898" spans="1:2" x14ac:dyDescent="0.25">
      <c r="A2898" s="49">
        <v>1373198677</v>
      </c>
      <c r="B2898" s="49" t="s">
        <v>685</v>
      </c>
    </row>
    <row r="2899" spans="1:2" x14ac:dyDescent="0.25">
      <c r="A2899" s="49">
        <v>784483526</v>
      </c>
      <c r="B2899" s="49" t="s">
        <v>892</v>
      </c>
    </row>
    <row r="2900" spans="1:2" x14ac:dyDescent="0.25">
      <c r="A2900" s="49">
        <v>683866320</v>
      </c>
      <c r="B2900" s="49" t="s">
        <v>1549</v>
      </c>
    </row>
    <row r="2901" spans="1:2" x14ac:dyDescent="0.25">
      <c r="A2901" s="49">
        <v>919171613</v>
      </c>
      <c r="B2901" s="49" t="s">
        <v>502</v>
      </c>
    </row>
    <row r="2902" spans="1:2" x14ac:dyDescent="0.25">
      <c r="A2902" s="49">
        <v>919171148</v>
      </c>
      <c r="B2902" s="49" t="s">
        <v>501</v>
      </c>
    </row>
    <row r="2903" spans="1:2" x14ac:dyDescent="0.25">
      <c r="A2903" s="49">
        <v>782127551</v>
      </c>
      <c r="B2903" s="49" t="s">
        <v>1139</v>
      </c>
    </row>
    <row r="2904" spans="1:2" x14ac:dyDescent="0.25">
      <c r="A2904" s="49">
        <v>754562920</v>
      </c>
      <c r="B2904" s="49" t="s">
        <v>997</v>
      </c>
    </row>
    <row r="2905" spans="1:2" x14ac:dyDescent="0.25">
      <c r="A2905" s="49">
        <v>1179032397</v>
      </c>
      <c r="B2905" s="49" t="s">
        <v>1391</v>
      </c>
    </row>
    <row r="2906" spans="1:2" x14ac:dyDescent="0.25">
      <c r="A2906" s="49">
        <v>1192750692</v>
      </c>
      <c r="B2906" s="49" t="s">
        <v>1320</v>
      </c>
    </row>
    <row r="2907" spans="1:2" x14ac:dyDescent="0.25">
      <c r="A2907" s="49">
        <v>1256414685</v>
      </c>
      <c r="B2907" s="49" t="s">
        <v>1723</v>
      </c>
    </row>
    <row r="2908" spans="1:2" x14ac:dyDescent="0.25">
      <c r="A2908" s="49">
        <v>782147878</v>
      </c>
      <c r="B2908" s="49" t="s">
        <v>281</v>
      </c>
    </row>
    <row r="2909" spans="1:2" x14ac:dyDescent="0.25">
      <c r="A2909" s="49">
        <v>1366046081</v>
      </c>
      <c r="B2909" s="49" t="s">
        <v>1821</v>
      </c>
    </row>
    <row r="2910" spans="1:2" x14ac:dyDescent="0.25">
      <c r="A2910" s="49">
        <v>1415043498</v>
      </c>
      <c r="B2910" s="49" t="s">
        <v>1832</v>
      </c>
    </row>
    <row r="2911" spans="1:2" x14ac:dyDescent="0.25">
      <c r="A2911" s="49">
        <v>610134992</v>
      </c>
      <c r="B2911" s="49" t="s">
        <v>929</v>
      </c>
    </row>
    <row r="2912" spans="1:2" x14ac:dyDescent="0.25">
      <c r="A2912" s="49">
        <v>614138591</v>
      </c>
      <c r="B2912" s="49" t="s">
        <v>1265</v>
      </c>
    </row>
    <row r="2913" spans="1:2" x14ac:dyDescent="0.25">
      <c r="A2913" s="49">
        <v>617136513</v>
      </c>
      <c r="B2913" s="49" t="s">
        <v>477</v>
      </c>
    </row>
    <row r="2914" spans="1:2" x14ac:dyDescent="0.25">
      <c r="A2914" s="49">
        <v>625234563</v>
      </c>
      <c r="B2914" s="49" t="s">
        <v>435</v>
      </c>
    </row>
    <row r="2915" spans="1:2" x14ac:dyDescent="0.25">
      <c r="A2915" s="49">
        <v>645677519</v>
      </c>
      <c r="B2915" s="49" t="s">
        <v>978</v>
      </c>
    </row>
    <row r="2916" spans="1:2" x14ac:dyDescent="0.25">
      <c r="A2916" s="49">
        <v>655235274</v>
      </c>
      <c r="B2916" s="49" t="s">
        <v>915</v>
      </c>
    </row>
    <row r="2917" spans="1:2" x14ac:dyDescent="0.25">
      <c r="A2917" s="49">
        <v>656982127</v>
      </c>
      <c r="B2917" s="49" t="s">
        <v>648</v>
      </c>
    </row>
    <row r="2918" spans="1:2" x14ac:dyDescent="0.25">
      <c r="A2918" s="49">
        <v>690426820</v>
      </c>
      <c r="B2918" s="49" t="s">
        <v>1458</v>
      </c>
    </row>
    <row r="2919" spans="1:2" x14ac:dyDescent="0.25">
      <c r="A2919" s="49">
        <v>754562652</v>
      </c>
      <c r="B2919" s="49" t="s">
        <v>996</v>
      </c>
    </row>
    <row r="2920" spans="1:2" x14ac:dyDescent="0.25">
      <c r="A2920" s="49">
        <v>770057801</v>
      </c>
      <c r="B2920" s="49" t="s">
        <v>1192</v>
      </c>
    </row>
    <row r="2921" spans="1:2" x14ac:dyDescent="0.25">
      <c r="A2921" s="49">
        <v>770047402</v>
      </c>
      <c r="B2921" s="49" t="s">
        <v>1162</v>
      </c>
    </row>
    <row r="2922" spans="1:2" x14ac:dyDescent="0.25">
      <c r="A2922" s="49">
        <v>770161975</v>
      </c>
      <c r="B2922" s="49" t="s">
        <v>1191</v>
      </c>
    </row>
    <row r="2923" spans="1:2" x14ac:dyDescent="0.25">
      <c r="A2923" s="49">
        <v>776744884</v>
      </c>
      <c r="B2923" s="49" t="s">
        <v>1119</v>
      </c>
    </row>
    <row r="2924" spans="1:2" x14ac:dyDescent="0.25">
      <c r="A2924" s="49">
        <v>778004652</v>
      </c>
      <c r="B2924" s="49" t="s">
        <v>328</v>
      </c>
    </row>
    <row r="2925" spans="1:2" x14ac:dyDescent="0.25">
      <c r="A2925" s="49">
        <v>779461925</v>
      </c>
      <c r="B2925" s="49" t="s">
        <v>308</v>
      </c>
    </row>
    <row r="2926" spans="1:2" x14ac:dyDescent="0.25">
      <c r="A2926" s="49">
        <v>785168986</v>
      </c>
      <c r="B2926" s="49" t="s">
        <v>740</v>
      </c>
    </row>
    <row r="2927" spans="1:2" x14ac:dyDescent="0.25">
      <c r="A2927" s="49">
        <v>785739542</v>
      </c>
      <c r="B2927" s="49" t="s">
        <v>1260</v>
      </c>
    </row>
    <row r="2928" spans="1:2" x14ac:dyDescent="0.25">
      <c r="A2928" s="49">
        <v>796632063</v>
      </c>
      <c r="B2928" s="49" t="s">
        <v>238</v>
      </c>
    </row>
    <row r="2929" spans="1:2" x14ac:dyDescent="0.25">
      <c r="A2929" s="49">
        <v>830046264</v>
      </c>
      <c r="B2929" s="49" t="s">
        <v>714</v>
      </c>
    </row>
    <row r="2930" spans="1:2" x14ac:dyDescent="0.25">
      <c r="A2930" s="49">
        <v>835444317</v>
      </c>
      <c r="B2930" s="49" t="s">
        <v>1359</v>
      </c>
    </row>
    <row r="2931" spans="1:2" x14ac:dyDescent="0.25">
      <c r="A2931" s="49">
        <v>868104364</v>
      </c>
      <c r="B2931" s="49" t="s">
        <v>381</v>
      </c>
    </row>
    <row r="2932" spans="1:2" x14ac:dyDescent="0.25">
      <c r="A2932" s="49">
        <v>882901232</v>
      </c>
      <c r="B2932" s="49" t="s">
        <v>1341</v>
      </c>
    </row>
    <row r="2933" spans="1:2" x14ac:dyDescent="0.25">
      <c r="A2933" s="49">
        <v>886830730</v>
      </c>
      <c r="B2933" s="49" t="s">
        <v>904</v>
      </c>
    </row>
    <row r="2934" spans="1:2" x14ac:dyDescent="0.25">
      <c r="A2934" s="49">
        <v>907416957</v>
      </c>
      <c r="B2934" s="49" t="s">
        <v>871</v>
      </c>
    </row>
    <row r="2935" spans="1:2" x14ac:dyDescent="0.25">
      <c r="A2935" s="49">
        <v>918553903</v>
      </c>
      <c r="B2935" s="49" t="s">
        <v>78</v>
      </c>
    </row>
    <row r="2936" spans="1:2" x14ac:dyDescent="0.25">
      <c r="A2936" s="49">
        <v>1121452104</v>
      </c>
      <c r="B2936" s="49" t="s">
        <v>1511</v>
      </c>
    </row>
    <row r="2937" spans="1:2" x14ac:dyDescent="0.25">
      <c r="A2937" s="49">
        <v>1122905623</v>
      </c>
      <c r="B2937" s="49" t="s">
        <v>57</v>
      </c>
    </row>
    <row r="2938" spans="1:2" x14ac:dyDescent="0.25">
      <c r="A2938" s="49">
        <v>1142728902</v>
      </c>
      <c r="B2938" s="49" t="s">
        <v>253</v>
      </c>
    </row>
    <row r="2939" spans="1:2" x14ac:dyDescent="0.25">
      <c r="A2939" s="49">
        <v>1155459291</v>
      </c>
      <c r="B2939" s="49" t="s">
        <v>1149</v>
      </c>
    </row>
    <row r="2940" spans="1:2" x14ac:dyDescent="0.25">
      <c r="A2940" s="49">
        <v>1163424579</v>
      </c>
      <c r="B2940" s="49" t="s">
        <v>254</v>
      </c>
    </row>
    <row r="2941" spans="1:2" x14ac:dyDescent="0.25">
      <c r="A2941" s="49">
        <v>1194617148</v>
      </c>
      <c r="B2941" s="49" t="s">
        <v>1256</v>
      </c>
    </row>
    <row r="2942" spans="1:2" x14ac:dyDescent="0.25">
      <c r="A2942" s="49">
        <v>1298861331</v>
      </c>
      <c r="B2942" s="49" t="s">
        <v>1734</v>
      </c>
    </row>
    <row r="2943" spans="1:2" x14ac:dyDescent="0.25">
      <c r="A2943" s="49">
        <v>1423279414</v>
      </c>
      <c r="B2943" s="49" t="s">
        <v>106</v>
      </c>
    </row>
    <row r="2944" spans="1:2" x14ac:dyDescent="0.25">
      <c r="A2944" s="49">
        <v>1370925943</v>
      </c>
      <c r="B2944" s="49" t="s">
        <v>1163</v>
      </c>
    </row>
    <row r="2945" spans="1:2" x14ac:dyDescent="0.25">
      <c r="A2945" s="49">
        <v>843729691</v>
      </c>
      <c r="B2945" s="49" t="s">
        <v>1010</v>
      </c>
    </row>
    <row r="2946" spans="1:2" x14ac:dyDescent="0.25">
      <c r="A2946" s="49">
        <v>917481558</v>
      </c>
      <c r="B2946" s="49" t="s">
        <v>270</v>
      </c>
    </row>
    <row r="2947" spans="1:2" x14ac:dyDescent="0.25">
      <c r="A2947" s="49">
        <v>936066727</v>
      </c>
      <c r="B2947" s="49" t="s">
        <v>1703</v>
      </c>
    </row>
    <row r="2948" spans="1:2" x14ac:dyDescent="0.25">
      <c r="A2948" s="49">
        <v>886825547</v>
      </c>
      <c r="B2948" s="49" t="s">
        <v>1447</v>
      </c>
    </row>
    <row r="2949" spans="1:2" x14ac:dyDescent="0.25">
      <c r="A2949" s="49">
        <v>1136235725</v>
      </c>
      <c r="B2949" s="49" t="s">
        <v>1608</v>
      </c>
    </row>
    <row r="2950" spans="1:2" x14ac:dyDescent="0.25">
      <c r="A2950" s="49">
        <v>614138596</v>
      </c>
      <c r="B2950" s="49" t="s">
        <v>339</v>
      </c>
    </row>
    <row r="2951" spans="1:2" x14ac:dyDescent="0.25">
      <c r="A2951" s="49">
        <v>625823490</v>
      </c>
      <c r="B2951" s="49" t="s">
        <v>534</v>
      </c>
    </row>
    <row r="2952" spans="1:2" x14ac:dyDescent="0.25">
      <c r="A2952" s="49">
        <v>628879246</v>
      </c>
      <c r="B2952" s="49" t="s">
        <v>213</v>
      </c>
    </row>
    <row r="2953" spans="1:2" x14ac:dyDescent="0.25">
      <c r="A2953" s="49">
        <v>684490515</v>
      </c>
      <c r="B2953" s="49" t="s">
        <v>229</v>
      </c>
    </row>
    <row r="2954" spans="1:2" x14ac:dyDescent="0.25">
      <c r="A2954" s="49">
        <v>717919313</v>
      </c>
      <c r="B2954" s="49" t="s">
        <v>799</v>
      </c>
    </row>
    <row r="2955" spans="1:2" x14ac:dyDescent="0.25">
      <c r="A2955" s="49">
        <v>717832061</v>
      </c>
      <c r="B2955" s="49" t="s">
        <v>823</v>
      </c>
    </row>
    <row r="2956" spans="1:2" x14ac:dyDescent="0.25">
      <c r="A2956" s="49">
        <v>757941615</v>
      </c>
      <c r="B2956" s="49" t="s">
        <v>1453</v>
      </c>
    </row>
    <row r="2957" spans="1:2" x14ac:dyDescent="0.25">
      <c r="A2957" s="49">
        <v>759433873</v>
      </c>
      <c r="B2957" s="49" t="s">
        <v>1409</v>
      </c>
    </row>
    <row r="2958" spans="1:2" x14ac:dyDescent="0.25">
      <c r="A2958" s="49">
        <v>762068519</v>
      </c>
      <c r="B2958" s="49" t="s">
        <v>3642</v>
      </c>
    </row>
    <row r="2959" spans="1:2" x14ac:dyDescent="0.25">
      <c r="A2959" s="49">
        <v>776594342</v>
      </c>
      <c r="B2959" s="49" t="s">
        <v>285</v>
      </c>
    </row>
    <row r="2960" spans="1:2" x14ac:dyDescent="0.25">
      <c r="A2960" s="49">
        <v>778255075</v>
      </c>
      <c r="B2960" s="49" t="s">
        <v>1088</v>
      </c>
    </row>
    <row r="2961" spans="1:2" x14ac:dyDescent="0.25">
      <c r="A2961" s="49">
        <v>778432099</v>
      </c>
      <c r="B2961" s="49" t="s">
        <v>698</v>
      </c>
    </row>
    <row r="2962" spans="1:2" x14ac:dyDescent="0.25">
      <c r="A2962" s="49">
        <v>784368200</v>
      </c>
      <c r="B2962" s="49" t="s">
        <v>687</v>
      </c>
    </row>
    <row r="2963" spans="1:2" x14ac:dyDescent="0.25">
      <c r="A2963" s="49">
        <v>785200480</v>
      </c>
      <c r="B2963" s="49" t="s">
        <v>743</v>
      </c>
    </row>
    <row r="2964" spans="1:2" x14ac:dyDescent="0.25">
      <c r="A2964" s="49">
        <v>798183964</v>
      </c>
      <c r="B2964" s="49" t="s">
        <v>1426</v>
      </c>
    </row>
    <row r="2965" spans="1:2" x14ac:dyDescent="0.25">
      <c r="A2965" s="49">
        <v>1103686658</v>
      </c>
      <c r="B2965" s="49" t="s">
        <v>865</v>
      </c>
    </row>
    <row r="2966" spans="1:2" x14ac:dyDescent="0.25">
      <c r="A2966" s="49">
        <v>1149775628</v>
      </c>
      <c r="B2966" s="49" t="s">
        <v>1502</v>
      </c>
    </row>
    <row r="2967" spans="1:2" x14ac:dyDescent="0.25">
      <c r="A2967" s="49">
        <v>1181850284</v>
      </c>
      <c r="B2967" s="49" t="s">
        <v>1717</v>
      </c>
    </row>
    <row r="2968" spans="1:2" x14ac:dyDescent="0.25">
      <c r="A2968" s="49">
        <v>1226002495</v>
      </c>
      <c r="B2968" s="49" t="s">
        <v>87</v>
      </c>
    </row>
    <row r="2969" spans="1:2" x14ac:dyDescent="0.25">
      <c r="A2969" s="49">
        <v>1346178656</v>
      </c>
      <c r="B2969" s="49" t="s">
        <v>1792</v>
      </c>
    </row>
    <row r="2970" spans="1:2" x14ac:dyDescent="0.25">
      <c r="A2970" s="49">
        <v>1370887967</v>
      </c>
      <c r="B2970" s="49" t="s">
        <v>1198</v>
      </c>
    </row>
    <row r="2971" spans="1:2" x14ac:dyDescent="0.25">
      <c r="A2971" s="49">
        <v>757182382</v>
      </c>
      <c r="B2971" s="49" t="s">
        <v>1023</v>
      </c>
    </row>
    <row r="2972" spans="1:2" x14ac:dyDescent="0.25">
      <c r="A2972" s="49">
        <v>868548737</v>
      </c>
      <c r="B2972" s="49" t="s">
        <v>1701</v>
      </c>
    </row>
    <row r="2973" spans="1:2" x14ac:dyDescent="0.25">
      <c r="A2973" s="49">
        <v>886664797</v>
      </c>
      <c r="B2973" s="49" t="s">
        <v>1607</v>
      </c>
    </row>
    <row r="2974" spans="1:2" x14ac:dyDescent="0.25">
      <c r="A2974" s="49">
        <v>682866868</v>
      </c>
      <c r="B2974" s="49" t="s">
        <v>572</v>
      </c>
    </row>
    <row r="2975" spans="1:2" x14ac:dyDescent="0.25">
      <c r="A2975" s="49">
        <v>682869981</v>
      </c>
      <c r="B2975" s="49" t="s">
        <v>560</v>
      </c>
    </row>
    <row r="2976" spans="1:2" x14ac:dyDescent="0.25">
      <c r="A2976" s="49">
        <v>758481399</v>
      </c>
      <c r="B2976" s="49" t="s">
        <v>1637</v>
      </c>
    </row>
    <row r="2977" spans="1:2" x14ac:dyDescent="0.25">
      <c r="A2977" s="49">
        <v>1134033065</v>
      </c>
      <c r="B2977" s="49" t="s">
        <v>169</v>
      </c>
    </row>
    <row r="2978" spans="1:2" x14ac:dyDescent="0.25">
      <c r="A2978" s="49">
        <v>1141510783</v>
      </c>
      <c r="B2978" s="49" t="s">
        <v>1605</v>
      </c>
    </row>
    <row r="2979" spans="1:2" x14ac:dyDescent="0.25">
      <c r="A2979" s="49">
        <v>762434298</v>
      </c>
      <c r="B2979" s="49" t="s">
        <v>1457</v>
      </c>
    </row>
    <row r="2980" spans="1:2" x14ac:dyDescent="0.25">
      <c r="A2980" s="49">
        <v>780833711</v>
      </c>
      <c r="B2980" s="49" t="s">
        <v>409</v>
      </c>
    </row>
    <row r="2981" spans="1:2" x14ac:dyDescent="0.25">
      <c r="A2981" s="49">
        <v>1410742174</v>
      </c>
      <c r="B2981" s="49" t="s">
        <v>1831</v>
      </c>
    </row>
    <row r="2982" spans="1:2" x14ac:dyDescent="0.25">
      <c r="A2982" s="49">
        <v>609954474</v>
      </c>
      <c r="B2982" s="49" t="s">
        <v>1423</v>
      </c>
    </row>
    <row r="2983" spans="1:2" x14ac:dyDescent="0.25">
      <c r="A2983" s="49">
        <v>612229253</v>
      </c>
      <c r="B2983" s="49" t="s">
        <v>306</v>
      </c>
    </row>
    <row r="2984" spans="1:2" x14ac:dyDescent="0.25">
      <c r="A2984" s="49">
        <v>641007582</v>
      </c>
      <c r="B2984" s="49" t="s">
        <v>1231</v>
      </c>
    </row>
    <row r="2985" spans="1:2" x14ac:dyDescent="0.25">
      <c r="A2985" s="49">
        <v>677037143</v>
      </c>
      <c r="B2985" s="49" t="s">
        <v>1312</v>
      </c>
    </row>
    <row r="2986" spans="1:2" x14ac:dyDescent="0.25">
      <c r="A2986" s="49">
        <v>744535946</v>
      </c>
      <c r="B2986" s="49" t="s">
        <v>1636</v>
      </c>
    </row>
    <row r="2987" spans="1:2" x14ac:dyDescent="0.25">
      <c r="A2987" s="49">
        <v>744811474</v>
      </c>
      <c r="B2987" s="49" t="s">
        <v>1167</v>
      </c>
    </row>
    <row r="2988" spans="1:2" x14ac:dyDescent="0.25">
      <c r="A2988" s="49">
        <v>758478562</v>
      </c>
      <c r="B2988" s="49" t="s">
        <v>888</v>
      </c>
    </row>
    <row r="2989" spans="1:2" x14ac:dyDescent="0.25">
      <c r="A2989" s="49">
        <v>760284161</v>
      </c>
      <c r="B2989" s="49" t="s">
        <v>1696</v>
      </c>
    </row>
    <row r="2990" spans="1:2" x14ac:dyDescent="0.25">
      <c r="A2990" s="49">
        <v>762438694</v>
      </c>
      <c r="B2990" s="49" t="s">
        <v>1575</v>
      </c>
    </row>
    <row r="2991" spans="1:2" x14ac:dyDescent="0.25">
      <c r="A2991" s="49">
        <v>762435829</v>
      </c>
      <c r="B2991" s="49" t="s">
        <v>203</v>
      </c>
    </row>
    <row r="2992" spans="1:2" x14ac:dyDescent="0.25">
      <c r="A2992" s="49">
        <v>781978618</v>
      </c>
      <c r="B2992" s="49" t="s">
        <v>274</v>
      </c>
    </row>
    <row r="2993" spans="1:2" x14ac:dyDescent="0.25">
      <c r="A2993" s="49">
        <v>798183030</v>
      </c>
      <c r="B2993" s="49" t="s">
        <v>1420</v>
      </c>
    </row>
    <row r="2994" spans="1:2" x14ac:dyDescent="0.25">
      <c r="A2994" s="49">
        <v>826588277</v>
      </c>
      <c r="B2994" s="49" t="s">
        <v>1487</v>
      </c>
    </row>
    <row r="2995" spans="1:2" x14ac:dyDescent="0.25">
      <c r="A2995" s="49">
        <v>836881009</v>
      </c>
      <c r="B2995" s="49" t="s">
        <v>721</v>
      </c>
    </row>
    <row r="2996" spans="1:2" x14ac:dyDescent="0.25">
      <c r="A2996" s="49">
        <v>869242482</v>
      </c>
      <c r="B2996" s="49" t="s">
        <v>397</v>
      </c>
    </row>
    <row r="2997" spans="1:2" x14ac:dyDescent="0.25">
      <c r="A2997" s="49">
        <v>913058731</v>
      </c>
      <c r="B2997" s="49" t="s">
        <v>1212</v>
      </c>
    </row>
    <row r="2998" spans="1:2" x14ac:dyDescent="0.25">
      <c r="A2998" s="49">
        <v>1120857311</v>
      </c>
      <c r="B2998" s="49" t="s">
        <v>1497</v>
      </c>
    </row>
    <row r="2999" spans="1:2" x14ac:dyDescent="0.25">
      <c r="A2999" s="49">
        <v>1126040701</v>
      </c>
      <c r="B2999" s="49" t="s">
        <v>1403</v>
      </c>
    </row>
    <row r="3000" spans="1:2" x14ac:dyDescent="0.25">
      <c r="A3000" s="49">
        <v>1133336120</v>
      </c>
      <c r="B3000" s="49" t="s">
        <v>161</v>
      </c>
    </row>
    <row r="3001" spans="1:2" x14ac:dyDescent="0.25">
      <c r="A3001" s="49">
        <v>1340180195</v>
      </c>
      <c r="B3001" s="49" t="s">
        <v>1750</v>
      </c>
    </row>
    <row r="3002" spans="1:2" x14ac:dyDescent="0.25">
      <c r="A3002" s="49">
        <v>1370189866</v>
      </c>
      <c r="B3002" s="49" t="s">
        <v>790</v>
      </c>
    </row>
    <row r="3003" spans="1:2" x14ac:dyDescent="0.25">
      <c r="A3003" s="49">
        <v>1409797248</v>
      </c>
      <c r="B3003" s="49" t="s">
        <v>583</v>
      </c>
    </row>
    <row r="3004" spans="1:2" x14ac:dyDescent="0.25">
      <c r="A3004" s="49">
        <v>794995576</v>
      </c>
      <c r="B3004" s="49" t="s">
        <v>1056</v>
      </c>
    </row>
    <row r="3005" spans="1:2" x14ac:dyDescent="0.25">
      <c r="A3005" s="49">
        <v>844530905</v>
      </c>
      <c r="B3005" s="49" t="s">
        <v>1001</v>
      </c>
    </row>
    <row r="3006" spans="1:2" x14ac:dyDescent="0.25">
      <c r="A3006" s="49">
        <v>759931643</v>
      </c>
      <c r="B3006" s="49" t="s">
        <v>1600</v>
      </c>
    </row>
    <row r="3007" spans="1:2" x14ac:dyDescent="0.25">
      <c r="A3007" s="49">
        <v>1366757425</v>
      </c>
      <c r="B3007" s="49" t="s">
        <v>3646</v>
      </c>
    </row>
    <row r="3008" spans="1:2" x14ac:dyDescent="0.25">
      <c r="A3008" s="49">
        <v>630274828</v>
      </c>
      <c r="B3008" s="49" t="s">
        <v>766</v>
      </c>
    </row>
    <row r="3009" spans="1:2" x14ac:dyDescent="0.25">
      <c r="A3009" s="49">
        <v>672270952</v>
      </c>
      <c r="B3009" s="49" t="s">
        <v>354</v>
      </c>
    </row>
    <row r="3010" spans="1:2" x14ac:dyDescent="0.25">
      <c r="A3010" s="49">
        <v>754281798</v>
      </c>
      <c r="B3010" s="49" t="s">
        <v>1512</v>
      </c>
    </row>
    <row r="3011" spans="1:2" x14ac:dyDescent="0.25">
      <c r="A3011" s="49">
        <v>778429863</v>
      </c>
      <c r="B3011" s="49" t="s">
        <v>692</v>
      </c>
    </row>
    <row r="3012" spans="1:2" x14ac:dyDescent="0.25">
      <c r="A3012" s="49">
        <v>780784431</v>
      </c>
      <c r="B3012" s="49" t="s">
        <v>1074</v>
      </c>
    </row>
    <row r="3013" spans="1:2" x14ac:dyDescent="0.25">
      <c r="A3013" s="49">
        <v>781288354</v>
      </c>
      <c r="B3013" s="49" t="s">
        <v>606</v>
      </c>
    </row>
    <row r="3014" spans="1:2" x14ac:dyDescent="0.25">
      <c r="A3014" s="49">
        <v>781816380</v>
      </c>
      <c r="B3014" s="49" t="s">
        <v>132</v>
      </c>
    </row>
    <row r="3015" spans="1:2" x14ac:dyDescent="0.25">
      <c r="A3015" s="49">
        <v>782127373</v>
      </c>
      <c r="B3015" s="49" t="s">
        <v>1103</v>
      </c>
    </row>
    <row r="3016" spans="1:2" x14ac:dyDescent="0.25">
      <c r="A3016" s="49">
        <v>782125946</v>
      </c>
      <c r="B3016" s="49" t="s">
        <v>278</v>
      </c>
    </row>
    <row r="3017" spans="1:2" x14ac:dyDescent="0.25">
      <c r="A3017" s="49">
        <v>783572994</v>
      </c>
      <c r="B3017" s="49" t="s">
        <v>618</v>
      </c>
    </row>
    <row r="3018" spans="1:2" x14ac:dyDescent="0.25">
      <c r="A3018" s="49">
        <v>784477689</v>
      </c>
      <c r="B3018" s="49" t="s">
        <v>964</v>
      </c>
    </row>
    <row r="3019" spans="1:2" x14ac:dyDescent="0.25">
      <c r="A3019" s="49">
        <v>785147267</v>
      </c>
      <c r="B3019" s="49" t="s">
        <v>135</v>
      </c>
    </row>
    <row r="3020" spans="1:2" x14ac:dyDescent="0.25">
      <c r="A3020" s="49">
        <v>785143128</v>
      </c>
      <c r="B3020" s="49" t="s">
        <v>1009</v>
      </c>
    </row>
    <row r="3021" spans="1:2" x14ac:dyDescent="0.25">
      <c r="A3021" s="49">
        <v>821991629</v>
      </c>
      <c r="B3021" s="49" t="s">
        <v>509</v>
      </c>
    </row>
    <row r="3022" spans="1:2" x14ac:dyDescent="0.25">
      <c r="A3022" s="49">
        <v>844844551</v>
      </c>
      <c r="B3022" s="49" t="s">
        <v>1040</v>
      </c>
    </row>
    <row r="3023" spans="1:2" x14ac:dyDescent="0.25">
      <c r="A3023" s="49">
        <v>913081914</v>
      </c>
      <c r="B3023" s="49" t="s">
        <v>1205</v>
      </c>
    </row>
    <row r="3024" spans="1:2" x14ac:dyDescent="0.25">
      <c r="A3024" s="49">
        <v>913725892</v>
      </c>
      <c r="B3024" s="49" t="s">
        <v>1583</v>
      </c>
    </row>
    <row r="3025" spans="1:2" x14ac:dyDescent="0.25">
      <c r="A3025" s="49">
        <v>928526741</v>
      </c>
      <c r="B3025" s="49" t="s">
        <v>875</v>
      </c>
    </row>
    <row r="3026" spans="1:2" x14ac:dyDescent="0.25">
      <c r="A3026" s="49">
        <v>1105721070</v>
      </c>
      <c r="B3026" s="49" t="s">
        <v>1448</v>
      </c>
    </row>
    <row r="3027" spans="1:2" x14ac:dyDescent="0.25">
      <c r="A3027" s="49">
        <v>1150388670</v>
      </c>
      <c r="B3027" s="49" t="s">
        <v>256</v>
      </c>
    </row>
    <row r="3028" spans="1:2" x14ac:dyDescent="0.25">
      <c r="A3028" s="49">
        <v>1164896970</v>
      </c>
      <c r="B3028" s="49" t="s">
        <v>1194</v>
      </c>
    </row>
    <row r="3029" spans="1:2" x14ac:dyDescent="0.25">
      <c r="A3029" s="49">
        <v>1317265912</v>
      </c>
      <c r="B3029" s="49" t="s">
        <v>570</v>
      </c>
    </row>
    <row r="3030" spans="1:2" x14ac:dyDescent="0.25">
      <c r="A3030" s="49">
        <v>1340996710</v>
      </c>
      <c r="B3030" s="49" t="s">
        <v>1755</v>
      </c>
    </row>
    <row r="3031" spans="1:2" x14ac:dyDescent="0.25">
      <c r="A3031" s="49">
        <v>907425520</v>
      </c>
      <c r="B3031" s="49" t="s">
        <v>153</v>
      </c>
    </row>
    <row r="3032" spans="1:2" x14ac:dyDescent="0.25">
      <c r="A3032" s="49">
        <v>935709150</v>
      </c>
      <c r="B3032" s="49" t="s">
        <v>485</v>
      </c>
    </row>
    <row r="3033" spans="1:2" x14ac:dyDescent="0.25">
      <c r="A3033" s="49">
        <v>1162611037</v>
      </c>
      <c r="B3033" s="49" t="s">
        <v>1032</v>
      </c>
    </row>
    <row r="3034" spans="1:2" x14ac:dyDescent="0.25">
      <c r="A3034" s="49">
        <v>630162895</v>
      </c>
      <c r="B3034" s="49" t="s">
        <v>764</v>
      </c>
    </row>
    <row r="3035" spans="1:2" x14ac:dyDescent="0.25">
      <c r="A3035" s="49">
        <v>1374631469</v>
      </c>
      <c r="B3035" s="49" t="s">
        <v>3673</v>
      </c>
    </row>
    <row r="3036" spans="1:2" x14ac:dyDescent="0.25">
      <c r="A3036" s="49">
        <v>611674638</v>
      </c>
      <c r="B3036" s="49" t="s">
        <v>307</v>
      </c>
    </row>
    <row r="3037" spans="1:2" x14ac:dyDescent="0.25">
      <c r="A3037" s="49">
        <v>617173596</v>
      </c>
      <c r="B3037" s="49" t="s">
        <v>444</v>
      </c>
    </row>
    <row r="3038" spans="1:2" x14ac:dyDescent="0.25">
      <c r="A3038" s="49">
        <v>651361367</v>
      </c>
      <c r="B3038" s="49" t="s">
        <v>3665</v>
      </c>
    </row>
    <row r="3039" spans="1:2" x14ac:dyDescent="0.25">
      <c r="A3039" s="49">
        <v>721706885</v>
      </c>
      <c r="B3039" s="49" t="s">
        <v>935</v>
      </c>
    </row>
    <row r="3040" spans="1:2" x14ac:dyDescent="0.25">
      <c r="A3040" s="49">
        <v>759871984</v>
      </c>
      <c r="B3040" s="49" t="s">
        <v>208</v>
      </c>
    </row>
    <row r="3041" spans="1:2" x14ac:dyDescent="0.25">
      <c r="A3041" s="49">
        <v>760286096</v>
      </c>
      <c r="B3041" s="49" t="s">
        <v>1130</v>
      </c>
    </row>
    <row r="3042" spans="1:2" x14ac:dyDescent="0.25">
      <c r="A3042" s="49">
        <v>762402735</v>
      </c>
      <c r="B3042" s="49" t="s">
        <v>564</v>
      </c>
    </row>
    <row r="3043" spans="1:2" x14ac:dyDescent="0.25">
      <c r="A3043" s="49">
        <v>776593054</v>
      </c>
      <c r="B3043" s="49" t="s">
        <v>1196</v>
      </c>
    </row>
    <row r="3044" spans="1:2" x14ac:dyDescent="0.25">
      <c r="A3044" s="49">
        <v>778014007</v>
      </c>
      <c r="B3044" s="49" t="s">
        <v>800</v>
      </c>
    </row>
    <row r="3045" spans="1:2" x14ac:dyDescent="0.25">
      <c r="A3045" s="49">
        <v>781330959</v>
      </c>
      <c r="B3045" s="49" t="s">
        <v>1232</v>
      </c>
    </row>
    <row r="3046" spans="1:2" x14ac:dyDescent="0.25">
      <c r="A3046" s="49">
        <v>801305654</v>
      </c>
      <c r="B3046" s="49" t="s">
        <v>1238</v>
      </c>
    </row>
    <row r="3047" spans="1:2" x14ac:dyDescent="0.25">
      <c r="A3047" s="49">
        <v>1103687719</v>
      </c>
      <c r="B3047" s="49" t="s">
        <v>866</v>
      </c>
    </row>
    <row r="3048" spans="1:2" x14ac:dyDescent="0.25">
      <c r="A3048" s="49">
        <v>1151750894</v>
      </c>
      <c r="B3048" s="49" t="s">
        <v>1157</v>
      </c>
    </row>
    <row r="3049" spans="1:2" x14ac:dyDescent="0.25">
      <c r="A3049" s="49">
        <v>1158240044</v>
      </c>
      <c r="B3049" s="49" t="s">
        <v>243</v>
      </c>
    </row>
    <row r="3050" spans="1:2" x14ac:dyDescent="0.25">
      <c r="A3050" s="49">
        <v>1341284536</v>
      </c>
      <c r="B3050" s="49" t="s">
        <v>1769</v>
      </c>
    </row>
    <row r="3051" spans="1:2" x14ac:dyDescent="0.25">
      <c r="A3051" s="49">
        <v>1344997284</v>
      </c>
      <c r="B3051" s="49" t="s">
        <v>913</v>
      </c>
    </row>
    <row r="3052" spans="1:2" x14ac:dyDescent="0.25">
      <c r="A3052" s="49">
        <v>1351094731</v>
      </c>
      <c r="B3052" s="49" t="s">
        <v>1457</v>
      </c>
    </row>
    <row r="3053" spans="1:2" x14ac:dyDescent="0.25">
      <c r="A3053" s="49">
        <v>1432342886</v>
      </c>
      <c r="B3053" s="49" t="s">
        <v>827</v>
      </c>
    </row>
    <row r="3054" spans="1:2" x14ac:dyDescent="0.25">
      <c r="A3054" s="49">
        <v>625236410</v>
      </c>
      <c r="B3054" s="49" t="s">
        <v>421</v>
      </c>
    </row>
    <row r="3055" spans="1:2" x14ac:dyDescent="0.25">
      <c r="A3055" s="49">
        <v>882913669</v>
      </c>
      <c r="B3055" s="49" t="s">
        <v>1178</v>
      </c>
    </row>
    <row r="3056" spans="1:2" x14ac:dyDescent="0.25">
      <c r="A3056" s="49">
        <v>776734204</v>
      </c>
      <c r="B3056" s="49" t="s">
        <v>1551</v>
      </c>
    </row>
    <row r="3057" spans="1:2" x14ac:dyDescent="0.25">
      <c r="A3057" s="49">
        <v>682858364</v>
      </c>
      <c r="B3057" s="49" t="s">
        <v>584</v>
      </c>
    </row>
    <row r="3058" spans="1:2" x14ac:dyDescent="0.25">
      <c r="A3058" s="49">
        <v>778984861</v>
      </c>
      <c r="B3058" s="49" t="s">
        <v>516</v>
      </c>
    </row>
    <row r="3059" spans="1:2" x14ac:dyDescent="0.25">
      <c r="A3059" s="49">
        <v>799733889</v>
      </c>
      <c r="B3059" s="49" t="s">
        <v>1606</v>
      </c>
    </row>
    <row r="3060" spans="1:2" x14ac:dyDescent="0.25">
      <c r="A3060" s="49">
        <v>816550478</v>
      </c>
      <c r="B3060" s="49" t="s">
        <v>565</v>
      </c>
    </row>
    <row r="3061" spans="1:2" x14ac:dyDescent="0.25">
      <c r="A3061" s="49">
        <v>936070098</v>
      </c>
      <c r="B3061" s="49" t="s">
        <v>1446</v>
      </c>
    </row>
    <row r="3062" spans="1:2" x14ac:dyDescent="0.25">
      <c r="A3062" s="49">
        <v>1100200613</v>
      </c>
      <c r="B3062" s="49" t="s">
        <v>776</v>
      </c>
    </row>
    <row r="3063" spans="1:2" x14ac:dyDescent="0.25">
      <c r="A3063" s="49">
        <v>1110355375</v>
      </c>
      <c r="B3063" s="49" t="s">
        <v>1708</v>
      </c>
    </row>
    <row r="3064" spans="1:2" x14ac:dyDescent="0.25">
      <c r="A3064" s="49">
        <v>1133883790</v>
      </c>
      <c r="B3064" s="49" t="s">
        <v>163</v>
      </c>
    </row>
    <row r="3065" spans="1:2" x14ac:dyDescent="0.25">
      <c r="A3065" s="49">
        <v>1154766399</v>
      </c>
      <c r="B3065" s="49" t="s">
        <v>1396</v>
      </c>
    </row>
    <row r="3066" spans="1:2" x14ac:dyDescent="0.25">
      <c r="A3066" s="49">
        <v>608062286</v>
      </c>
      <c r="B3066" s="49" t="s">
        <v>976</v>
      </c>
    </row>
    <row r="3067" spans="1:2" x14ac:dyDescent="0.25">
      <c r="A3067" s="49">
        <v>609954475</v>
      </c>
      <c r="B3067" s="49" t="s">
        <v>1420</v>
      </c>
    </row>
    <row r="3068" spans="1:2" x14ac:dyDescent="0.25">
      <c r="A3068" s="49">
        <v>618905632</v>
      </c>
      <c r="B3068" s="49" t="s">
        <v>457</v>
      </c>
    </row>
    <row r="3069" spans="1:2" x14ac:dyDescent="0.25">
      <c r="A3069" s="49">
        <v>637573962</v>
      </c>
      <c r="B3069" s="49" t="s">
        <v>1175</v>
      </c>
    </row>
    <row r="3070" spans="1:2" x14ac:dyDescent="0.25">
      <c r="A3070" s="49">
        <v>651481552</v>
      </c>
      <c r="B3070" s="49" t="s">
        <v>899</v>
      </c>
    </row>
    <row r="3071" spans="1:2" x14ac:dyDescent="0.25">
      <c r="A3071" s="49">
        <v>660268808</v>
      </c>
      <c r="B3071" s="49" t="s">
        <v>271</v>
      </c>
    </row>
    <row r="3072" spans="1:2" x14ac:dyDescent="0.25">
      <c r="A3072" s="49">
        <v>690009464</v>
      </c>
      <c r="B3072" s="49" t="s">
        <v>1284</v>
      </c>
    </row>
    <row r="3073" spans="1:2" x14ac:dyDescent="0.25">
      <c r="A3073" s="49">
        <v>723012268</v>
      </c>
      <c r="B3073" s="49" t="s">
        <v>1558</v>
      </c>
    </row>
    <row r="3074" spans="1:2" x14ac:dyDescent="0.25">
      <c r="A3074" s="49">
        <v>759923816</v>
      </c>
      <c r="B3074" s="49" t="s">
        <v>72</v>
      </c>
    </row>
    <row r="3075" spans="1:2" x14ac:dyDescent="0.25">
      <c r="A3075" s="49">
        <v>775863492</v>
      </c>
      <c r="B3075" s="49" t="s">
        <v>1063</v>
      </c>
    </row>
    <row r="3076" spans="1:2" x14ac:dyDescent="0.25">
      <c r="A3076" s="49">
        <v>776746412</v>
      </c>
      <c r="B3076" s="49" t="s">
        <v>1251</v>
      </c>
    </row>
    <row r="3077" spans="1:2" x14ac:dyDescent="0.25">
      <c r="A3077" s="49">
        <v>778012420</v>
      </c>
      <c r="B3077" s="49" t="s">
        <v>806</v>
      </c>
    </row>
    <row r="3078" spans="1:2" x14ac:dyDescent="0.25">
      <c r="A3078" s="49">
        <v>780606955</v>
      </c>
      <c r="B3078" s="49" t="s">
        <v>1077</v>
      </c>
    </row>
    <row r="3079" spans="1:2" x14ac:dyDescent="0.25">
      <c r="A3079" s="49">
        <v>784479589</v>
      </c>
      <c r="B3079" s="49" t="s">
        <v>988</v>
      </c>
    </row>
    <row r="3080" spans="1:2" x14ac:dyDescent="0.25">
      <c r="A3080" s="49">
        <v>785146874</v>
      </c>
      <c r="B3080" s="49" t="s">
        <v>144</v>
      </c>
    </row>
    <row r="3081" spans="1:2" x14ac:dyDescent="0.25">
      <c r="A3081" s="49">
        <v>835621809</v>
      </c>
      <c r="B3081" s="49" t="s">
        <v>1355</v>
      </c>
    </row>
    <row r="3082" spans="1:2" x14ac:dyDescent="0.25">
      <c r="A3082" s="49">
        <v>844842676</v>
      </c>
      <c r="B3082" s="49" t="s">
        <v>1039</v>
      </c>
    </row>
    <row r="3083" spans="1:2" x14ac:dyDescent="0.25">
      <c r="A3083" s="49">
        <v>907424094</v>
      </c>
      <c r="B3083" s="49" t="s">
        <v>874</v>
      </c>
    </row>
    <row r="3084" spans="1:2" x14ac:dyDescent="0.25">
      <c r="A3084" s="49">
        <v>919299327</v>
      </c>
      <c r="B3084" s="49" t="s">
        <v>93</v>
      </c>
    </row>
    <row r="3085" spans="1:2" x14ac:dyDescent="0.25">
      <c r="A3085" s="49">
        <v>928758007</v>
      </c>
      <c r="B3085" s="49" t="s">
        <v>1390</v>
      </c>
    </row>
    <row r="3086" spans="1:2" x14ac:dyDescent="0.25">
      <c r="A3086" s="49">
        <v>1105726405</v>
      </c>
      <c r="B3086" s="49" t="s">
        <v>1448</v>
      </c>
    </row>
    <row r="3087" spans="1:2" x14ac:dyDescent="0.25">
      <c r="A3087" s="49">
        <v>1133323686</v>
      </c>
      <c r="B3087" s="49" t="s">
        <v>161</v>
      </c>
    </row>
    <row r="3088" spans="1:2" x14ac:dyDescent="0.25">
      <c r="A3088" s="49">
        <v>1158291001</v>
      </c>
      <c r="B3088" s="49" t="s">
        <v>242</v>
      </c>
    </row>
    <row r="3089" spans="1:2" x14ac:dyDescent="0.25">
      <c r="A3089" s="49">
        <v>684759519</v>
      </c>
      <c r="B3089" s="49" t="s">
        <v>180</v>
      </c>
    </row>
    <row r="3090" spans="1:2" x14ac:dyDescent="0.25">
      <c r="A3090" s="49">
        <v>781294025</v>
      </c>
      <c r="B3090" s="49" t="s">
        <v>763</v>
      </c>
    </row>
    <row r="3091" spans="1:2" x14ac:dyDescent="0.25">
      <c r="A3091" s="49">
        <v>801326155</v>
      </c>
      <c r="B3091" s="49" t="s">
        <v>145</v>
      </c>
    </row>
    <row r="3092" spans="1:2" x14ac:dyDescent="0.25">
      <c r="A3092" s="49">
        <v>1344826127</v>
      </c>
      <c r="B3092" s="49" t="s">
        <v>1776</v>
      </c>
    </row>
    <row r="3093" spans="1:2" x14ac:dyDescent="0.25">
      <c r="A3093" s="49">
        <v>628878983</v>
      </c>
      <c r="B3093" s="49" t="s">
        <v>211</v>
      </c>
    </row>
    <row r="3094" spans="1:2" x14ac:dyDescent="0.25">
      <c r="A3094" s="49">
        <v>641528409</v>
      </c>
      <c r="B3094" s="49" t="s">
        <v>212</v>
      </c>
    </row>
    <row r="3095" spans="1:2" x14ac:dyDescent="0.25">
      <c r="A3095" s="49">
        <v>649035582</v>
      </c>
      <c r="B3095" s="49" t="s">
        <v>1338</v>
      </c>
    </row>
    <row r="3096" spans="1:2" x14ac:dyDescent="0.25">
      <c r="A3096" s="49">
        <v>649971306</v>
      </c>
      <c r="B3096" s="49" t="s">
        <v>492</v>
      </c>
    </row>
    <row r="3097" spans="1:2" x14ac:dyDescent="0.25">
      <c r="A3097" s="49">
        <v>659261518</v>
      </c>
      <c r="B3097" s="49" t="s">
        <v>1668</v>
      </c>
    </row>
    <row r="3098" spans="1:2" x14ac:dyDescent="0.25">
      <c r="A3098" s="49">
        <v>672277888</v>
      </c>
      <c r="B3098" s="49" t="s">
        <v>1656</v>
      </c>
    </row>
    <row r="3099" spans="1:2" x14ac:dyDescent="0.25">
      <c r="A3099" s="49">
        <v>698770894</v>
      </c>
      <c r="B3099" s="49" t="s">
        <v>727</v>
      </c>
    </row>
    <row r="3100" spans="1:2" x14ac:dyDescent="0.25">
      <c r="A3100" s="49">
        <v>734266513</v>
      </c>
      <c r="B3100" s="49" t="s">
        <v>1589</v>
      </c>
    </row>
    <row r="3101" spans="1:2" x14ac:dyDescent="0.25">
      <c r="A3101" s="49">
        <v>744809217</v>
      </c>
      <c r="B3101" s="49" t="s">
        <v>1480</v>
      </c>
    </row>
    <row r="3102" spans="1:2" x14ac:dyDescent="0.25">
      <c r="A3102" s="49">
        <v>767697806</v>
      </c>
      <c r="B3102" s="49" t="s">
        <v>1627</v>
      </c>
    </row>
    <row r="3103" spans="1:2" x14ac:dyDescent="0.25">
      <c r="A3103" s="49">
        <v>781940914</v>
      </c>
      <c r="B3103" s="49" t="s">
        <v>1224</v>
      </c>
    </row>
    <row r="3104" spans="1:2" x14ac:dyDescent="0.25">
      <c r="A3104" s="49">
        <v>782120593</v>
      </c>
      <c r="B3104" s="49" t="s">
        <v>1231</v>
      </c>
    </row>
    <row r="3105" spans="1:2" x14ac:dyDescent="0.25">
      <c r="A3105" s="49">
        <v>792142378</v>
      </c>
      <c r="B3105" s="49" t="s">
        <v>468</v>
      </c>
    </row>
    <row r="3106" spans="1:2" x14ac:dyDescent="0.25">
      <c r="A3106" s="49">
        <v>821990857</v>
      </c>
      <c r="B3106" s="49" t="s">
        <v>508</v>
      </c>
    </row>
    <row r="3107" spans="1:2" x14ac:dyDescent="0.25">
      <c r="A3107" s="49">
        <v>842703483</v>
      </c>
      <c r="B3107" s="49" t="s">
        <v>1066</v>
      </c>
    </row>
    <row r="3108" spans="1:2" x14ac:dyDescent="0.25">
      <c r="A3108" s="49">
        <v>1134615423</v>
      </c>
      <c r="B3108" s="49" t="s">
        <v>108</v>
      </c>
    </row>
    <row r="3109" spans="1:2" x14ac:dyDescent="0.25">
      <c r="A3109" s="49">
        <v>1143196171</v>
      </c>
      <c r="B3109" s="49" t="s">
        <v>1122</v>
      </c>
    </row>
    <row r="3110" spans="1:2" x14ac:dyDescent="0.25">
      <c r="A3110" s="49">
        <v>1154753521</v>
      </c>
      <c r="B3110" s="49" t="s">
        <v>1396</v>
      </c>
    </row>
    <row r="3111" spans="1:2" x14ac:dyDescent="0.25">
      <c r="A3111" s="49">
        <v>1175813592</v>
      </c>
      <c r="B3111" s="49" t="s">
        <v>101</v>
      </c>
    </row>
    <row r="3112" spans="1:2" x14ac:dyDescent="0.25">
      <c r="A3112" s="49">
        <v>1216615325</v>
      </c>
      <c r="B3112" s="49" t="s">
        <v>1107</v>
      </c>
    </row>
    <row r="3113" spans="1:2" x14ac:dyDescent="0.25">
      <c r="A3113" s="49">
        <v>1337945227</v>
      </c>
      <c r="B3113" s="49" t="s">
        <v>1172</v>
      </c>
    </row>
    <row r="3114" spans="1:2" x14ac:dyDescent="0.25">
      <c r="A3114" s="49">
        <v>1344831226</v>
      </c>
      <c r="B3114" s="49" t="s">
        <v>1782</v>
      </c>
    </row>
    <row r="3115" spans="1:2" x14ac:dyDescent="0.25">
      <c r="A3115" s="49">
        <v>900853679</v>
      </c>
      <c r="B3115" s="49" t="s">
        <v>1452</v>
      </c>
    </row>
    <row r="3116" spans="1:2" x14ac:dyDescent="0.25">
      <c r="A3116" s="49">
        <v>720476411</v>
      </c>
      <c r="B3116" s="49" t="s">
        <v>1021</v>
      </c>
    </row>
    <row r="3117" spans="1:2" x14ac:dyDescent="0.25">
      <c r="A3117" s="49">
        <v>779909415</v>
      </c>
      <c r="B3117" s="49" t="s">
        <v>634</v>
      </c>
    </row>
    <row r="3118" spans="1:2" x14ac:dyDescent="0.25">
      <c r="A3118" s="49">
        <v>935707708</v>
      </c>
      <c r="B3118" s="49" t="s">
        <v>478</v>
      </c>
    </row>
    <row r="3119" spans="1:2" x14ac:dyDescent="0.25">
      <c r="A3119" s="49">
        <v>785735813</v>
      </c>
      <c r="B3119" s="49" t="s">
        <v>1182</v>
      </c>
    </row>
    <row r="3120" spans="1:2" x14ac:dyDescent="0.25">
      <c r="A3120" s="49">
        <v>1167213923</v>
      </c>
      <c r="B3120" s="49" t="s">
        <v>1397</v>
      </c>
    </row>
    <row r="3121" spans="1:2" x14ac:dyDescent="0.25">
      <c r="A3121" s="49">
        <v>1381938580</v>
      </c>
      <c r="B3121" s="49" t="s">
        <v>939</v>
      </c>
    </row>
    <row r="3122" spans="1:2" x14ac:dyDescent="0.25">
      <c r="A3122" s="49">
        <v>648175807</v>
      </c>
      <c r="B3122" s="49" t="s">
        <v>310</v>
      </c>
    </row>
    <row r="3123" spans="1:2" x14ac:dyDescent="0.25">
      <c r="A3123" s="49">
        <v>735779530</v>
      </c>
      <c r="B3123" s="49" t="s">
        <v>1016</v>
      </c>
    </row>
    <row r="3124" spans="1:2" x14ac:dyDescent="0.25">
      <c r="A3124" s="49">
        <v>767443795</v>
      </c>
      <c r="B3124" s="49" t="s">
        <v>137</v>
      </c>
    </row>
    <row r="3125" spans="1:2" x14ac:dyDescent="0.25">
      <c r="A3125" s="49">
        <v>776594099</v>
      </c>
      <c r="B3125" s="49" t="s">
        <v>1338</v>
      </c>
    </row>
    <row r="3126" spans="1:2" x14ac:dyDescent="0.25">
      <c r="A3126" s="49">
        <v>836747089</v>
      </c>
      <c r="B3126" s="49" t="s">
        <v>1113</v>
      </c>
    </row>
    <row r="3127" spans="1:2" x14ac:dyDescent="0.25">
      <c r="A3127" s="49">
        <v>863222768</v>
      </c>
      <c r="B3127" s="49" t="s">
        <v>1617</v>
      </c>
    </row>
    <row r="3128" spans="1:2" x14ac:dyDescent="0.25">
      <c r="A3128" s="49">
        <v>875438409</v>
      </c>
      <c r="B3128" s="49" t="s">
        <v>1073</v>
      </c>
    </row>
    <row r="3129" spans="1:2" x14ac:dyDescent="0.25">
      <c r="A3129" s="49">
        <v>914117085</v>
      </c>
      <c r="B3129" s="49" t="s">
        <v>509</v>
      </c>
    </row>
    <row r="3130" spans="1:2" x14ac:dyDescent="0.25">
      <c r="A3130" s="49">
        <v>918971833</v>
      </c>
      <c r="B3130" s="49" t="s">
        <v>96</v>
      </c>
    </row>
    <row r="3131" spans="1:2" x14ac:dyDescent="0.25">
      <c r="A3131" s="49">
        <v>919485859</v>
      </c>
      <c r="B3131" s="49" t="s">
        <v>70</v>
      </c>
    </row>
    <row r="3132" spans="1:2" x14ac:dyDescent="0.25">
      <c r="A3132" s="49">
        <v>928502434</v>
      </c>
      <c r="B3132" s="49" t="s">
        <v>585</v>
      </c>
    </row>
    <row r="3133" spans="1:2" x14ac:dyDescent="0.25">
      <c r="A3133" s="49">
        <v>1114955765</v>
      </c>
      <c r="B3133" s="49" t="s">
        <v>848</v>
      </c>
    </row>
    <row r="3134" spans="1:2" x14ac:dyDescent="0.25">
      <c r="A3134" s="49">
        <v>1159912798</v>
      </c>
      <c r="B3134" s="49" t="s">
        <v>1648</v>
      </c>
    </row>
    <row r="3135" spans="1:2" x14ac:dyDescent="0.25">
      <c r="A3135" s="49">
        <v>1188058606</v>
      </c>
      <c r="B3135" s="49" t="s">
        <v>922</v>
      </c>
    </row>
    <row r="3136" spans="1:2" x14ac:dyDescent="0.25">
      <c r="A3136" s="49">
        <v>1190457065</v>
      </c>
      <c r="B3136" s="49" t="s">
        <v>918</v>
      </c>
    </row>
    <row r="3137" spans="1:2" x14ac:dyDescent="0.25">
      <c r="A3137" s="49">
        <v>1337739163</v>
      </c>
      <c r="B3137" s="49" t="s">
        <v>1172</v>
      </c>
    </row>
    <row r="3138" spans="1:2" x14ac:dyDescent="0.25">
      <c r="A3138" s="49">
        <v>1340249104</v>
      </c>
      <c r="B3138" s="49" t="s">
        <v>1753</v>
      </c>
    </row>
    <row r="3139" spans="1:2" x14ac:dyDescent="0.25">
      <c r="A3139" s="49">
        <v>1345724898</v>
      </c>
      <c r="B3139" s="49" t="s">
        <v>1789</v>
      </c>
    </row>
    <row r="3140" spans="1:2" x14ac:dyDescent="0.25">
      <c r="A3140" s="49">
        <v>1370204060</v>
      </c>
      <c r="B3140" s="49" t="s">
        <v>865</v>
      </c>
    </row>
    <row r="3141" spans="1:2" x14ac:dyDescent="0.25">
      <c r="A3141" s="49">
        <v>1374496559</v>
      </c>
      <c r="B3141" s="49" t="s">
        <v>3671</v>
      </c>
    </row>
    <row r="3142" spans="1:2" x14ac:dyDescent="0.25">
      <c r="A3142" s="49">
        <v>1374592857</v>
      </c>
      <c r="B3142" s="49" t="s">
        <v>3673</v>
      </c>
    </row>
    <row r="3143" spans="1:2" x14ac:dyDescent="0.25">
      <c r="A3143" s="49">
        <v>1377611817</v>
      </c>
      <c r="B3143" s="49" t="s">
        <v>829</v>
      </c>
    </row>
    <row r="3144" spans="1:2" x14ac:dyDescent="0.25">
      <c r="A3144" s="49">
        <v>628962125</v>
      </c>
      <c r="B3144" s="49" t="s">
        <v>1191</v>
      </c>
    </row>
    <row r="3145" spans="1:2" x14ac:dyDescent="0.25">
      <c r="A3145" s="49">
        <v>835464644</v>
      </c>
      <c r="B3145" s="49" t="s">
        <v>1350</v>
      </c>
    </row>
    <row r="3146" spans="1:2" x14ac:dyDescent="0.25">
      <c r="A3146" s="49">
        <v>758480817</v>
      </c>
      <c r="B3146" s="49" t="s">
        <v>1022</v>
      </c>
    </row>
    <row r="3147" spans="1:2" x14ac:dyDescent="0.25">
      <c r="A3147" s="49">
        <v>781333876</v>
      </c>
      <c r="B3147" s="49" t="s">
        <v>1071</v>
      </c>
    </row>
    <row r="3148" spans="1:2" x14ac:dyDescent="0.25">
      <c r="A3148" s="49">
        <v>1111569432</v>
      </c>
      <c r="B3148" s="49" t="s">
        <v>1248</v>
      </c>
    </row>
    <row r="3149" spans="1:2" x14ac:dyDescent="0.25">
      <c r="A3149" s="49">
        <v>1160932437</v>
      </c>
      <c r="B3149" s="49" t="s">
        <v>1030</v>
      </c>
    </row>
    <row r="3150" spans="1:2" x14ac:dyDescent="0.25">
      <c r="A3150" s="49">
        <v>1201901670</v>
      </c>
      <c r="B3150" s="49" t="s">
        <v>1383</v>
      </c>
    </row>
    <row r="3151" spans="1:2" x14ac:dyDescent="0.25">
      <c r="A3151" s="49">
        <v>1344775701</v>
      </c>
      <c r="B3151" s="49" t="s">
        <v>1780</v>
      </c>
    </row>
    <row r="3152" spans="1:2" x14ac:dyDescent="0.25">
      <c r="A3152" s="49">
        <v>1345492152</v>
      </c>
      <c r="B3152" s="49" t="s">
        <v>1786</v>
      </c>
    </row>
    <row r="3153" spans="1:2" x14ac:dyDescent="0.25">
      <c r="A3153" s="49">
        <v>1377809808</v>
      </c>
      <c r="B3153" s="49" t="s">
        <v>1820</v>
      </c>
    </row>
    <row r="3154" spans="1:2" x14ac:dyDescent="0.25">
      <c r="A3154" s="49">
        <v>605723959</v>
      </c>
      <c r="B3154" s="49" t="s">
        <v>691</v>
      </c>
    </row>
    <row r="3155" spans="1:2" x14ac:dyDescent="0.25">
      <c r="A3155" s="49">
        <v>606188509</v>
      </c>
      <c r="B3155" s="49" t="s">
        <v>343</v>
      </c>
    </row>
    <row r="3156" spans="1:2" x14ac:dyDescent="0.25">
      <c r="A3156" s="49">
        <v>621573277</v>
      </c>
      <c r="B3156" s="49" t="s">
        <v>1060</v>
      </c>
    </row>
    <row r="3157" spans="1:2" x14ac:dyDescent="0.25">
      <c r="A3157" s="49">
        <v>718174003</v>
      </c>
      <c r="B3157" s="49" t="s">
        <v>791</v>
      </c>
    </row>
    <row r="3158" spans="1:2" x14ac:dyDescent="0.25">
      <c r="A3158" s="49">
        <v>760286612</v>
      </c>
      <c r="B3158" s="49" t="s">
        <v>622</v>
      </c>
    </row>
    <row r="3159" spans="1:2" x14ac:dyDescent="0.25">
      <c r="A3159" s="49">
        <v>776564422</v>
      </c>
      <c r="B3159" s="49" t="s">
        <v>601</v>
      </c>
    </row>
    <row r="3160" spans="1:2" x14ac:dyDescent="0.25">
      <c r="A3160" s="49">
        <v>779902107</v>
      </c>
      <c r="B3160" s="49" t="s">
        <v>557</v>
      </c>
    </row>
    <row r="3161" spans="1:2" x14ac:dyDescent="0.25">
      <c r="A3161" s="49">
        <v>781285719</v>
      </c>
      <c r="B3161" s="49" t="s">
        <v>609</v>
      </c>
    </row>
    <row r="3162" spans="1:2" x14ac:dyDescent="0.25">
      <c r="A3162" s="49">
        <v>781285405</v>
      </c>
      <c r="B3162" s="49" t="s">
        <v>304</v>
      </c>
    </row>
    <row r="3163" spans="1:2" x14ac:dyDescent="0.25">
      <c r="A3163" s="49">
        <v>792120971</v>
      </c>
      <c r="B3163" s="49" t="s">
        <v>1668</v>
      </c>
    </row>
    <row r="3164" spans="1:2" x14ac:dyDescent="0.25">
      <c r="A3164" s="49">
        <v>913080469</v>
      </c>
      <c r="B3164" s="49" t="s">
        <v>1203</v>
      </c>
    </row>
    <row r="3165" spans="1:2" x14ac:dyDescent="0.25">
      <c r="A3165" s="49">
        <v>926274234</v>
      </c>
      <c r="B3165" s="49" t="s">
        <v>676</v>
      </c>
    </row>
    <row r="3166" spans="1:2" x14ac:dyDescent="0.25">
      <c r="A3166" s="49">
        <v>1103367991</v>
      </c>
      <c r="B3166" s="49" t="s">
        <v>857</v>
      </c>
    </row>
    <row r="3167" spans="1:2" x14ac:dyDescent="0.25">
      <c r="A3167" s="49">
        <v>1105186782</v>
      </c>
      <c r="B3167" s="49" t="s">
        <v>861</v>
      </c>
    </row>
    <row r="3168" spans="1:2" x14ac:dyDescent="0.25">
      <c r="A3168" s="49">
        <v>1163411238</v>
      </c>
      <c r="B3168" s="49" t="s">
        <v>223</v>
      </c>
    </row>
    <row r="3169" spans="1:2" x14ac:dyDescent="0.25">
      <c r="A3169" s="49">
        <v>1281990306</v>
      </c>
      <c r="B3169" s="49" t="s">
        <v>1527</v>
      </c>
    </row>
    <row r="3170" spans="1:2" x14ac:dyDescent="0.25">
      <c r="A3170" s="49">
        <v>1285517924</v>
      </c>
      <c r="B3170" s="49" t="s">
        <v>1731</v>
      </c>
    </row>
    <row r="3171" spans="1:2" x14ac:dyDescent="0.25">
      <c r="A3171" s="49">
        <v>1339858043</v>
      </c>
      <c r="B3171" s="49" t="s">
        <v>1749</v>
      </c>
    </row>
    <row r="3172" spans="1:2" x14ac:dyDescent="0.25">
      <c r="A3172" s="49">
        <v>1423230276</v>
      </c>
      <c r="B3172" s="49" t="s">
        <v>1555</v>
      </c>
    </row>
    <row r="3173" spans="1:2" x14ac:dyDescent="0.25">
      <c r="A3173" s="49">
        <v>612951686</v>
      </c>
      <c r="B3173" s="49" t="s">
        <v>1057</v>
      </c>
    </row>
    <row r="3174" spans="1:2" x14ac:dyDescent="0.25">
      <c r="A3174" s="49">
        <v>648928965</v>
      </c>
      <c r="B3174" s="49" t="s">
        <v>301</v>
      </c>
    </row>
    <row r="3175" spans="1:2" x14ac:dyDescent="0.25">
      <c r="A3175" s="49">
        <v>917478641</v>
      </c>
      <c r="B3175" s="49" t="s">
        <v>270</v>
      </c>
    </row>
    <row r="3176" spans="1:2" x14ac:dyDescent="0.25">
      <c r="A3176" s="49">
        <v>689720660</v>
      </c>
      <c r="B3176" s="49" t="s">
        <v>1253</v>
      </c>
    </row>
    <row r="3177" spans="1:2" x14ac:dyDescent="0.25">
      <c r="A3177" s="49">
        <v>1119713124</v>
      </c>
      <c r="B3177" s="49" t="s">
        <v>499</v>
      </c>
    </row>
    <row r="3178" spans="1:2" x14ac:dyDescent="0.25">
      <c r="A3178" s="49">
        <v>1149367796</v>
      </c>
      <c r="B3178" s="49" t="s">
        <v>1038</v>
      </c>
    </row>
    <row r="3179" spans="1:2" x14ac:dyDescent="0.25">
      <c r="A3179" s="49">
        <v>1256465604</v>
      </c>
      <c r="B3179" s="49" t="s">
        <v>1728</v>
      </c>
    </row>
    <row r="3180" spans="1:2" x14ac:dyDescent="0.25">
      <c r="A3180" s="49">
        <v>1344892048</v>
      </c>
      <c r="B3180" s="49" t="s">
        <v>1778</v>
      </c>
    </row>
    <row r="3181" spans="1:2" x14ac:dyDescent="0.25">
      <c r="A3181" s="49">
        <v>711571983</v>
      </c>
      <c r="B3181" s="49" t="s">
        <v>659</v>
      </c>
    </row>
    <row r="3182" spans="1:2" x14ac:dyDescent="0.25">
      <c r="A3182" s="49">
        <v>780815646</v>
      </c>
      <c r="B3182" s="49" t="s">
        <v>658</v>
      </c>
    </row>
    <row r="3183" spans="1:2" x14ac:dyDescent="0.25">
      <c r="A3183" s="49">
        <v>1397627364</v>
      </c>
      <c r="B3183" s="49" t="s">
        <v>1821</v>
      </c>
    </row>
    <row r="3184" spans="1:2" x14ac:dyDescent="0.25">
      <c r="A3184" s="49">
        <v>1397902448</v>
      </c>
      <c r="B3184" s="49" t="s">
        <v>1827</v>
      </c>
    </row>
    <row r="3185" spans="1:2" x14ac:dyDescent="0.25">
      <c r="A3185" s="49">
        <v>641459585</v>
      </c>
      <c r="B3185" s="49" t="s">
        <v>646</v>
      </c>
    </row>
    <row r="3186" spans="1:2" x14ac:dyDescent="0.25">
      <c r="A3186" s="49">
        <v>679386286</v>
      </c>
      <c r="B3186" s="49" t="s">
        <v>1342</v>
      </c>
    </row>
    <row r="3187" spans="1:2" x14ac:dyDescent="0.25">
      <c r="A3187" s="49">
        <v>690443009</v>
      </c>
      <c r="B3187" s="49" t="s">
        <v>1245</v>
      </c>
    </row>
    <row r="3188" spans="1:2" x14ac:dyDescent="0.25">
      <c r="A3188" s="49">
        <v>690446317</v>
      </c>
      <c r="B3188" s="49" t="s">
        <v>607</v>
      </c>
    </row>
    <row r="3189" spans="1:2" x14ac:dyDescent="0.25">
      <c r="A3189" s="49">
        <v>702196354</v>
      </c>
      <c r="B3189" s="49" t="s">
        <v>537</v>
      </c>
    </row>
    <row r="3190" spans="1:2" x14ac:dyDescent="0.25">
      <c r="A3190" s="49">
        <v>775463427</v>
      </c>
      <c r="B3190" s="49" t="s">
        <v>1075</v>
      </c>
    </row>
    <row r="3191" spans="1:2" x14ac:dyDescent="0.25">
      <c r="A3191" s="49">
        <v>883105256</v>
      </c>
      <c r="B3191" s="49" t="s">
        <v>1281</v>
      </c>
    </row>
    <row r="3192" spans="1:2" x14ac:dyDescent="0.25">
      <c r="A3192" s="49">
        <v>928624133</v>
      </c>
      <c r="B3192" s="49" t="s">
        <v>1551</v>
      </c>
    </row>
    <row r="3193" spans="1:2" x14ac:dyDescent="0.25">
      <c r="A3193" s="49">
        <v>1110690975</v>
      </c>
      <c r="B3193" s="49" t="s">
        <v>1712</v>
      </c>
    </row>
    <row r="3194" spans="1:2" x14ac:dyDescent="0.25">
      <c r="A3194" s="49">
        <v>1135700123</v>
      </c>
      <c r="B3194" s="49" t="s">
        <v>1358</v>
      </c>
    </row>
    <row r="3195" spans="1:2" x14ac:dyDescent="0.25">
      <c r="A3195" s="49">
        <v>1432364264</v>
      </c>
      <c r="B3195" s="49" t="s">
        <v>1291</v>
      </c>
    </row>
    <row r="3196" spans="1:2" x14ac:dyDescent="0.25">
      <c r="A3196" s="49">
        <v>618905513</v>
      </c>
      <c r="B3196" s="49" t="s">
        <v>470</v>
      </c>
    </row>
    <row r="3197" spans="1:2" x14ac:dyDescent="0.25">
      <c r="A3197" s="49">
        <v>784937218</v>
      </c>
      <c r="B3197" s="49" t="s">
        <v>723</v>
      </c>
    </row>
    <row r="3198" spans="1:2" x14ac:dyDescent="0.25">
      <c r="A3198" s="49">
        <v>857187970</v>
      </c>
      <c r="B3198" s="49" t="s">
        <v>1459</v>
      </c>
    </row>
    <row r="3199" spans="1:2" x14ac:dyDescent="0.25">
      <c r="A3199" s="49">
        <v>861877742</v>
      </c>
      <c r="B3199" s="49" t="s">
        <v>59</v>
      </c>
    </row>
    <row r="3200" spans="1:2" x14ac:dyDescent="0.25">
      <c r="A3200" s="49">
        <v>1339318087</v>
      </c>
      <c r="B3200" s="49" t="s">
        <v>1746</v>
      </c>
    </row>
    <row r="3201" spans="1:2" x14ac:dyDescent="0.25">
      <c r="A3201" s="49">
        <v>1341715111</v>
      </c>
      <c r="B3201" s="49" t="s">
        <v>1766</v>
      </c>
    </row>
    <row r="3202" spans="1:2" x14ac:dyDescent="0.25">
      <c r="A3202" s="49">
        <v>1397940820</v>
      </c>
      <c r="B3202" s="49" t="s">
        <v>1014</v>
      </c>
    </row>
    <row r="3203" spans="1:2" x14ac:dyDescent="0.25">
      <c r="A3203" s="49">
        <v>662749709</v>
      </c>
      <c r="B3203" s="49" t="s">
        <v>124</v>
      </c>
    </row>
    <row r="3204" spans="1:2" x14ac:dyDescent="0.25">
      <c r="A3204" s="49">
        <v>676083760</v>
      </c>
      <c r="B3204" s="49" t="s">
        <v>1516</v>
      </c>
    </row>
    <row r="3205" spans="1:2" x14ac:dyDescent="0.25">
      <c r="A3205" s="49">
        <v>776432334</v>
      </c>
      <c r="B3205" s="49" t="s">
        <v>665</v>
      </c>
    </row>
    <row r="3206" spans="1:2" x14ac:dyDescent="0.25">
      <c r="A3206" s="49">
        <v>776751881</v>
      </c>
      <c r="B3206" s="49" t="s">
        <v>1262</v>
      </c>
    </row>
    <row r="3207" spans="1:2" x14ac:dyDescent="0.25">
      <c r="A3207" s="49">
        <v>776744682</v>
      </c>
      <c r="B3207" s="49" t="s">
        <v>1124</v>
      </c>
    </row>
    <row r="3208" spans="1:2" x14ac:dyDescent="0.25">
      <c r="A3208" s="49">
        <v>780814355</v>
      </c>
      <c r="B3208" s="49" t="s">
        <v>703</v>
      </c>
    </row>
    <row r="3209" spans="1:2" x14ac:dyDescent="0.25">
      <c r="A3209" s="49">
        <v>784482295</v>
      </c>
      <c r="B3209" s="49" t="s">
        <v>899</v>
      </c>
    </row>
    <row r="3210" spans="1:2" x14ac:dyDescent="0.25">
      <c r="A3210" s="49">
        <v>867413614</v>
      </c>
      <c r="B3210" s="49" t="s">
        <v>1137</v>
      </c>
    </row>
    <row r="3211" spans="1:2" x14ac:dyDescent="0.25">
      <c r="A3211" s="49">
        <v>913672054</v>
      </c>
      <c r="B3211" s="49" t="s">
        <v>830</v>
      </c>
    </row>
    <row r="3212" spans="1:2" x14ac:dyDescent="0.25">
      <c r="A3212" s="49">
        <v>1110832547</v>
      </c>
      <c r="B3212" s="49" t="s">
        <v>1715</v>
      </c>
    </row>
    <row r="3213" spans="1:2" x14ac:dyDescent="0.25">
      <c r="A3213" s="49">
        <v>1111351060</v>
      </c>
      <c r="B3213" s="49" t="s">
        <v>843</v>
      </c>
    </row>
    <row r="3214" spans="1:2" x14ac:dyDescent="0.25">
      <c r="A3214" s="49">
        <v>1120779647</v>
      </c>
      <c r="B3214" s="49" t="s">
        <v>1447</v>
      </c>
    </row>
    <row r="3215" spans="1:2" x14ac:dyDescent="0.25">
      <c r="A3215" s="49">
        <v>1152595440</v>
      </c>
      <c r="B3215" s="49" t="s">
        <v>1150</v>
      </c>
    </row>
    <row r="3216" spans="1:2" x14ac:dyDescent="0.25">
      <c r="A3216" s="49">
        <v>1154309886</v>
      </c>
      <c r="B3216" s="49" t="s">
        <v>1152</v>
      </c>
    </row>
    <row r="3217" spans="1:2" x14ac:dyDescent="0.25">
      <c r="A3217" s="49">
        <v>1178988070</v>
      </c>
      <c r="B3217" s="49" t="s">
        <v>1392</v>
      </c>
    </row>
    <row r="3218" spans="1:2" x14ac:dyDescent="0.25">
      <c r="A3218" s="49">
        <v>1447406004</v>
      </c>
      <c r="B3218" s="49" t="s">
        <v>1473</v>
      </c>
    </row>
    <row r="3219" spans="1:2" x14ac:dyDescent="0.25">
      <c r="A3219" s="49">
        <v>756007675</v>
      </c>
      <c r="B3219" s="49" t="s">
        <v>1014</v>
      </c>
    </row>
    <row r="3220" spans="1:2" x14ac:dyDescent="0.25">
      <c r="A3220" s="49">
        <v>767696239</v>
      </c>
      <c r="B3220" s="49" t="s">
        <v>180</v>
      </c>
    </row>
    <row r="3221" spans="1:2" x14ac:dyDescent="0.25">
      <c r="A3221" s="49">
        <v>1192898635</v>
      </c>
      <c r="B3221" s="49" t="s">
        <v>1321</v>
      </c>
    </row>
    <row r="3222" spans="1:2" x14ac:dyDescent="0.25">
      <c r="A3222" s="49">
        <v>682844092</v>
      </c>
      <c r="B3222" s="49" t="s">
        <v>583</v>
      </c>
    </row>
    <row r="3223" spans="1:2" x14ac:dyDescent="0.25">
      <c r="A3223" s="49">
        <v>1342811071</v>
      </c>
      <c r="B3223" s="49" t="s">
        <v>1773</v>
      </c>
    </row>
    <row r="3224" spans="1:2" x14ac:dyDescent="0.25">
      <c r="A3224" s="49">
        <v>760283282</v>
      </c>
      <c r="B3224" s="49" t="s">
        <v>1430</v>
      </c>
    </row>
    <row r="3225" spans="1:2" x14ac:dyDescent="0.25">
      <c r="A3225" s="49">
        <v>770046953</v>
      </c>
      <c r="B3225" s="49" t="s">
        <v>1557</v>
      </c>
    </row>
    <row r="3226" spans="1:2" x14ac:dyDescent="0.25">
      <c r="A3226" s="49">
        <v>777652997</v>
      </c>
      <c r="B3226" s="49" t="s">
        <v>330</v>
      </c>
    </row>
    <row r="3227" spans="1:2" x14ac:dyDescent="0.25">
      <c r="A3227" s="49">
        <v>777652352</v>
      </c>
      <c r="B3227" s="49" t="s">
        <v>349</v>
      </c>
    </row>
    <row r="3228" spans="1:2" x14ac:dyDescent="0.25">
      <c r="A3228" s="49">
        <v>778961804</v>
      </c>
      <c r="B3228" s="49" t="s">
        <v>283</v>
      </c>
    </row>
    <row r="3229" spans="1:2" x14ac:dyDescent="0.25">
      <c r="A3229" s="49">
        <v>789663180</v>
      </c>
      <c r="B3229" s="49" t="s">
        <v>126</v>
      </c>
    </row>
    <row r="3230" spans="1:2" x14ac:dyDescent="0.25">
      <c r="A3230" s="49">
        <v>826588061</v>
      </c>
      <c r="B3230" s="49" t="s">
        <v>1629</v>
      </c>
    </row>
    <row r="3231" spans="1:2" x14ac:dyDescent="0.25">
      <c r="A3231" s="49">
        <v>836741436</v>
      </c>
      <c r="B3231" s="49" t="s">
        <v>1434</v>
      </c>
    </row>
    <row r="3232" spans="1:2" x14ac:dyDescent="0.25">
      <c r="A3232" s="49">
        <v>857014519</v>
      </c>
      <c r="B3232" s="49" t="s">
        <v>1011</v>
      </c>
    </row>
    <row r="3233" spans="1:2" x14ac:dyDescent="0.25">
      <c r="A3233" s="49">
        <v>867867369</v>
      </c>
      <c r="B3233" s="49" t="s">
        <v>1258</v>
      </c>
    </row>
    <row r="3234" spans="1:2" x14ac:dyDescent="0.25">
      <c r="A3234" s="49">
        <v>869243141</v>
      </c>
      <c r="B3234" s="49" t="s">
        <v>397</v>
      </c>
    </row>
    <row r="3235" spans="1:2" x14ac:dyDescent="0.25">
      <c r="A3235" s="49">
        <v>1114943891</v>
      </c>
      <c r="B3235" s="49" t="s">
        <v>850</v>
      </c>
    </row>
    <row r="3236" spans="1:2" x14ac:dyDescent="0.25">
      <c r="A3236" s="49">
        <v>1131907440</v>
      </c>
      <c r="B3236" s="49" t="s">
        <v>109</v>
      </c>
    </row>
    <row r="3237" spans="1:2" x14ac:dyDescent="0.25">
      <c r="A3237" s="49">
        <v>1141369077</v>
      </c>
      <c r="B3237" s="49" t="s">
        <v>1602</v>
      </c>
    </row>
    <row r="3238" spans="1:2" x14ac:dyDescent="0.25">
      <c r="A3238" s="49">
        <v>1142367343</v>
      </c>
      <c r="B3238" s="49" t="s">
        <v>196</v>
      </c>
    </row>
    <row r="3239" spans="1:2" x14ac:dyDescent="0.25">
      <c r="A3239" s="49">
        <v>1289268686</v>
      </c>
      <c r="B3239" s="49" t="s">
        <v>65</v>
      </c>
    </row>
    <row r="3240" spans="1:2" x14ac:dyDescent="0.25">
      <c r="A3240" s="49">
        <v>1377599029</v>
      </c>
      <c r="B3240" s="49" t="s">
        <v>829</v>
      </c>
    </row>
    <row r="3241" spans="1:2" x14ac:dyDescent="0.25">
      <c r="A3241" s="49">
        <v>1377599039</v>
      </c>
      <c r="B3241" s="49" t="s">
        <v>815</v>
      </c>
    </row>
    <row r="3242" spans="1:2" x14ac:dyDescent="0.25">
      <c r="A3242" s="49">
        <v>605724025</v>
      </c>
      <c r="B3242" s="49" t="s">
        <v>1596</v>
      </c>
    </row>
    <row r="3243" spans="1:2" x14ac:dyDescent="0.25">
      <c r="A3243" s="49">
        <v>906013089</v>
      </c>
      <c r="B3243" s="49" t="s">
        <v>950</v>
      </c>
    </row>
    <row r="3244" spans="1:2" x14ac:dyDescent="0.25">
      <c r="A3244" s="49">
        <v>612829424</v>
      </c>
      <c r="B3244" s="49" t="s">
        <v>1222</v>
      </c>
    </row>
    <row r="3245" spans="1:2" x14ac:dyDescent="0.25">
      <c r="A3245" s="49">
        <v>1126014881</v>
      </c>
      <c r="B3245" s="49" t="s">
        <v>1403</v>
      </c>
    </row>
    <row r="3246" spans="1:2" x14ac:dyDescent="0.25">
      <c r="A3246" s="49">
        <v>1194342264</v>
      </c>
      <c r="B3246" s="49" t="s">
        <v>1313</v>
      </c>
    </row>
    <row r="3247" spans="1:2" x14ac:dyDescent="0.25">
      <c r="A3247" s="49">
        <v>605724248</v>
      </c>
      <c r="B3247" s="49" t="s">
        <v>288</v>
      </c>
    </row>
    <row r="3248" spans="1:2" x14ac:dyDescent="0.25">
      <c r="A3248" s="49">
        <v>609316778</v>
      </c>
      <c r="B3248" s="49" t="s">
        <v>342</v>
      </c>
    </row>
    <row r="3249" spans="1:2" x14ac:dyDescent="0.25">
      <c r="A3249" s="49">
        <v>610134990</v>
      </c>
      <c r="B3249" s="49" t="s">
        <v>403</v>
      </c>
    </row>
    <row r="3250" spans="1:2" x14ac:dyDescent="0.25">
      <c r="A3250" s="49">
        <v>614138608</v>
      </c>
      <c r="B3250" s="49" t="s">
        <v>1263</v>
      </c>
    </row>
    <row r="3251" spans="1:2" x14ac:dyDescent="0.25">
      <c r="A3251" s="49">
        <v>625958151</v>
      </c>
      <c r="B3251" s="49" t="s">
        <v>316</v>
      </c>
    </row>
    <row r="3252" spans="1:2" x14ac:dyDescent="0.25">
      <c r="A3252" s="49">
        <v>648288512</v>
      </c>
      <c r="B3252" s="49" t="s">
        <v>100</v>
      </c>
    </row>
    <row r="3253" spans="1:2" x14ac:dyDescent="0.25">
      <c r="A3253" s="49">
        <v>659148612</v>
      </c>
      <c r="B3253" s="49" t="s">
        <v>200</v>
      </c>
    </row>
    <row r="3254" spans="1:2" x14ac:dyDescent="0.25">
      <c r="A3254" s="49">
        <v>690451042</v>
      </c>
      <c r="B3254" s="49" t="s">
        <v>303</v>
      </c>
    </row>
    <row r="3255" spans="1:2" x14ac:dyDescent="0.25">
      <c r="A3255" s="49">
        <v>756050751</v>
      </c>
      <c r="B3255" s="49" t="s">
        <v>1236</v>
      </c>
    </row>
    <row r="3256" spans="1:2" x14ac:dyDescent="0.25">
      <c r="A3256" s="49">
        <v>762231750</v>
      </c>
      <c r="B3256" s="49" t="s">
        <v>818</v>
      </c>
    </row>
    <row r="3257" spans="1:2" x14ac:dyDescent="0.25">
      <c r="A3257" s="49">
        <v>762436205</v>
      </c>
      <c r="B3257" s="49" t="s">
        <v>612</v>
      </c>
    </row>
    <row r="3258" spans="1:2" x14ac:dyDescent="0.25">
      <c r="A3258" s="49">
        <v>630276216</v>
      </c>
      <c r="B3258" s="49" t="s">
        <v>761</v>
      </c>
    </row>
    <row r="3259" spans="1:2" x14ac:dyDescent="0.25">
      <c r="A3259" s="49">
        <v>778251872</v>
      </c>
      <c r="B3259" s="49" t="s">
        <v>1087</v>
      </c>
    </row>
    <row r="3260" spans="1:2" x14ac:dyDescent="0.25">
      <c r="A3260" s="49">
        <v>784367342</v>
      </c>
      <c r="B3260" s="49" t="s">
        <v>686</v>
      </c>
    </row>
    <row r="3261" spans="1:2" x14ac:dyDescent="0.25">
      <c r="A3261" s="49">
        <v>789859932</v>
      </c>
      <c r="B3261" s="49" t="s">
        <v>630</v>
      </c>
    </row>
    <row r="3262" spans="1:2" x14ac:dyDescent="0.25">
      <c r="A3262" s="49">
        <v>830046013</v>
      </c>
      <c r="B3262" s="49" t="s">
        <v>714</v>
      </c>
    </row>
    <row r="3263" spans="1:2" x14ac:dyDescent="0.25">
      <c r="A3263" s="49">
        <v>843116407</v>
      </c>
      <c r="B3263" s="49" t="s">
        <v>1161</v>
      </c>
    </row>
    <row r="3264" spans="1:2" x14ac:dyDescent="0.25">
      <c r="A3264" s="49">
        <v>858820822</v>
      </c>
      <c r="B3264" s="49" t="s">
        <v>1519</v>
      </c>
    </row>
    <row r="3265" spans="1:2" x14ac:dyDescent="0.25">
      <c r="A3265" s="49">
        <v>867878924</v>
      </c>
      <c r="B3265" s="49" t="s">
        <v>835</v>
      </c>
    </row>
    <row r="3266" spans="1:2" x14ac:dyDescent="0.25">
      <c r="A3266" s="49">
        <v>869245054</v>
      </c>
      <c r="B3266" s="49" t="s">
        <v>394</v>
      </c>
    </row>
    <row r="3267" spans="1:2" x14ac:dyDescent="0.25">
      <c r="A3267" s="49">
        <v>1103342229</v>
      </c>
      <c r="B3267" s="49" t="s">
        <v>857</v>
      </c>
    </row>
    <row r="3268" spans="1:2" x14ac:dyDescent="0.25">
      <c r="A3268" s="49">
        <v>1103674000</v>
      </c>
      <c r="B3268" s="49" t="s">
        <v>863</v>
      </c>
    </row>
    <row r="3269" spans="1:2" x14ac:dyDescent="0.25">
      <c r="A3269" s="49">
        <v>1119500173</v>
      </c>
      <c r="B3269" s="49" t="s">
        <v>97</v>
      </c>
    </row>
    <row r="3270" spans="1:2" x14ac:dyDescent="0.25">
      <c r="A3270" s="49">
        <v>1122688688</v>
      </c>
      <c r="B3270" s="49" t="s">
        <v>1494</v>
      </c>
    </row>
    <row r="3271" spans="1:2" x14ac:dyDescent="0.25">
      <c r="A3271" s="49">
        <v>1281931682</v>
      </c>
      <c r="B3271" s="49" t="s">
        <v>950</v>
      </c>
    </row>
    <row r="3272" spans="1:2" x14ac:dyDescent="0.25">
      <c r="A3272" s="49">
        <v>1320080884</v>
      </c>
      <c r="B3272" s="49" t="s">
        <v>1577</v>
      </c>
    </row>
    <row r="3273" spans="1:2" x14ac:dyDescent="0.25">
      <c r="A3273" s="49">
        <v>1338582063</v>
      </c>
      <c r="B3273" s="49" t="s">
        <v>1743</v>
      </c>
    </row>
    <row r="3274" spans="1:2" x14ac:dyDescent="0.25">
      <c r="A3274" s="49">
        <v>1344845986</v>
      </c>
      <c r="B3274" s="49" t="s">
        <v>1777</v>
      </c>
    </row>
    <row r="3275" spans="1:2" x14ac:dyDescent="0.25">
      <c r="A3275" s="49">
        <v>1345523468</v>
      </c>
      <c r="B3275" s="49" t="s">
        <v>1788</v>
      </c>
    </row>
    <row r="3276" spans="1:2" x14ac:dyDescent="0.25">
      <c r="A3276" s="49">
        <v>1370202902</v>
      </c>
      <c r="B3276" s="49" t="s">
        <v>1073</v>
      </c>
    </row>
    <row r="3277" spans="1:2" x14ac:dyDescent="0.25">
      <c r="A3277" s="49">
        <v>1397979858</v>
      </c>
      <c r="B3277" s="49" t="s">
        <v>1823</v>
      </c>
    </row>
    <row r="3278" spans="1:2" x14ac:dyDescent="0.25">
      <c r="A3278" s="49">
        <v>1370900545</v>
      </c>
      <c r="B3278" s="49" t="s">
        <v>1555</v>
      </c>
    </row>
    <row r="3279" spans="1:2" x14ac:dyDescent="0.25">
      <c r="A3279" s="49">
        <v>1429798850</v>
      </c>
      <c r="B3279" s="49" t="s">
        <v>132</v>
      </c>
    </row>
    <row r="3280" spans="1:2" x14ac:dyDescent="0.25">
      <c r="A3280" s="49">
        <v>1451531514</v>
      </c>
      <c r="B3280" s="49" t="s">
        <v>789</v>
      </c>
    </row>
    <row r="3281" spans="1:2" x14ac:dyDescent="0.25">
      <c r="A3281" s="49">
        <v>755157779</v>
      </c>
      <c r="B3281" s="49" t="s">
        <v>876</v>
      </c>
    </row>
    <row r="3282" spans="1:2" x14ac:dyDescent="0.25">
      <c r="A3282" s="49">
        <v>1127791988</v>
      </c>
      <c r="B3282" s="49" t="s">
        <v>1527</v>
      </c>
    </row>
    <row r="3283" spans="1:2" x14ac:dyDescent="0.25">
      <c r="A3283" s="49">
        <v>1147194352</v>
      </c>
      <c r="B3283" s="49" t="s">
        <v>1461</v>
      </c>
    </row>
    <row r="3284" spans="1:2" x14ac:dyDescent="0.25">
      <c r="A3284" s="49">
        <v>1193043522</v>
      </c>
      <c r="B3284" s="49" t="s">
        <v>1319</v>
      </c>
    </row>
    <row r="3285" spans="1:2" x14ac:dyDescent="0.25">
      <c r="A3285" s="49">
        <v>618903189</v>
      </c>
      <c r="B3285" s="49" t="s">
        <v>480</v>
      </c>
    </row>
    <row r="3286" spans="1:2" x14ac:dyDescent="0.25">
      <c r="A3286" s="49">
        <v>639998709</v>
      </c>
      <c r="B3286" s="49" t="s">
        <v>1250</v>
      </c>
    </row>
    <row r="3287" spans="1:2" x14ac:dyDescent="0.25">
      <c r="A3287" s="49">
        <v>685161026</v>
      </c>
      <c r="B3287" s="49" t="s">
        <v>524</v>
      </c>
    </row>
    <row r="3288" spans="1:2" x14ac:dyDescent="0.25">
      <c r="A3288" s="49">
        <v>703759240</v>
      </c>
      <c r="B3288" s="49" t="s">
        <v>1165</v>
      </c>
    </row>
    <row r="3289" spans="1:2" x14ac:dyDescent="0.25">
      <c r="A3289" s="49">
        <v>776789711</v>
      </c>
      <c r="B3289" s="49" t="s">
        <v>1569</v>
      </c>
    </row>
    <row r="3290" spans="1:2" x14ac:dyDescent="0.25">
      <c r="A3290" s="49">
        <v>782127852</v>
      </c>
      <c r="B3290" s="49" t="s">
        <v>1101</v>
      </c>
    </row>
    <row r="3291" spans="1:2" x14ac:dyDescent="0.25">
      <c r="A3291" s="49">
        <v>786353364</v>
      </c>
      <c r="B3291" s="49" t="s">
        <v>1531</v>
      </c>
    </row>
    <row r="3292" spans="1:2" x14ac:dyDescent="0.25">
      <c r="A3292" s="49">
        <v>846621685</v>
      </c>
      <c r="B3292" s="49" t="s">
        <v>835</v>
      </c>
    </row>
    <row r="3293" spans="1:2" x14ac:dyDescent="0.25">
      <c r="A3293" s="49">
        <v>863015608</v>
      </c>
      <c r="B3293" s="49" t="s">
        <v>1612</v>
      </c>
    </row>
    <row r="3294" spans="1:2" x14ac:dyDescent="0.25">
      <c r="A3294" s="49">
        <v>868110330</v>
      </c>
      <c r="B3294" s="49" t="s">
        <v>385</v>
      </c>
    </row>
    <row r="3295" spans="1:2" x14ac:dyDescent="0.25">
      <c r="A3295" s="49">
        <v>877487612</v>
      </c>
      <c r="B3295" s="49" t="s">
        <v>541</v>
      </c>
    </row>
    <row r="3296" spans="1:2" x14ac:dyDescent="0.25">
      <c r="A3296" s="49">
        <v>896798293</v>
      </c>
      <c r="B3296" s="49" t="s">
        <v>1585</v>
      </c>
    </row>
    <row r="3297" spans="1:2" x14ac:dyDescent="0.25">
      <c r="A3297" s="49">
        <v>1111357626</v>
      </c>
      <c r="B3297" s="49" t="s">
        <v>843</v>
      </c>
    </row>
    <row r="3298" spans="1:2" x14ac:dyDescent="0.25">
      <c r="A3298" s="49">
        <v>1339139126</v>
      </c>
      <c r="B3298" s="49" t="s">
        <v>1744</v>
      </c>
    </row>
    <row r="3299" spans="1:2" x14ac:dyDescent="0.25">
      <c r="A3299" s="49">
        <v>1356057826</v>
      </c>
      <c r="B3299" s="49" t="s">
        <v>1808</v>
      </c>
    </row>
    <row r="3300" spans="1:2" x14ac:dyDescent="0.25">
      <c r="A3300" s="49">
        <v>1373211749</v>
      </c>
      <c r="B3300" s="49" t="s">
        <v>102</v>
      </c>
    </row>
    <row r="3301" spans="1:2" x14ac:dyDescent="0.25">
      <c r="A3301" s="49">
        <v>1373198695</v>
      </c>
      <c r="B3301" s="49" t="s">
        <v>1467</v>
      </c>
    </row>
    <row r="3302" spans="1:2" x14ac:dyDescent="0.25">
      <c r="A3302" s="49">
        <v>1375749033</v>
      </c>
      <c r="B3302" s="49" t="s">
        <v>687</v>
      </c>
    </row>
    <row r="3303" spans="1:2" x14ac:dyDescent="0.25">
      <c r="A3303" s="49">
        <v>1377650949</v>
      </c>
      <c r="B3303" s="49" t="s">
        <v>828</v>
      </c>
    </row>
    <row r="3304" spans="1:2" x14ac:dyDescent="0.25">
      <c r="A3304" s="49">
        <v>721131020</v>
      </c>
      <c r="B3304" s="49" t="s">
        <v>877</v>
      </c>
    </row>
    <row r="3305" spans="1:2" x14ac:dyDescent="0.25">
      <c r="A3305" s="49">
        <v>754286226</v>
      </c>
      <c r="B3305" s="49" t="s">
        <v>1623</v>
      </c>
    </row>
    <row r="3306" spans="1:2" x14ac:dyDescent="0.25">
      <c r="A3306" s="49">
        <v>886659966</v>
      </c>
      <c r="B3306" s="49" t="s">
        <v>56</v>
      </c>
    </row>
    <row r="3307" spans="1:2" x14ac:dyDescent="0.25">
      <c r="A3307" s="49">
        <v>758476964</v>
      </c>
      <c r="B3307" s="49" t="s">
        <v>207</v>
      </c>
    </row>
    <row r="3308" spans="1:2" x14ac:dyDescent="0.25">
      <c r="A3308" s="49">
        <v>878916208</v>
      </c>
      <c r="B3308" s="49" t="s">
        <v>177</v>
      </c>
    </row>
    <row r="3309" spans="1:2" x14ac:dyDescent="0.25">
      <c r="A3309" s="49">
        <v>907430723</v>
      </c>
      <c r="B3309" s="49" t="s">
        <v>155</v>
      </c>
    </row>
    <row r="3310" spans="1:2" x14ac:dyDescent="0.25">
      <c r="A3310" s="49">
        <v>909424120</v>
      </c>
      <c r="B3310" s="49" t="s">
        <v>1610</v>
      </c>
    </row>
    <row r="3311" spans="1:2" x14ac:dyDescent="0.25">
      <c r="A3311" s="49">
        <v>917482734</v>
      </c>
      <c r="B3311" s="49" t="s">
        <v>1707</v>
      </c>
    </row>
    <row r="3312" spans="1:2" x14ac:dyDescent="0.25">
      <c r="A3312" s="49">
        <v>781292662</v>
      </c>
      <c r="B3312" s="49" t="s">
        <v>764</v>
      </c>
    </row>
    <row r="3313" spans="1:2" x14ac:dyDescent="0.25">
      <c r="A3313" s="49">
        <v>1133827274</v>
      </c>
      <c r="B3313" s="49" t="s">
        <v>162</v>
      </c>
    </row>
    <row r="3314" spans="1:2" x14ac:dyDescent="0.25">
      <c r="A3314" s="49">
        <v>1134050438</v>
      </c>
      <c r="B3314" s="49" t="s">
        <v>167</v>
      </c>
    </row>
    <row r="3315" spans="1:2" x14ac:dyDescent="0.25">
      <c r="A3315" s="49">
        <v>1341027176</v>
      </c>
      <c r="B3315" s="49" t="s">
        <v>1762</v>
      </c>
    </row>
    <row r="3316" spans="1:2" x14ac:dyDescent="0.25">
      <c r="A3316" s="49">
        <v>620268781</v>
      </c>
      <c r="B3316" s="49" t="s">
        <v>554</v>
      </c>
    </row>
    <row r="3317" spans="1:2" x14ac:dyDescent="0.25">
      <c r="A3317" s="49">
        <v>621572784</v>
      </c>
      <c r="B3317" s="49" t="s">
        <v>1041</v>
      </c>
    </row>
    <row r="3318" spans="1:2" x14ac:dyDescent="0.25">
      <c r="A3318" s="49">
        <v>650774013</v>
      </c>
      <c r="B3318" s="49" t="s">
        <v>135</v>
      </c>
    </row>
    <row r="3319" spans="1:2" x14ac:dyDescent="0.25">
      <c r="A3319" s="49">
        <v>659138364</v>
      </c>
      <c r="B3319" s="49" t="s">
        <v>250</v>
      </c>
    </row>
    <row r="3320" spans="1:2" x14ac:dyDescent="0.25">
      <c r="A3320" s="49">
        <v>759924128</v>
      </c>
      <c r="B3320" s="49" t="s">
        <v>237</v>
      </c>
    </row>
    <row r="3321" spans="1:2" x14ac:dyDescent="0.25">
      <c r="A3321" s="49">
        <v>776792755</v>
      </c>
      <c r="B3321" s="49" t="s">
        <v>371</v>
      </c>
    </row>
    <row r="3322" spans="1:2" x14ac:dyDescent="0.25">
      <c r="A3322" s="49">
        <v>782127695</v>
      </c>
      <c r="B3322" s="49" t="s">
        <v>280</v>
      </c>
    </row>
    <row r="3323" spans="1:2" x14ac:dyDescent="0.25">
      <c r="A3323" s="49">
        <v>821991750</v>
      </c>
      <c r="B3323" s="49" t="s">
        <v>510</v>
      </c>
    </row>
    <row r="3324" spans="1:2" x14ac:dyDescent="0.25">
      <c r="A3324" s="49">
        <v>846627057</v>
      </c>
      <c r="B3324" s="49" t="s">
        <v>830</v>
      </c>
    </row>
    <row r="3325" spans="1:2" x14ac:dyDescent="0.25">
      <c r="A3325" s="49">
        <v>868111858</v>
      </c>
      <c r="B3325" s="49" t="s">
        <v>385</v>
      </c>
    </row>
    <row r="3326" spans="1:2" x14ac:dyDescent="0.25">
      <c r="A3326" s="49">
        <v>899220487</v>
      </c>
      <c r="B3326" s="49" t="s">
        <v>595</v>
      </c>
    </row>
    <row r="3327" spans="1:2" x14ac:dyDescent="0.25">
      <c r="A3327" s="49">
        <v>1111203652</v>
      </c>
      <c r="B3327" s="49" t="s">
        <v>839</v>
      </c>
    </row>
    <row r="3328" spans="1:2" x14ac:dyDescent="0.25">
      <c r="A3328" s="49">
        <v>1119506861</v>
      </c>
      <c r="B3328" s="49" t="s">
        <v>900</v>
      </c>
    </row>
    <row r="3329" spans="1:2" x14ac:dyDescent="0.25">
      <c r="A3329" s="49">
        <v>1155435738</v>
      </c>
      <c r="B3329" s="49" t="s">
        <v>1143</v>
      </c>
    </row>
    <row r="3330" spans="1:2" x14ac:dyDescent="0.25">
      <c r="A3330" s="49">
        <v>1344964195</v>
      </c>
      <c r="B3330" s="49" t="s">
        <v>3659</v>
      </c>
    </row>
    <row r="3331" spans="1:2" x14ac:dyDescent="0.25">
      <c r="A3331" s="49">
        <v>1432320086</v>
      </c>
      <c r="B3331" s="49" t="s">
        <v>101</v>
      </c>
    </row>
    <row r="3332" spans="1:2" x14ac:dyDescent="0.25">
      <c r="A3332" s="49">
        <v>652157130</v>
      </c>
      <c r="B3332" s="49" t="s">
        <v>1058</v>
      </c>
    </row>
    <row r="3333" spans="1:2" x14ac:dyDescent="0.25">
      <c r="A3333" s="49">
        <v>798179858</v>
      </c>
      <c r="B3333" s="49" t="s">
        <v>1563</v>
      </c>
    </row>
    <row r="3334" spans="1:2" x14ac:dyDescent="0.25">
      <c r="A3334" s="49">
        <v>907324165</v>
      </c>
      <c r="B3334" s="49" t="s">
        <v>1395</v>
      </c>
    </row>
    <row r="3335" spans="1:2" x14ac:dyDescent="0.25">
      <c r="A3335" s="49">
        <v>672773622</v>
      </c>
      <c r="B3335" s="49" t="s">
        <v>3658</v>
      </c>
    </row>
    <row r="3336" spans="1:2" x14ac:dyDescent="0.25">
      <c r="A3336" s="49">
        <v>1112231803</v>
      </c>
      <c r="B3336" s="49" t="s">
        <v>1673</v>
      </c>
    </row>
    <row r="3337" spans="1:2" x14ac:dyDescent="0.25">
      <c r="A3337" s="49">
        <v>628958708</v>
      </c>
      <c r="B3337" s="49" t="s">
        <v>1226</v>
      </c>
    </row>
    <row r="3338" spans="1:2" x14ac:dyDescent="0.25">
      <c r="A3338" s="49">
        <v>705354433</v>
      </c>
      <c r="B3338" s="49" t="s">
        <v>505</v>
      </c>
    </row>
    <row r="3339" spans="1:2" x14ac:dyDescent="0.25">
      <c r="A3339" s="49">
        <v>614138601</v>
      </c>
      <c r="B3339" s="49" t="s">
        <v>371</v>
      </c>
    </row>
    <row r="3340" spans="1:2" x14ac:dyDescent="0.25">
      <c r="A3340" s="49">
        <v>614138594</v>
      </c>
      <c r="B3340" s="49" t="s">
        <v>644</v>
      </c>
    </row>
    <row r="3341" spans="1:2" x14ac:dyDescent="0.25">
      <c r="A3341" s="49">
        <v>617322145</v>
      </c>
      <c r="B3341" s="49" t="s">
        <v>452</v>
      </c>
    </row>
    <row r="3342" spans="1:2" x14ac:dyDescent="0.25">
      <c r="A3342" s="49">
        <v>618903520</v>
      </c>
      <c r="B3342" s="49" t="s">
        <v>472</v>
      </c>
    </row>
    <row r="3343" spans="1:2" x14ac:dyDescent="0.25">
      <c r="A3343" s="49">
        <v>672270800</v>
      </c>
      <c r="B3343" s="49" t="s">
        <v>359</v>
      </c>
    </row>
    <row r="3344" spans="1:2" x14ac:dyDescent="0.25">
      <c r="A3344" s="49">
        <v>681948697</v>
      </c>
      <c r="B3344" s="49" t="s">
        <v>378</v>
      </c>
    </row>
    <row r="3345" spans="1:2" x14ac:dyDescent="0.25">
      <c r="A3345" s="49">
        <v>711353599</v>
      </c>
      <c r="B3345" s="49" t="s">
        <v>681</v>
      </c>
    </row>
    <row r="3346" spans="1:2" x14ac:dyDescent="0.25">
      <c r="A3346" s="49">
        <v>714234381</v>
      </c>
      <c r="B3346" s="49" t="s">
        <v>118</v>
      </c>
    </row>
    <row r="3347" spans="1:2" x14ac:dyDescent="0.25">
      <c r="A3347" s="49">
        <v>717824909</v>
      </c>
      <c r="B3347" s="49" t="s">
        <v>829</v>
      </c>
    </row>
    <row r="3348" spans="1:2" x14ac:dyDescent="0.25">
      <c r="A3348" s="49">
        <v>744119422</v>
      </c>
      <c r="B3348" s="49" t="s">
        <v>653</v>
      </c>
    </row>
    <row r="3349" spans="1:2" x14ac:dyDescent="0.25">
      <c r="A3349" s="49">
        <v>777653172</v>
      </c>
      <c r="B3349" s="49" t="s">
        <v>333</v>
      </c>
    </row>
    <row r="3350" spans="1:2" x14ac:dyDescent="0.25">
      <c r="A3350" s="49">
        <v>777588519</v>
      </c>
      <c r="B3350" s="49" t="s">
        <v>694</v>
      </c>
    </row>
    <row r="3351" spans="1:2" x14ac:dyDescent="0.25">
      <c r="A3351" s="49">
        <v>780669336</v>
      </c>
      <c r="B3351" s="49" t="s">
        <v>1078</v>
      </c>
    </row>
    <row r="3352" spans="1:2" x14ac:dyDescent="0.25">
      <c r="A3352" s="49">
        <v>782267465</v>
      </c>
      <c r="B3352" s="49" t="s">
        <v>363</v>
      </c>
    </row>
    <row r="3353" spans="1:2" x14ac:dyDescent="0.25">
      <c r="A3353" s="49">
        <v>783657036</v>
      </c>
      <c r="B3353" s="49" t="s">
        <v>619</v>
      </c>
    </row>
    <row r="3354" spans="1:2" x14ac:dyDescent="0.25">
      <c r="A3354" s="49">
        <v>860108229</v>
      </c>
      <c r="B3354" s="49" t="s">
        <v>1652</v>
      </c>
    </row>
    <row r="3355" spans="1:2" x14ac:dyDescent="0.25">
      <c r="A3355" s="49">
        <v>871125013</v>
      </c>
      <c r="B3355" s="49" t="s">
        <v>1287</v>
      </c>
    </row>
    <row r="3356" spans="1:2" x14ac:dyDescent="0.25">
      <c r="A3356" s="49">
        <v>886300219</v>
      </c>
      <c r="B3356" s="49" t="s">
        <v>1686</v>
      </c>
    </row>
    <row r="3357" spans="1:2" x14ac:dyDescent="0.25">
      <c r="A3357" s="49">
        <v>928758750</v>
      </c>
      <c r="B3357" s="49" t="s">
        <v>1390</v>
      </c>
    </row>
    <row r="3358" spans="1:2" x14ac:dyDescent="0.25">
      <c r="A3358" s="49">
        <v>929150223</v>
      </c>
      <c r="B3358" s="49" t="s">
        <v>1508</v>
      </c>
    </row>
    <row r="3359" spans="1:2" x14ac:dyDescent="0.25">
      <c r="A3359" s="49">
        <v>1103715488</v>
      </c>
      <c r="B3359" s="49" t="s">
        <v>867</v>
      </c>
    </row>
    <row r="3360" spans="1:2" x14ac:dyDescent="0.25">
      <c r="A3360" s="49">
        <v>1114750289</v>
      </c>
      <c r="B3360" s="49" t="s">
        <v>846</v>
      </c>
    </row>
    <row r="3361" spans="1:2" x14ac:dyDescent="0.25">
      <c r="A3361" s="49">
        <v>1119737896</v>
      </c>
      <c r="B3361" s="49" t="s">
        <v>1099</v>
      </c>
    </row>
    <row r="3362" spans="1:2" x14ac:dyDescent="0.25">
      <c r="A3362" s="49">
        <v>1133104839</v>
      </c>
      <c r="B3362" s="49" t="s">
        <v>3656</v>
      </c>
    </row>
    <row r="3363" spans="1:2" x14ac:dyDescent="0.25">
      <c r="A3363" s="49">
        <v>1142373750</v>
      </c>
      <c r="B3363" s="49" t="s">
        <v>196</v>
      </c>
    </row>
    <row r="3364" spans="1:2" x14ac:dyDescent="0.25">
      <c r="A3364" s="49">
        <v>1386257322</v>
      </c>
      <c r="B3364" s="49" t="s">
        <v>1028</v>
      </c>
    </row>
    <row r="3365" spans="1:2" x14ac:dyDescent="0.25">
      <c r="A3365" s="49">
        <v>1432342736</v>
      </c>
      <c r="B3365" s="49" t="s">
        <v>675</v>
      </c>
    </row>
    <row r="3366" spans="1:2" x14ac:dyDescent="0.25">
      <c r="A3366" s="49">
        <v>1374995095</v>
      </c>
      <c r="B3366" s="49" t="s">
        <v>3675</v>
      </c>
    </row>
    <row r="3367" spans="1:2" x14ac:dyDescent="0.25">
      <c r="A3367" s="49">
        <v>845929575</v>
      </c>
      <c r="B3367" s="49" t="s">
        <v>476</v>
      </c>
    </row>
    <row r="3368" spans="1:2" x14ac:dyDescent="0.25">
      <c r="A3368" s="49">
        <v>907431519</v>
      </c>
      <c r="B3368" s="49" t="s">
        <v>1393</v>
      </c>
    </row>
    <row r="3369" spans="1:2" x14ac:dyDescent="0.25">
      <c r="A3369" s="49">
        <v>668490921</v>
      </c>
      <c r="B3369" s="49" t="s">
        <v>3654</v>
      </c>
    </row>
    <row r="3370" spans="1:2" x14ac:dyDescent="0.25">
      <c r="A3370" s="49">
        <v>689717992</v>
      </c>
      <c r="B3370" s="49" t="s">
        <v>1303</v>
      </c>
    </row>
    <row r="3371" spans="1:2" x14ac:dyDescent="0.25">
      <c r="A3371" s="49">
        <v>1121242522</v>
      </c>
      <c r="B3371" s="49" t="s">
        <v>1680</v>
      </c>
    </row>
    <row r="3372" spans="1:2" x14ac:dyDescent="0.25">
      <c r="A3372" s="49">
        <v>1127614816</v>
      </c>
      <c r="B3372" s="49" t="s">
        <v>3664</v>
      </c>
    </row>
    <row r="3373" spans="1:2" x14ac:dyDescent="0.25">
      <c r="A3373" s="49">
        <v>1130860284</v>
      </c>
      <c r="B3373" s="49" t="s">
        <v>1107</v>
      </c>
    </row>
    <row r="3374" spans="1:2" x14ac:dyDescent="0.25">
      <c r="A3374" s="49">
        <v>1134222304</v>
      </c>
      <c r="B3374" s="49" t="s">
        <v>171</v>
      </c>
    </row>
    <row r="3375" spans="1:2" x14ac:dyDescent="0.25">
      <c r="A3375" s="49">
        <v>1179032325</v>
      </c>
      <c r="B3375" s="49" t="s">
        <v>1391</v>
      </c>
    </row>
    <row r="3376" spans="1:2" x14ac:dyDescent="0.25">
      <c r="A3376" s="49">
        <v>1321597337</v>
      </c>
      <c r="B3376" s="49" t="s">
        <v>1740</v>
      </c>
    </row>
    <row r="3377" spans="1:2" x14ac:dyDescent="0.25">
      <c r="A3377" s="49">
        <v>1438122520</v>
      </c>
      <c r="B3377" s="49" t="s">
        <v>3672</v>
      </c>
    </row>
    <row r="3378" spans="1:2" x14ac:dyDescent="0.25">
      <c r="A3378" s="49">
        <v>648281396</v>
      </c>
      <c r="B3378" s="49" t="s">
        <v>744</v>
      </c>
    </row>
    <row r="3379" spans="1:2" x14ac:dyDescent="0.25">
      <c r="A3379" s="49">
        <v>674251713</v>
      </c>
      <c r="B3379" s="49" t="s">
        <v>892</v>
      </c>
    </row>
    <row r="3380" spans="1:2" x14ac:dyDescent="0.25">
      <c r="A3380" s="49">
        <v>762435351</v>
      </c>
      <c r="B3380" s="49" t="s">
        <v>295</v>
      </c>
    </row>
    <row r="3381" spans="1:2" x14ac:dyDescent="0.25">
      <c r="A3381" s="49">
        <v>777655442</v>
      </c>
      <c r="B3381" s="49" t="s">
        <v>321</v>
      </c>
    </row>
    <row r="3382" spans="1:2" x14ac:dyDescent="0.25">
      <c r="A3382" s="49">
        <v>782127722</v>
      </c>
      <c r="B3382" s="49" t="s">
        <v>1100</v>
      </c>
    </row>
    <row r="3383" spans="1:2" x14ac:dyDescent="0.25">
      <c r="A3383" s="49">
        <v>789232280</v>
      </c>
      <c r="B3383" s="49" t="s">
        <v>1653</v>
      </c>
    </row>
    <row r="3384" spans="1:2" x14ac:dyDescent="0.25">
      <c r="A3384" s="49">
        <v>836747792</v>
      </c>
      <c r="B3384" s="49" t="s">
        <v>1534</v>
      </c>
    </row>
    <row r="3385" spans="1:2" x14ac:dyDescent="0.25">
      <c r="A3385" s="49">
        <v>861879555</v>
      </c>
      <c r="B3385" s="49" t="s">
        <v>1504</v>
      </c>
    </row>
    <row r="3386" spans="1:2" x14ac:dyDescent="0.25">
      <c r="A3386" s="49">
        <v>865762131</v>
      </c>
      <c r="B3386" s="49" t="s">
        <v>1379</v>
      </c>
    </row>
    <row r="3387" spans="1:2" x14ac:dyDescent="0.25">
      <c r="A3387" s="49">
        <v>868106204</v>
      </c>
      <c r="B3387" s="49" t="s">
        <v>382</v>
      </c>
    </row>
    <row r="3388" spans="1:2" x14ac:dyDescent="0.25">
      <c r="A3388" s="49">
        <v>869244404</v>
      </c>
      <c r="B3388" s="49" t="s">
        <v>394</v>
      </c>
    </row>
    <row r="3389" spans="1:2" x14ac:dyDescent="0.25">
      <c r="A3389" s="49">
        <v>929152806</v>
      </c>
      <c r="B3389" s="49" t="s">
        <v>1600</v>
      </c>
    </row>
    <row r="3390" spans="1:2" x14ac:dyDescent="0.25">
      <c r="A3390" s="49">
        <v>1103715609</v>
      </c>
      <c r="B3390" s="49" t="s">
        <v>868</v>
      </c>
    </row>
    <row r="3391" spans="1:2" x14ac:dyDescent="0.25">
      <c r="A3391" s="49">
        <v>1111142349</v>
      </c>
      <c r="B3391" s="49" t="s">
        <v>841</v>
      </c>
    </row>
    <row r="3392" spans="1:2" x14ac:dyDescent="0.25">
      <c r="A3392" s="49">
        <v>1114798161</v>
      </c>
      <c r="B3392" s="49" t="s">
        <v>845</v>
      </c>
    </row>
    <row r="3393" spans="1:2" x14ac:dyDescent="0.25">
      <c r="A3393" s="49">
        <v>1115017792</v>
      </c>
      <c r="B3393" s="49" t="s">
        <v>1434</v>
      </c>
    </row>
    <row r="3394" spans="1:2" x14ac:dyDescent="0.25">
      <c r="A3394" s="49">
        <v>1142543262</v>
      </c>
      <c r="B3394" s="49" t="s">
        <v>194</v>
      </c>
    </row>
    <row r="3395" spans="1:2" x14ac:dyDescent="0.25">
      <c r="A3395" s="49">
        <v>1207276563</v>
      </c>
      <c r="B3395" s="49" t="s">
        <v>1608</v>
      </c>
    </row>
    <row r="3396" spans="1:2" x14ac:dyDescent="0.25">
      <c r="A3396" s="49">
        <v>1345781992</v>
      </c>
      <c r="B3396" s="49" t="s">
        <v>1787</v>
      </c>
    </row>
    <row r="3397" spans="1:2" x14ac:dyDescent="0.25">
      <c r="A3397" s="49">
        <v>1366109829</v>
      </c>
      <c r="B3397" s="49" t="s">
        <v>1822</v>
      </c>
    </row>
    <row r="3398" spans="1:2" x14ac:dyDescent="0.25">
      <c r="A3398" s="49">
        <v>1373168235</v>
      </c>
      <c r="B3398" s="49" t="s">
        <v>823</v>
      </c>
    </row>
    <row r="3399" spans="1:2" x14ac:dyDescent="0.25">
      <c r="A3399" s="49">
        <v>675039132</v>
      </c>
      <c r="B3399" s="49" t="s">
        <v>1684</v>
      </c>
    </row>
    <row r="3400" spans="1:2" x14ac:dyDescent="0.25">
      <c r="A3400" s="49">
        <v>766943715</v>
      </c>
      <c r="B3400" s="49" t="s">
        <v>201</v>
      </c>
    </row>
    <row r="3401" spans="1:2" x14ac:dyDescent="0.25">
      <c r="A3401" s="49">
        <v>846082976</v>
      </c>
      <c r="B3401" s="49" t="s">
        <v>432</v>
      </c>
    </row>
    <row r="3402" spans="1:2" x14ac:dyDescent="0.25">
      <c r="A3402" s="49">
        <v>616412664</v>
      </c>
      <c r="B3402" s="49" t="s">
        <v>1026</v>
      </c>
    </row>
    <row r="3403" spans="1:2" x14ac:dyDescent="0.25">
      <c r="A3403" s="49">
        <v>921397889</v>
      </c>
      <c r="B3403" s="49" t="s">
        <v>206</v>
      </c>
    </row>
    <row r="3404" spans="1:2" x14ac:dyDescent="0.25">
      <c r="A3404" s="49">
        <v>648180758</v>
      </c>
      <c r="B3404" s="49" t="s">
        <v>729</v>
      </c>
    </row>
    <row r="3405" spans="1:2" x14ac:dyDescent="0.25">
      <c r="A3405" s="49">
        <v>754518501</v>
      </c>
      <c r="B3405" s="49" t="s">
        <v>998</v>
      </c>
    </row>
    <row r="3406" spans="1:2" x14ac:dyDescent="0.25">
      <c r="A3406" s="49">
        <v>1127606655</v>
      </c>
      <c r="B3406" s="49" t="s">
        <v>3664</v>
      </c>
    </row>
    <row r="3407" spans="1:2" x14ac:dyDescent="0.25">
      <c r="A3407" s="49">
        <v>1134014757</v>
      </c>
      <c r="B3407" s="49" t="s">
        <v>168</v>
      </c>
    </row>
    <row r="3408" spans="1:2" x14ac:dyDescent="0.25">
      <c r="A3408" s="49">
        <v>1202326388</v>
      </c>
      <c r="B3408" s="49" t="s">
        <v>1382</v>
      </c>
    </row>
    <row r="3409" spans="1:2" x14ac:dyDescent="0.25">
      <c r="A3409" s="49">
        <v>609954480</v>
      </c>
      <c r="B3409" s="49" t="s">
        <v>1419</v>
      </c>
    </row>
    <row r="3410" spans="1:2" x14ac:dyDescent="0.25">
      <c r="A3410" s="49">
        <v>648180012</v>
      </c>
      <c r="B3410" s="49" t="s">
        <v>1364</v>
      </c>
    </row>
    <row r="3411" spans="1:2" x14ac:dyDescent="0.25">
      <c r="A3411" s="49">
        <v>660998598</v>
      </c>
      <c r="B3411" s="49" t="s">
        <v>1595</v>
      </c>
    </row>
    <row r="3412" spans="1:2" x14ac:dyDescent="0.25">
      <c r="A3412" s="49">
        <v>717830978</v>
      </c>
      <c r="B3412" s="49" t="s">
        <v>825</v>
      </c>
    </row>
    <row r="3413" spans="1:2" x14ac:dyDescent="0.25">
      <c r="A3413" s="49">
        <v>739637646</v>
      </c>
      <c r="B3413" s="49" t="s">
        <v>3650</v>
      </c>
    </row>
    <row r="3414" spans="1:2" x14ac:dyDescent="0.25">
      <c r="A3414" s="49">
        <v>767512721</v>
      </c>
      <c r="B3414" s="49" t="s">
        <v>216</v>
      </c>
    </row>
    <row r="3415" spans="1:2" x14ac:dyDescent="0.25">
      <c r="A3415" s="49">
        <v>776433292</v>
      </c>
      <c r="B3415" s="49" t="s">
        <v>1517</v>
      </c>
    </row>
    <row r="3416" spans="1:2" x14ac:dyDescent="0.25">
      <c r="A3416" s="49">
        <v>776561381</v>
      </c>
      <c r="B3416" s="49" t="s">
        <v>582</v>
      </c>
    </row>
    <row r="3417" spans="1:2" x14ac:dyDescent="0.25">
      <c r="A3417" s="49">
        <v>682843283</v>
      </c>
      <c r="B3417" s="49" t="s">
        <v>582</v>
      </c>
    </row>
    <row r="3418" spans="1:2" x14ac:dyDescent="0.25">
      <c r="A3418" s="49">
        <v>776792065</v>
      </c>
      <c r="B3418" s="49" t="s">
        <v>937</v>
      </c>
    </row>
    <row r="3419" spans="1:2" x14ac:dyDescent="0.25">
      <c r="A3419" s="49">
        <v>781141275</v>
      </c>
      <c r="B3419" s="49" t="s">
        <v>729</v>
      </c>
    </row>
    <row r="3420" spans="1:2" x14ac:dyDescent="0.25">
      <c r="A3420" s="49">
        <v>794995395</v>
      </c>
      <c r="B3420" s="49" t="s">
        <v>1049</v>
      </c>
    </row>
    <row r="3421" spans="1:2" x14ac:dyDescent="0.25">
      <c r="A3421" s="49">
        <v>826588342</v>
      </c>
      <c r="B3421" s="49" t="s">
        <v>1590</v>
      </c>
    </row>
    <row r="3422" spans="1:2" x14ac:dyDescent="0.25">
      <c r="A3422" s="49">
        <v>835625041</v>
      </c>
      <c r="B3422" s="49" t="s">
        <v>1354</v>
      </c>
    </row>
    <row r="3423" spans="1:2" x14ac:dyDescent="0.25">
      <c r="A3423" s="49">
        <v>842702362</v>
      </c>
      <c r="B3423" s="49" t="s">
        <v>1067</v>
      </c>
    </row>
    <row r="3424" spans="1:2" x14ac:dyDescent="0.25">
      <c r="A3424" s="49">
        <v>1131105895</v>
      </c>
      <c r="B3424" s="49" t="s">
        <v>107</v>
      </c>
    </row>
    <row r="3425" spans="1:2" x14ac:dyDescent="0.25">
      <c r="A3425" s="49">
        <v>1155585397</v>
      </c>
      <c r="B3425" s="49" t="s">
        <v>1153</v>
      </c>
    </row>
    <row r="3426" spans="1:2" x14ac:dyDescent="0.25">
      <c r="A3426" s="49">
        <v>1174517411</v>
      </c>
      <c r="B3426" s="49" t="s">
        <v>1552</v>
      </c>
    </row>
    <row r="3427" spans="1:2" x14ac:dyDescent="0.25">
      <c r="A3427" s="49">
        <v>1188013365</v>
      </c>
      <c r="B3427" s="49" t="s">
        <v>921</v>
      </c>
    </row>
    <row r="3428" spans="1:2" x14ac:dyDescent="0.25">
      <c r="A3428" s="49">
        <v>1345525411</v>
      </c>
      <c r="B3428" s="49" t="s">
        <v>1789</v>
      </c>
    </row>
    <row r="3429" spans="1:2" x14ac:dyDescent="0.25">
      <c r="A3429" s="49">
        <v>1363372491</v>
      </c>
      <c r="B3429" s="49" t="s">
        <v>1820</v>
      </c>
    </row>
    <row r="3430" spans="1:2" x14ac:dyDescent="0.25">
      <c r="A3430" s="49">
        <v>1369349303</v>
      </c>
      <c r="B3430" s="49" t="s">
        <v>1832</v>
      </c>
    </row>
    <row r="3431" spans="1:2" x14ac:dyDescent="0.25">
      <c r="A3431" s="49">
        <v>1373062761</v>
      </c>
      <c r="B3431" s="49" t="s">
        <v>1557</v>
      </c>
    </row>
    <row r="3432" spans="1:2" x14ac:dyDescent="0.25">
      <c r="A3432" s="49">
        <v>789229186</v>
      </c>
      <c r="B3432" s="49" t="s">
        <v>1638</v>
      </c>
    </row>
    <row r="3433" spans="1:2" x14ac:dyDescent="0.25">
      <c r="A3433" s="49">
        <v>839674608</v>
      </c>
      <c r="B3433" s="49" t="s">
        <v>1135</v>
      </c>
    </row>
    <row r="3434" spans="1:2" x14ac:dyDescent="0.25">
      <c r="A3434" s="49">
        <v>690450489</v>
      </c>
      <c r="B3434" s="49" t="s">
        <v>758</v>
      </c>
    </row>
    <row r="3435" spans="1:2" x14ac:dyDescent="0.25">
      <c r="A3435" s="49">
        <v>906193188</v>
      </c>
      <c r="B3435" s="49" t="s">
        <v>1681</v>
      </c>
    </row>
    <row r="3436" spans="1:2" x14ac:dyDescent="0.25">
      <c r="A3436" s="49">
        <v>756902699</v>
      </c>
      <c r="B3436" s="49" t="s">
        <v>993</v>
      </c>
    </row>
    <row r="3437" spans="1:2" x14ac:dyDescent="0.25">
      <c r="A3437" s="49">
        <v>1162483427</v>
      </c>
      <c r="B3437" s="49" t="s">
        <v>1620</v>
      </c>
    </row>
    <row r="3438" spans="1:2" x14ac:dyDescent="0.25">
      <c r="A3438" s="49">
        <v>1359572043</v>
      </c>
      <c r="B3438" s="49" t="s">
        <v>1814</v>
      </c>
    </row>
    <row r="3439" spans="1:2" x14ac:dyDescent="0.25">
      <c r="A3439" s="49">
        <v>605724040</v>
      </c>
      <c r="B3439" s="49" t="s">
        <v>326</v>
      </c>
    </row>
    <row r="3440" spans="1:2" x14ac:dyDescent="0.25">
      <c r="A3440" s="49">
        <v>689253266</v>
      </c>
      <c r="B3440" s="49" t="s">
        <v>1258</v>
      </c>
    </row>
    <row r="3441" spans="1:2" x14ac:dyDescent="0.25">
      <c r="A3441" s="49">
        <v>690440842</v>
      </c>
      <c r="B3441" s="49" t="s">
        <v>1331</v>
      </c>
    </row>
    <row r="3442" spans="1:2" x14ac:dyDescent="0.25">
      <c r="A3442" s="49">
        <v>767526776</v>
      </c>
      <c r="B3442" s="49" t="s">
        <v>215</v>
      </c>
    </row>
    <row r="3443" spans="1:2" x14ac:dyDescent="0.25">
      <c r="A3443" s="49">
        <v>776412178</v>
      </c>
      <c r="B3443" s="49" t="s">
        <v>1062</v>
      </c>
    </row>
    <row r="3444" spans="1:2" x14ac:dyDescent="0.25">
      <c r="A3444" s="49">
        <v>776752019</v>
      </c>
      <c r="B3444" s="49" t="s">
        <v>1262</v>
      </c>
    </row>
    <row r="3445" spans="1:2" x14ac:dyDescent="0.25">
      <c r="A3445" s="49">
        <v>784484793</v>
      </c>
      <c r="B3445" s="49" t="s">
        <v>705</v>
      </c>
    </row>
    <row r="3446" spans="1:2" x14ac:dyDescent="0.25">
      <c r="A3446" s="49">
        <v>800351801</v>
      </c>
      <c r="B3446" s="49" t="s">
        <v>255</v>
      </c>
    </row>
    <row r="3447" spans="1:2" x14ac:dyDescent="0.25">
      <c r="A3447" s="49">
        <v>800282488</v>
      </c>
      <c r="B3447" s="49" t="s">
        <v>931</v>
      </c>
    </row>
    <row r="3448" spans="1:2" x14ac:dyDescent="0.25">
      <c r="A3448" s="49">
        <v>833875139</v>
      </c>
      <c r="B3448" s="49" t="s">
        <v>1645</v>
      </c>
    </row>
    <row r="3449" spans="1:2" x14ac:dyDescent="0.25">
      <c r="A3449" s="49">
        <v>866753457</v>
      </c>
      <c r="B3449" s="49" t="s">
        <v>3657</v>
      </c>
    </row>
    <row r="3450" spans="1:2" x14ac:dyDescent="0.25">
      <c r="A3450" s="49">
        <v>901671456</v>
      </c>
      <c r="B3450" s="49" t="s">
        <v>1518</v>
      </c>
    </row>
    <row r="3451" spans="1:2" x14ac:dyDescent="0.25">
      <c r="A3451" s="49">
        <v>1155433682</v>
      </c>
      <c r="B3451" s="49" t="s">
        <v>1149</v>
      </c>
    </row>
    <row r="3452" spans="1:2" x14ac:dyDescent="0.25">
      <c r="A3452" s="49">
        <v>1281938122</v>
      </c>
      <c r="B3452" s="49" t="s">
        <v>1599</v>
      </c>
    </row>
    <row r="3453" spans="1:2" x14ac:dyDescent="0.25">
      <c r="A3453" s="49">
        <v>1359798230</v>
      </c>
      <c r="B3453" s="49" t="s">
        <v>1815</v>
      </c>
    </row>
    <row r="3454" spans="1:2" x14ac:dyDescent="0.25">
      <c r="A3454" s="49">
        <v>1379430361</v>
      </c>
      <c r="B3454" s="49" t="s">
        <v>1296</v>
      </c>
    </row>
    <row r="3455" spans="1:2" x14ac:dyDescent="0.25">
      <c r="A3455" s="49">
        <v>781931763</v>
      </c>
      <c r="B3455" s="49" t="s">
        <v>1207</v>
      </c>
    </row>
    <row r="3456" spans="1:2" x14ac:dyDescent="0.25">
      <c r="A3456" s="49">
        <v>823065878</v>
      </c>
      <c r="B3456" s="49" t="s">
        <v>1562</v>
      </c>
    </row>
    <row r="3457" spans="1:2" x14ac:dyDescent="0.25">
      <c r="A3457" s="49">
        <v>639783385</v>
      </c>
      <c r="B3457" s="49" t="s">
        <v>1550</v>
      </c>
    </row>
    <row r="3458" spans="1:2" x14ac:dyDescent="0.25">
      <c r="A3458" s="49">
        <v>682705344</v>
      </c>
      <c r="B3458" s="49" t="s">
        <v>586</v>
      </c>
    </row>
    <row r="3459" spans="1:2" x14ac:dyDescent="0.25">
      <c r="A3459" s="49">
        <v>878915819</v>
      </c>
      <c r="B3459" s="49" t="s">
        <v>179</v>
      </c>
    </row>
    <row r="3460" spans="1:2" x14ac:dyDescent="0.25">
      <c r="A3460" s="49">
        <v>923798400</v>
      </c>
      <c r="B3460" s="49" t="s">
        <v>927</v>
      </c>
    </row>
    <row r="3461" spans="1:2" x14ac:dyDescent="0.25">
      <c r="A3461" s="49">
        <v>648175449</v>
      </c>
      <c r="B3461" s="49" t="s">
        <v>468</v>
      </c>
    </row>
    <row r="3462" spans="1:2" x14ac:dyDescent="0.25">
      <c r="A3462" s="49">
        <v>1110302980</v>
      </c>
      <c r="B3462" s="49" t="s">
        <v>773</v>
      </c>
    </row>
    <row r="3463" spans="1:2" x14ac:dyDescent="0.25">
      <c r="A3463" s="49">
        <v>1169898298</v>
      </c>
      <c r="B3463" s="49" t="s">
        <v>882</v>
      </c>
    </row>
    <row r="3464" spans="1:2" x14ac:dyDescent="0.25">
      <c r="A3464" s="49">
        <v>714418959</v>
      </c>
      <c r="B3464" s="49" t="s">
        <v>66</v>
      </c>
    </row>
    <row r="3465" spans="1:2" x14ac:dyDescent="0.25">
      <c r="A3465" s="49">
        <v>608894985</v>
      </c>
      <c r="B3465" s="49" t="s">
        <v>284</v>
      </c>
    </row>
    <row r="3466" spans="1:2" x14ac:dyDescent="0.25">
      <c r="A3466" s="49">
        <v>667566932</v>
      </c>
      <c r="B3466" s="49" t="s">
        <v>1306</v>
      </c>
    </row>
    <row r="3467" spans="1:2" x14ac:dyDescent="0.25">
      <c r="A3467" s="49">
        <v>738469705</v>
      </c>
      <c r="B3467" s="49" t="s">
        <v>597</v>
      </c>
    </row>
    <row r="3468" spans="1:2" x14ac:dyDescent="0.25">
      <c r="A3468" s="49">
        <v>769138808</v>
      </c>
      <c r="B3468" s="49" t="s">
        <v>517</v>
      </c>
    </row>
    <row r="3469" spans="1:2" x14ac:dyDescent="0.25">
      <c r="A3469" s="49">
        <v>770046458</v>
      </c>
      <c r="B3469" s="49" t="s">
        <v>706</v>
      </c>
    </row>
    <row r="3470" spans="1:2" x14ac:dyDescent="0.25">
      <c r="A3470" s="49">
        <v>776564085</v>
      </c>
      <c r="B3470" s="49" t="s">
        <v>568</v>
      </c>
    </row>
    <row r="3471" spans="1:2" x14ac:dyDescent="0.25">
      <c r="A3471" s="49">
        <v>778005278</v>
      </c>
      <c r="B3471" s="49" t="s">
        <v>504</v>
      </c>
    </row>
    <row r="3472" spans="1:2" x14ac:dyDescent="0.25">
      <c r="A3472" s="49">
        <v>778432839</v>
      </c>
      <c r="B3472" s="49" t="s">
        <v>573</v>
      </c>
    </row>
    <row r="3473" spans="1:2" x14ac:dyDescent="0.25">
      <c r="A3473" s="49">
        <v>778431870</v>
      </c>
      <c r="B3473" s="49" t="s">
        <v>674</v>
      </c>
    </row>
    <row r="3474" spans="1:2" x14ac:dyDescent="0.25">
      <c r="A3474" s="49">
        <v>780835669</v>
      </c>
      <c r="B3474" s="49" t="s">
        <v>418</v>
      </c>
    </row>
    <row r="3475" spans="1:2" x14ac:dyDescent="0.25">
      <c r="A3475" s="49">
        <v>781798937</v>
      </c>
      <c r="B3475" s="49" t="s">
        <v>129</v>
      </c>
    </row>
    <row r="3476" spans="1:2" x14ac:dyDescent="0.25">
      <c r="A3476" s="49">
        <v>801301241</v>
      </c>
      <c r="B3476" s="49" t="s">
        <v>1237</v>
      </c>
    </row>
    <row r="3477" spans="1:2" x14ac:dyDescent="0.25">
      <c r="A3477" s="49">
        <v>907416036</v>
      </c>
      <c r="B3477" s="49" t="s">
        <v>871</v>
      </c>
    </row>
    <row r="3478" spans="1:2" x14ac:dyDescent="0.25">
      <c r="A3478" s="49">
        <v>919484678</v>
      </c>
      <c r="B3478" s="49" t="s">
        <v>82</v>
      </c>
    </row>
    <row r="3479" spans="1:2" x14ac:dyDescent="0.25">
      <c r="A3479" s="49">
        <v>928531760</v>
      </c>
      <c r="B3479" s="49" t="s">
        <v>207</v>
      </c>
    </row>
    <row r="3480" spans="1:2" x14ac:dyDescent="0.25">
      <c r="A3480" s="49">
        <v>1103373860</v>
      </c>
      <c r="B3480" s="49" t="s">
        <v>858</v>
      </c>
    </row>
    <row r="3481" spans="1:2" x14ac:dyDescent="0.25">
      <c r="A3481" s="49">
        <v>1133133332</v>
      </c>
      <c r="B3481" s="49" t="s">
        <v>1672</v>
      </c>
    </row>
    <row r="3482" spans="1:2" x14ac:dyDescent="0.25">
      <c r="A3482" s="49">
        <v>1136507400</v>
      </c>
      <c r="B3482" s="49" t="s">
        <v>920</v>
      </c>
    </row>
    <row r="3483" spans="1:2" x14ac:dyDescent="0.25">
      <c r="A3483" s="49">
        <v>1172482743</v>
      </c>
      <c r="B3483" s="49" t="s">
        <v>1243</v>
      </c>
    </row>
    <row r="3484" spans="1:2" x14ac:dyDescent="0.25">
      <c r="A3484" s="49">
        <v>1338780852</v>
      </c>
      <c r="B3484" s="49" t="s">
        <v>1741</v>
      </c>
    </row>
    <row r="3485" spans="1:2" x14ac:dyDescent="0.25">
      <c r="A3485" s="49">
        <v>1340185903</v>
      </c>
      <c r="B3485" s="49" t="s">
        <v>1752</v>
      </c>
    </row>
    <row r="3486" spans="1:2" x14ac:dyDescent="0.25">
      <c r="A3486" s="49">
        <v>1341023286</v>
      </c>
      <c r="B3486" s="49" t="s">
        <v>1758</v>
      </c>
    </row>
    <row r="3487" spans="1:2" x14ac:dyDescent="0.25">
      <c r="A3487" s="49">
        <v>1342797501</v>
      </c>
      <c r="B3487" s="49" t="s">
        <v>1771</v>
      </c>
    </row>
    <row r="3488" spans="1:2" x14ac:dyDescent="0.25">
      <c r="A3488" s="49">
        <v>1345293683</v>
      </c>
      <c r="B3488" s="49" t="s">
        <v>67</v>
      </c>
    </row>
    <row r="3489" spans="1:2" x14ac:dyDescent="0.25">
      <c r="A3489" s="49">
        <v>1346622959</v>
      </c>
      <c r="B3489" s="49" t="s">
        <v>1803</v>
      </c>
    </row>
    <row r="3490" spans="1:2" x14ac:dyDescent="0.25">
      <c r="A3490" s="49">
        <v>1381876130</v>
      </c>
      <c r="B3490" s="49" t="s">
        <v>939</v>
      </c>
    </row>
    <row r="3491" spans="1:2" x14ac:dyDescent="0.25">
      <c r="A3491" s="49">
        <v>1447381108</v>
      </c>
      <c r="B3491" s="49" t="s">
        <v>108</v>
      </c>
    </row>
    <row r="3492" spans="1:2" x14ac:dyDescent="0.25">
      <c r="A3492" s="49">
        <v>735483831</v>
      </c>
      <c r="B3492" s="49" t="s">
        <v>962</v>
      </c>
    </row>
    <row r="3493" spans="1:2" x14ac:dyDescent="0.25">
      <c r="A3493" s="49">
        <v>845672777</v>
      </c>
      <c r="B3493" s="49" t="s">
        <v>1536</v>
      </c>
    </row>
    <row r="3494" spans="1:2" x14ac:dyDescent="0.25">
      <c r="A3494" s="49">
        <v>780835528</v>
      </c>
      <c r="B3494" s="49" t="s">
        <v>458</v>
      </c>
    </row>
    <row r="3495" spans="1:2" x14ac:dyDescent="0.25">
      <c r="A3495" s="49">
        <v>935731807</v>
      </c>
      <c r="B3495" s="49" t="s">
        <v>1407</v>
      </c>
    </row>
    <row r="3496" spans="1:2" x14ac:dyDescent="0.25">
      <c r="A3496" s="49">
        <v>618031503</v>
      </c>
      <c r="B3496" s="49" t="s">
        <v>1688</v>
      </c>
    </row>
    <row r="3497" spans="1:2" x14ac:dyDescent="0.25">
      <c r="A3497" s="49">
        <v>618906299</v>
      </c>
      <c r="B3497" s="49" t="s">
        <v>483</v>
      </c>
    </row>
    <row r="3498" spans="1:2" x14ac:dyDescent="0.25">
      <c r="A3498" s="49">
        <v>668875861</v>
      </c>
      <c r="B3498" s="49" t="s">
        <v>267</v>
      </c>
    </row>
    <row r="3499" spans="1:2" x14ac:dyDescent="0.25">
      <c r="A3499" s="49">
        <v>676814616</v>
      </c>
      <c r="B3499" s="49" t="s">
        <v>1100</v>
      </c>
    </row>
    <row r="3500" spans="1:2" x14ac:dyDescent="0.25">
      <c r="A3500" s="49">
        <v>709843022</v>
      </c>
      <c r="B3500" s="49" t="s">
        <v>965</v>
      </c>
    </row>
    <row r="3501" spans="1:2" x14ac:dyDescent="0.25">
      <c r="A3501" s="49">
        <v>723103635</v>
      </c>
      <c r="B3501" s="49" t="s">
        <v>1556</v>
      </c>
    </row>
    <row r="3502" spans="1:2" x14ac:dyDescent="0.25">
      <c r="A3502" s="49">
        <v>755793005</v>
      </c>
      <c r="B3502" s="49" t="s">
        <v>936</v>
      </c>
    </row>
    <row r="3503" spans="1:2" x14ac:dyDescent="0.25">
      <c r="A3503" s="49">
        <v>758403293</v>
      </c>
      <c r="B3503" s="49" t="s">
        <v>896</v>
      </c>
    </row>
    <row r="3504" spans="1:2" x14ac:dyDescent="0.25">
      <c r="A3504" s="49">
        <v>776592839</v>
      </c>
      <c r="B3504" s="49" t="s">
        <v>1340</v>
      </c>
    </row>
    <row r="3505" spans="1:2" x14ac:dyDescent="0.25">
      <c r="A3505" s="49">
        <v>776745982</v>
      </c>
      <c r="B3505" s="49" t="s">
        <v>1251</v>
      </c>
    </row>
    <row r="3506" spans="1:2" x14ac:dyDescent="0.25">
      <c r="A3506" s="49">
        <v>776744424</v>
      </c>
      <c r="B3506" s="49" t="s">
        <v>1151</v>
      </c>
    </row>
    <row r="3507" spans="1:2" x14ac:dyDescent="0.25">
      <c r="A3507" s="49">
        <v>776743929</v>
      </c>
      <c r="B3507" s="49" t="s">
        <v>1146</v>
      </c>
    </row>
    <row r="3508" spans="1:2" x14ac:dyDescent="0.25">
      <c r="A3508" s="49">
        <v>778004331</v>
      </c>
      <c r="B3508" s="49" t="s">
        <v>312</v>
      </c>
    </row>
    <row r="3509" spans="1:2" x14ac:dyDescent="0.25">
      <c r="A3509" s="49">
        <v>778432321</v>
      </c>
      <c r="B3509" s="49" t="s">
        <v>690</v>
      </c>
    </row>
    <row r="3510" spans="1:2" x14ac:dyDescent="0.25">
      <c r="A3510" s="49">
        <v>779461825</v>
      </c>
      <c r="B3510" s="49" t="s">
        <v>377</v>
      </c>
    </row>
    <row r="3511" spans="1:2" x14ac:dyDescent="0.25">
      <c r="A3511" s="49">
        <v>780836024</v>
      </c>
      <c r="B3511" s="49" t="s">
        <v>485</v>
      </c>
    </row>
    <row r="3512" spans="1:2" x14ac:dyDescent="0.25">
      <c r="A3512" s="49">
        <v>667479793</v>
      </c>
      <c r="B3512" s="49" t="s">
        <v>497</v>
      </c>
    </row>
    <row r="3513" spans="1:2" x14ac:dyDescent="0.25">
      <c r="A3513" s="49">
        <v>781285651</v>
      </c>
      <c r="B3513" s="49" t="s">
        <v>730</v>
      </c>
    </row>
    <row r="3514" spans="1:2" x14ac:dyDescent="0.25">
      <c r="A3514" s="49">
        <v>800357874</v>
      </c>
      <c r="B3514" s="49" t="s">
        <v>214</v>
      </c>
    </row>
    <row r="3515" spans="1:2" x14ac:dyDescent="0.25">
      <c r="A3515" s="49">
        <v>876013883</v>
      </c>
      <c r="B3515" s="49" t="s">
        <v>543</v>
      </c>
    </row>
    <row r="3516" spans="1:2" x14ac:dyDescent="0.25">
      <c r="A3516" s="49">
        <v>886299404</v>
      </c>
      <c r="B3516" s="49" t="s">
        <v>1686</v>
      </c>
    </row>
    <row r="3517" spans="1:2" x14ac:dyDescent="0.25">
      <c r="A3517" s="49">
        <v>913078469</v>
      </c>
      <c r="B3517" s="49" t="s">
        <v>1200</v>
      </c>
    </row>
    <row r="3518" spans="1:2" x14ac:dyDescent="0.25">
      <c r="A3518" s="49">
        <v>1103157633</v>
      </c>
      <c r="B3518" s="49" t="s">
        <v>853</v>
      </c>
    </row>
    <row r="3519" spans="1:2" x14ac:dyDescent="0.25">
      <c r="A3519" s="49">
        <v>1120793535</v>
      </c>
      <c r="B3519" s="49" t="s">
        <v>1447</v>
      </c>
    </row>
    <row r="3520" spans="1:2" x14ac:dyDescent="0.25">
      <c r="A3520" s="49">
        <v>1142717461</v>
      </c>
      <c r="B3520" s="49" t="s">
        <v>253</v>
      </c>
    </row>
    <row r="3521" spans="1:2" x14ac:dyDescent="0.25">
      <c r="A3521" s="49">
        <v>1346242682</v>
      </c>
      <c r="B3521" s="49" t="s">
        <v>1793</v>
      </c>
    </row>
    <row r="3522" spans="1:2" x14ac:dyDescent="0.25">
      <c r="A3522" s="49">
        <v>1345726742</v>
      </c>
      <c r="B3522" s="49" t="s">
        <v>1800</v>
      </c>
    </row>
    <row r="3523" spans="1:2" x14ac:dyDescent="0.25">
      <c r="A3523" s="49">
        <v>1354303145</v>
      </c>
      <c r="B3523" s="49" t="s">
        <v>256</v>
      </c>
    </row>
    <row r="3524" spans="1:2" x14ac:dyDescent="0.25">
      <c r="A3524" s="49">
        <v>1361475537</v>
      </c>
      <c r="B3524" s="49" t="s">
        <v>590</v>
      </c>
    </row>
    <row r="3525" spans="1:2" x14ac:dyDescent="0.25">
      <c r="A3525" s="49">
        <v>1373879935</v>
      </c>
      <c r="B3525" s="49" t="s">
        <v>256</v>
      </c>
    </row>
    <row r="3526" spans="1:2" x14ac:dyDescent="0.25">
      <c r="A3526" s="49">
        <v>1458153968</v>
      </c>
      <c r="B3526" s="49" t="s">
        <v>814</v>
      </c>
    </row>
    <row r="3527" spans="1:2" x14ac:dyDescent="0.25">
      <c r="A3527" s="49">
        <v>703713869</v>
      </c>
      <c r="B3527" s="49" t="s">
        <v>1494</v>
      </c>
    </row>
    <row r="3528" spans="1:2" x14ac:dyDescent="0.25">
      <c r="A3528" s="49">
        <v>899445050</v>
      </c>
      <c r="B3528" s="49" t="s">
        <v>64</v>
      </c>
    </row>
    <row r="3529" spans="1:2" x14ac:dyDescent="0.25">
      <c r="A3529" s="49">
        <v>640790504</v>
      </c>
      <c r="B3529" s="49" t="s">
        <v>1564</v>
      </c>
    </row>
    <row r="3530" spans="1:2" x14ac:dyDescent="0.25">
      <c r="A3530" s="49">
        <v>784934599</v>
      </c>
      <c r="B3530" s="49" t="s">
        <v>722</v>
      </c>
    </row>
    <row r="3531" spans="1:2" x14ac:dyDescent="0.25">
      <c r="A3531" s="49">
        <v>935706624</v>
      </c>
      <c r="B3531" s="49" t="s">
        <v>415</v>
      </c>
    </row>
    <row r="3532" spans="1:2" x14ac:dyDescent="0.25">
      <c r="A3532" s="49">
        <v>1111614644</v>
      </c>
      <c r="B3532" s="49" t="s">
        <v>3643</v>
      </c>
    </row>
    <row r="3533" spans="1:2" x14ac:dyDescent="0.25">
      <c r="A3533" s="49">
        <v>639593604</v>
      </c>
      <c r="B3533" s="49" t="s">
        <v>1674</v>
      </c>
    </row>
    <row r="3534" spans="1:2" x14ac:dyDescent="0.25">
      <c r="A3534" s="49">
        <v>1133299079</v>
      </c>
      <c r="B3534" s="49" t="s">
        <v>161</v>
      </c>
    </row>
    <row r="3535" spans="1:2" x14ac:dyDescent="0.25">
      <c r="A3535" s="49">
        <v>1134057612</v>
      </c>
      <c r="B3535" s="49" t="s">
        <v>169</v>
      </c>
    </row>
    <row r="3536" spans="1:2" x14ac:dyDescent="0.25">
      <c r="A3536" s="49">
        <v>617067250</v>
      </c>
      <c r="B3536" s="49" t="s">
        <v>926</v>
      </c>
    </row>
    <row r="3537" spans="1:2" x14ac:dyDescent="0.25">
      <c r="A3537" s="49">
        <v>621075721</v>
      </c>
      <c r="B3537" s="49" t="s">
        <v>911</v>
      </c>
    </row>
    <row r="3538" spans="1:2" x14ac:dyDescent="0.25">
      <c r="A3538" s="49">
        <v>621415954</v>
      </c>
      <c r="B3538" s="49" t="s">
        <v>237</v>
      </c>
    </row>
    <row r="3539" spans="1:2" x14ac:dyDescent="0.25">
      <c r="A3539" s="49">
        <v>627364181</v>
      </c>
      <c r="B3539" s="49" t="s">
        <v>1147</v>
      </c>
    </row>
    <row r="3540" spans="1:2" x14ac:dyDescent="0.25">
      <c r="A3540" s="49">
        <v>714197771</v>
      </c>
      <c r="B3540" s="49" t="s">
        <v>1683</v>
      </c>
    </row>
    <row r="3541" spans="1:2" x14ac:dyDescent="0.25">
      <c r="A3541" s="49">
        <v>757941189</v>
      </c>
      <c r="B3541" s="49" t="s">
        <v>3641</v>
      </c>
    </row>
    <row r="3542" spans="1:2" x14ac:dyDescent="0.25">
      <c r="A3542" s="49">
        <v>779461224</v>
      </c>
      <c r="B3542" s="49" t="s">
        <v>506</v>
      </c>
    </row>
    <row r="3543" spans="1:2" x14ac:dyDescent="0.25">
      <c r="A3543" s="49">
        <v>782128371</v>
      </c>
      <c r="B3543" s="49" t="s">
        <v>1335</v>
      </c>
    </row>
    <row r="3544" spans="1:2" x14ac:dyDescent="0.25">
      <c r="A3544" s="49">
        <v>782127959</v>
      </c>
      <c r="B3544" s="49" t="s">
        <v>1259</v>
      </c>
    </row>
    <row r="3545" spans="1:2" x14ac:dyDescent="0.25">
      <c r="A3545" s="49">
        <v>789232817</v>
      </c>
      <c r="B3545" s="49" t="s">
        <v>1653</v>
      </c>
    </row>
    <row r="3546" spans="1:2" x14ac:dyDescent="0.25">
      <c r="A3546" s="49">
        <v>833967235</v>
      </c>
      <c r="B3546" s="49" t="s">
        <v>836</v>
      </c>
    </row>
    <row r="3547" spans="1:2" x14ac:dyDescent="0.25">
      <c r="A3547" s="49">
        <v>860117013</v>
      </c>
      <c r="B3547" s="49" t="s">
        <v>361</v>
      </c>
    </row>
    <row r="3548" spans="1:2" x14ac:dyDescent="0.25">
      <c r="A3548" s="49">
        <v>883073049</v>
      </c>
      <c r="B3548" s="49" t="s">
        <v>1166</v>
      </c>
    </row>
    <row r="3549" spans="1:2" x14ac:dyDescent="0.25">
      <c r="A3549" s="49">
        <v>906181949</v>
      </c>
      <c r="B3549" s="49" t="s">
        <v>58</v>
      </c>
    </row>
    <row r="3550" spans="1:2" x14ac:dyDescent="0.25">
      <c r="A3550" s="49">
        <v>919492737</v>
      </c>
      <c r="B3550" s="49" t="s">
        <v>84</v>
      </c>
    </row>
    <row r="3551" spans="1:2" x14ac:dyDescent="0.25">
      <c r="A3551" s="49">
        <v>1155296473</v>
      </c>
      <c r="B3551" s="49" t="s">
        <v>1278</v>
      </c>
    </row>
    <row r="3552" spans="1:2" x14ac:dyDescent="0.25">
      <c r="A3552" s="49">
        <v>1365935187</v>
      </c>
      <c r="B3552" s="49" t="s">
        <v>894</v>
      </c>
    </row>
    <row r="3553" spans="1:2" x14ac:dyDescent="0.25">
      <c r="A3553" s="49">
        <v>794994401</v>
      </c>
      <c r="B3553" s="49" t="s">
        <v>1057</v>
      </c>
    </row>
    <row r="3554" spans="1:2" x14ac:dyDescent="0.25">
      <c r="A3554" s="49">
        <v>886660481</v>
      </c>
      <c r="B3554" s="49" t="s">
        <v>1433</v>
      </c>
    </row>
    <row r="3555" spans="1:2" x14ac:dyDescent="0.25">
      <c r="A3555" s="49">
        <v>639827354</v>
      </c>
      <c r="B3555" s="49" t="s">
        <v>57</v>
      </c>
    </row>
    <row r="3556" spans="1:2" x14ac:dyDescent="0.25">
      <c r="A3556" s="49">
        <v>758485326</v>
      </c>
      <c r="B3556" s="49" t="s">
        <v>1491</v>
      </c>
    </row>
    <row r="3557" spans="1:2" x14ac:dyDescent="0.25">
      <c r="A3557" s="49">
        <v>780834042</v>
      </c>
      <c r="B3557" s="49" t="s">
        <v>417</v>
      </c>
    </row>
    <row r="3558" spans="1:2" x14ac:dyDescent="0.25">
      <c r="A3558" s="49">
        <v>792144161</v>
      </c>
      <c r="B3558" s="49" t="s">
        <v>725</v>
      </c>
    </row>
    <row r="3559" spans="1:2" x14ac:dyDescent="0.25">
      <c r="A3559" s="49">
        <v>625308361</v>
      </c>
      <c r="B3559" s="49" t="s">
        <v>488</v>
      </c>
    </row>
    <row r="3560" spans="1:2" x14ac:dyDescent="0.25">
      <c r="A3560" s="49">
        <v>651482264</v>
      </c>
      <c r="B3560" s="49" t="s">
        <v>903</v>
      </c>
    </row>
    <row r="3561" spans="1:2" x14ac:dyDescent="0.25">
      <c r="A3561" s="49">
        <v>681776932</v>
      </c>
      <c r="B3561" s="49" t="s">
        <v>294</v>
      </c>
    </row>
    <row r="3562" spans="1:2" x14ac:dyDescent="0.25">
      <c r="A3562" s="49">
        <v>706512165</v>
      </c>
      <c r="B3562" s="49" t="s">
        <v>696</v>
      </c>
    </row>
    <row r="3563" spans="1:2" x14ac:dyDescent="0.25">
      <c r="A3563" s="49">
        <v>732313779</v>
      </c>
      <c r="B3563" s="49" t="s">
        <v>916</v>
      </c>
    </row>
    <row r="3564" spans="1:2" x14ac:dyDescent="0.25">
      <c r="A3564" s="49">
        <v>759576572</v>
      </c>
      <c r="B3564" s="49" t="s">
        <v>1572</v>
      </c>
    </row>
    <row r="3565" spans="1:2" x14ac:dyDescent="0.25">
      <c r="A3565" s="49">
        <v>762436459</v>
      </c>
      <c r="B3565" s="49" t="s">
        <v>538</v>
      </c>
    </row>
    <row r="3566" spans="1:2" x14ac:dyDescent="0.25">
      <c r="A3566" s="49">
        <v>776593696</v>
      </c>
      <c r="B3566" s="49" t="s">
        <v>1694</v>
      </c>
    </row>
    <row r="3567" spans="1:2" x14ac:dyDescent="0.25">
      <c r="A3567" s="49">
        <v>780818246</v>
      </c>
      <c r="B3567" s="49" t="s">
        <v>653</v>
      </c>
    </row>
    <row r="3568" spans="1:2" x14ac:dyDescent="0.25">
      <c r="A3568" s="49">
        <v>782113318</v>
      </c>
      <c r="B3568" s="49" t="s">
        <v>1141</v>
      </c>
    </row>
    <row r="3569" spans="1:2" x14ac:dyDescent="0.25">
      <c r="A3569" s="49">
        <v>785143206</v>
      </c>
      <c r="B3569" s="49" t="s">
        <v>1009</v>
      </c>
    </row>
    <row r="3570" spans="1:2" x14ac:dyDescent="0.25">
      <c r="A3570" s="49">
        <v>819131507</v>
      </c>
      <c r="B3570" s="49" t="s">
        <v>626</v>
      </c>
    </row>
    <row r="3571" spans="1:2" x14ac:dyDescent="0.25">
      <c r="A3571" s="49">
        <v>858821743</v>
      </c>
      <c r="B3571" s="49" t="s">
        <v>1520</v>
      </c>
    </row>
    <row r="3572" spans="1:2" x14ac:dyDescent="0.25">
      <c r="A3572" s="49">
        <v>869242380</v>
      </c>
      <c r="B3572" s="49" t="s">
        <v>396</v>
      </c>
    </row>
    <row r="3573" spans="1:2" x14ac:dyDescent="0.25">
      <c r="A3573" s="49">
        <v>901676243</v>
      </c>
      <c r="B3573" s="49" t="s">
        <v>1368</v>
      </c>
    </row>
    <row r="3574" spans="1:2" x14ac:dyDescent="0.25">
      <c r="A3574" s="49">
        <v>909411342</v>
      </c>
      <c r="B3574" s="49" t="s">
        <v>943</v>
      </c>
    </row>
    <row r="3575" spans="1:2" x14ac:dyDescent="0.25">
      <c r="A3575" s="49">
        <v>935715243</v>
      </c>
      <c r="B3575" s="49" t="s">
        <v>549</v>
      </c>
    </row>
    <row r="3576" spans="1:2" x14ac:dyDescent="0.25">
      <c r="A3576" s="49">
        <v>1103734979</v>
      </c>
      <c r="B3576" s="49" t="s">
        <v>867</v>
      </c>
    </row>
    <row r="3577" spans="1:2" x14ac:dyDescent="0.25">
      <c r="A3577" s="49">
        <v>1122740871</v>
      </c>
      <c r="B3577" s="49" t="s">
        <v>1187</v>
      </c>
    </row>
    <row r="3578" spans="1:2" x14ac:dyDescent="0.25">
      <c r="A3578" s="49">
        <v>1127965587</v>
      </c>
      <c r="B3578" s="49" t="s">
        <v>1445</v>
      </c>
    </row>
    <row r="3579" spans="1:2" x14ac:dyDescent="0.25">
      <c r="A3579" s="49">
        <v>1190438308</v>
      </c>
      <c r="B3579" s="49" t="s">
        <v>919</v>
      </c>
    </row>
    <row r="3580" spans="1:2" x14ac:dyDescent="0.25">
      <c r="A3580" s="49">
        <v>1340180275</v>
      </c>
      <c r="B3580" s="49" t="s">
        <v>1750</v>
      </c>
    </row>
    <row r="3581" spans="1:2" x14ac:dyDescent="0.25">
      <c r="A3581" s="49">
        <v>1375876031</v>
      </c>
      <c r="B3581" s="49" t="s">
        <v>672</v>
      </c>
    </row>
    <row r="3582" spans="1:2" x14ac:dyDescent="0.25">
      <c r="A3582" s="49">
        <v>784482170</v>
      </c>
      <c r="B3582" s="49" t="s">
        <v>898</v>
      </c>
    </row>
    <row r="3583" spans="1:2" x14ac:dyDescent="0.25">
      <c r="A3583" s="49">
        <v>796657728</v>
      </c>
      <c r="B3583" s="49" t="s">
        <v>209</v>
      </c>
    </row>
    <row r="3584" spans="1:2" x14ac:dyDescent="0.25">
      <c r="A3584" s="49">
        <v>861877198</v>
      </c>
      <c r="B3584" s="49" t="s">
        <v>59</v>
      </c>
    </row>
    <row r="3585" spans="1:2" x14ac:dyDescent="0.25">
      <c r="A3585" s="49">
        <v>886661404</v>
      </c>
      <c r="B3585" s="49" t="s">
        <v>1433</v>
      </c>
    </row>
    <row r="3586" spans="1:2" x14ac:dyDescent="0.25">
      <c r="A3586" s="49">
        <v>934888966</v>
      </c>
      <c r="B3586" s="49" t="s">
        <v>1412</v>
      </c>
    </row>
    <row r="3587" spans="1:2" x14ac:dyDescent="0.25">
      <c r="A3587" s="49">
        <v>1136471480</v>
      </c>
      <c r="B3587" s="49" t="s">
        <v>1034</v>
      </c>
    </row>
    <row r="3588" spans="1:2" x14ac:dyDescent="0.25">
      <c r="A3588" s="49">
        <v>1147148126</v>
      </c>
      <c r="B3588" s="49" t="s">
        <v>1525</v>
      </c>
    </row>
    <row r="3589" spans="1:2" x14ac:dyDescent="0.25">
      <c r="A3589" s="49">
        <v>620261521</v>
      </c>
      <c r="B3589" s="49" t="s">
        <v>555</v>
      </c>
    </row>
    <row r="3590" spans="1:2" x14ac:dyDescent="0.25">
      <c r="A3590" s="49">
        <v>639783761</v>
      </c>
      <c r="B3590" s="49" t="s">
        <v>1339</v>
      </c>
    </row>
    <row r="3591" spans="1:2" x14ac:dyDescent="0.25">
      <c r="A3591" s="49">
        <v>641044302</v>
      </c>
      <c r="B3591" s="49" t="s">
        <v>1119</v>
      </c>
    </row>
    <row r="3592" spans="1:2" x14ac:dyDescent="0.25">
      <c r="A3592" s="49">
        <v>641662034</v>
      </c>
      <c r="B3592" s="49" t="s">
        <v>557</v>
      </c>
    </row>
    <row r="3593" spans="1:2" x14ac:dyDescent="0.25">
      <c r="A3593" s="49">
        <v>642224199</v>
      </c>
      <c r="B3593" s="49" t="s">
        <v>1335</v>
      </c>
    </row>
    <row r="3594" spans="1:2" x14ac:dyDescent="0.25">
      <c r="A3594" s="49">
        <v>661034280</v>
      </c>
      <c r="B3594" s="49" t="s">
        <v>1555</v>
      </c>
    </row>
    <row r="3595" spans="1:2" x14ac:dyDescent="0.25">
      <c r="A3595" s="49">
        <v>668866527</v>
      </c>
      <c r="B3595" s="49" t="s">
        <v>266</v>
      </c>
    </row>
    <row r="3596" spans="1:2" x14ac:dyDescent="0.25">
      <c r="A3596" s="49">
        <v>684416162</v>
      </c>
      <c r="B3596" s="49" t="s">
        <v>236</v>
      </c>
    </row>
    <row r="3597" spans="1:2" x14ac:dyDescent="0.25">
      <c r="A3597" s="49">
        <v>705998015</v>
      </c>
      <c r="B3597" s="49" t="s">
        <v>693</v>
      </c>
    </row>
    <row r="3598" spans="1:2" x14ac:dyDescent="0.25">
      <c r="A3598" s="49">
        <v>713818057</v>
      </c>
      <c r="B3598" s="49" t="s">
        <v>1646</v>
      </c>
    </row>
    <row r="3599" spans="1:2" x14ac:dyDescent="0.25">
      <c r="A3599" s="49">
        <v>717122210</v>
      </c>
      <c r="B3599" s="49" t="s">
        <v>828</v>
      </c>
    </row>
    <row r="3600" spans="1:2" x14ac:dyDescent="0.25">
      <c r="A3600" s="49">
        <v>738112941</v>
      </c>
      <c r="B3600" s="49" t="s">
        <v>578</v>
      </c>
    </row>
    <row r="3601" spans="1:2" x14ac:dyDescent="0.25">
      <c r="A3601" s="49">
        <v>738296012</v>
      </c>
      <c r="B3601" s="49" t="s">
        <v>576</v>
      </c>
    </row>
    <row r="3602" spans="1:2" x14ac:dyDescent="0.25">
      <c r="A3602" s="49">
        <v>762072275</v>
      </c>
      <c r="B3602" s="49" t="s">
        <v>3666</v>
      </c>
    </row>
    <row r="3603" spans="1:2" x14ac:dyDescent="0.25">
      <c r="A3603" s="49">
        <v>780835976</v>
      </c>
      <c r="B3603" s="49" t="s">
        <v>488</v>
      </c>
    </row>
    <row r="3604" spans="1:2" x14ac:dyDescent="0.25">
      <c r="A3604" s="49">
        <v>780818743</v>
      </c>
      <c r="B3604" s="49" t="s">
        <v>373</v>
      </c>
    </row>
    <row r="3605" spans="1:2" x14ac:dyDescent="0.25">
      <c r="A3605" s="49">
        <v>781332176</v>
      </c>
      <c r="B3605" s="49" t="s">
        <v>1163</v>
      </c>
    </row>
    <row r="3606" spans="1:2" x14ac:dyDescent="0.25">
      <c r="A3606" s="49">
        <v>781815497</v>
      </c>
      <c r="B3606" s="49" t="s">
        <v>131</v>
      </c>
    </row>
    <row r="3607" spans="1:2" x14ac:dyDescent="0.25">
      <c r="A3607" s="49">
        <v>782121020</v>
      </c>
      <c r="B3607" s="49" t="s">
        <v>1266</v>
      </c>
    </row>
    <row r="3608" spans="1:2" x14ac:dyDescent="0.25">
      <c r="A3608" s="49">
        <v>784481614</v>
      </c>
      <c r="B3608" s="49" t="s">
        <v>983</v>
      </c>
    </row>
    <row r="3609" spans="1:2" x14ac:dyDescent="0.25">
      <c r="A3609" s="49">
        <v>785885813</v>
      </c>
      <c r="B3609" s="49" t="s">
        <v>1283</v>
      </c>
    </row>
    <row r="3610" spans="1:2" x14ac:dyDescent="0.25">
      <c r="A3610" s="49">
        <v>797661093</v>
      </c>
      <c r="B3610" s="49" t="s">
        <v>1481</v>
      </c>
    </row>
    <row r="3611" spans="1:2" x14ac:dyDescent="0.25">
      <c r="A3611" s="49">
        <v>826587975</v>
      </c>
      <c r="B3611" s="49" t="s">
        <v>588</v>
      </c>
    </row>
    <row r="3612" spans="1:2" x14ac:dyDescent="0.25">
      <c r="A3612" s="49">
        <v>869407049</v>
      </c>
      <c r="B3612" s="49" t="s">
        <v>245</v>
      </c>
    </row>
    <row r="3613" spans="1:2" x14ac:dyDescent="0.25">
      <c r="A3613" s="49">
        <v>919161024</v>
      </c>
      <c r="B3613" s="49" t="s">
        <v>95</v>
      </c>
    </row>
    <row r="3614" spans="1:2" x14ac:dyDescent="0.25">
      <c r="A3614" s="49">
        <v>919481901</v>
      </c>
      <c r="B3614" s="49" t="s">
        <v>83</v>
      </c>
    </row>
    <row r="3615" spans="1:2" x14ac:dyDescent="0.25">
      <c r="A3615" s="49">
        <v>928912643</v>
      </c>
      <c r="B3615" s="49" t="s">
        <v>1711</v>
      </c>
    </row>
    <row r="3616" spans="1:2" x14ac:dyDescent="0.25">
      <c r="A3616" s="49">
        <v>929153075</v>
      </c>
      <c r="B3616" s="49" t="s">
        <v>1550</v>
      </c>
    </row>
    <row r="3617" spans="1:2" x14ac:dyDescent="0.25">
      <c r="A3617" s="49">
        <v>934277361</v>
      </c>
      <c r="B3617" s="49" t="s">
        <v>128</v>
      </c>
    </row>
    <row r="3618" spans="1:2" x14ac:dyDescent="0.25">
      <c r="A3618" s="49">
        <v>1186113050</v>
      </c>
      <c r="B3618" s="49" t="s">
        <v>1035</v>
      </c>
    </row>
    <row r="3619" spans="1:2" x14ac:dyDescent="0.25">
      <c r="A3619" s="49">
        <v>1216911859</v>
      </c>
      <c r="B3619" s="49" t="s">
        <v>1106</v>
      </c>
    </row>
    <row r="3620" spans="1:2" x14ac:dyDescent="0.25">
      <c r="A3620" s="49">
        <v>1345785453</v>
      </c>
      <c r="B3620" s="49" t="s">
        <v>1796</v>
      </c>
    </row>
    <row r="3621" spans="1:2" x14ac:dyDescent="0.25">
      <c r="A3621" s="49">
        <v>1346460340</v>
      </c>
      <c r="B3621" s="49" t="s">
        <v>1801</v>
      </c>
    </row>
    <row r="3622" spans="1:2" x14ac:dyDescent="0.25">
      <c r="A3622" s="49">
        <v>1368545265</v>
      </c>
      <c r="B3622" s="49" t="s">
        <v>1830</v>
      </c>
    </row>
    <row r="3623" spans="1:2" x14ac:dyDescent="0.25">
      <c r="A3623" s="49">
        <v>1432320230</v>
      </c>
      <c r="B3623" s="49" t="s">
        <v>711</v>
      </c>
    </row>
    <row r="3624" spans="1:2" x14ac:dyDescent="0.25">
      <c r="A3624" s="49">
        <v>898256239</v>
      </c>
      <c r="B3624" s="49" t="s">
        <v>1547</v>
      </c>
    </row>
    <row r="3625" spans="1:2" x14ac:dyDescent="0.25">
      <c r="A3625" s="49">
        <v>898253254</v>
      </c>
      <c r="B3625" s="49" t="s">
        <v>3661</v>
      </c>
    </row>
    <row r="3626" spans="1:2" x14ac:dyDescent="0.25">
      <c r="A3626" s="49">
        <v>779927242</v>
      </c>
      <c r="B3626" s="49" t="s">
        <v>633</v>
      </c>
    </row>
    <row r="3627" spans="1:2" x14ac:dyDescent="0.25">
      <c r="A3627" s="49">
        <v>1147518060</v>
      </c>
      <c r="B3627" s="49" t="s">
        <v>1603</v>
      </c>
    </row>
    <row r="3628" spans="1:2" x14ac:dyDescent="0.25">
      <c r="A3628" s="49">
        <v>606799558</v>
      </c>
      <c r="B3628" s="49" t="s">
        <v>606</v>
      </c>
    </row>
    <row r="3629" spans="1:2" x14ac:dyDescent="0.25">
      <c r="A3629" s="49">
        <v>635818791</v>
      </c>
      <c r="B3629" s="49" t="s">
        <v>1641</v>
      </c>
    </row>
    <row r="3630" spans="1:2" x14ac:dyDescent="0.25">
      <c r="A3630" s="49">
        <v>644402200</v>
      </c>
      <c r="B3630" s="49" t="s">
        <v>275</v>
      </c>
    </row>
    <row r="3631" spans="1:2" x14ac:dyDescent="0.25">
      <c r="A3631" s="49">
        <v>719501524</v>
      </c>
      <c r="B3631" s="49" t="s">
        <v>786</v>
      </c>
    </row>
    <row r="3632" spans="1:2" x14ac:dyDescent="0.25">
      <c r="A3632" s="49">
        <v>719621841</v>
      </c>
      <c r="B3632" s="49" t="s">
        <v>782</v>
      </c>
    </row>
    <row r="3633" spans="1:2" x14ac:dyDescent="0.25">
      <c r="A3633" s="49">
        <v>735441422</v>
      </c>
      <c r="B3633" s="49" t="s">
        <v>956</v>
      </c>
    </row>
    <row r="3634" spans="1:2" x14ac:dyDescent="0.25">
      <c r="A3634" s="49">
        <v>762231537</v>
      </c>
      <c r="B3634" s="49" t="s">
        <v>822</v>
      </c>
    </row>
    <row r="3635" spans="1:2" x14ac:dyDescent="0.25">
      <c r="A3635" s="49">
        <v>776593461</v>
      </c>
      <c r="B3635" s="49" t="s">
        <v>1639</v>
      </c>
    </row>
    <row r="3636" spans="1:2" x14ac:dyDescent="0.25">
      <c r="A3636" s="49">
        <v>780833919</v>
      </c>
      <c r="B3636" s="49" t="s">
        <v>428</v>
      </c>
    </row>
    <row r="3637" spans="1:2" x14ac:dyDescent="0.25">
      <c r="A3637" s="49">
        <v>781292032</v>
      </c>
      <c r="B3637" s="49" t="s">
        <v>759</v>
      </c>
    </row>
    <row r="3638" spans="1:2" x14ac:dyDescent="0.25">
      <c r="A3638" s="49">
        <v>782149805</v>
      </c>
      <c r="B3638" s="49" t="s">
        <v>282</v>
      </c>
    </row>
    <row r="3639" spans="1:2" x14ac:dyDescent="0.25">
      <c r="A3639" s="49">
        <v>782128290</v>
      </c>
      <c r="B3639" s="49" t="s">
        <v>1209</v>
      </c>
    </row>
    <row r="3640" spans="1:2" x14ac:dyDescent="0.25">
      <c r="A3640" s="49">
        <v>782299780</v>
      </c>
      <c r="B3640" s="49" t="s">
        <v>364</v>
      </c>
    </row>
    <row r="3641" spans="1:2" x14ac:dyDescent="0.25">
      <c r="A3641" s="49">
        <v>782269410</v>
      </c>
      <c r="B3641" s="49" t="s">
        <v>364</v>
      </c>
    </row>
    <row r="3642" spans="1:2" x14ac:dyDescent="0.25">
      <c r="A3642" s="49">
        <v>832179708</v>
      </c>
      <c r="B3642" s="49" t="s">
        <v>151</v>
      </c>
    </row>
    <row r="3643" spans="1:2" x14ac:dyDescent="0.25">
      <c r="A3643" s="49">
        <v>844724975</v>
      </c>
      <c r="B3643" s="49" t="s">
        <v>905</v>
      </c>
    </row>
    <row r="3644" spans="1:2" x14ac:dyDescent="0.25">
      <c r="A3644" s="49">
        <v>861911611</v>
      </c>
      <c r="B3644" s="49" t="s">
        <v>1581</v>
      </c>
    </row>
    <row r="3645" spans="1:2" x14ac:dyDescent="0.25">
      <c r="A3645" s="49">
        <v>874956187</v>
      </c>
      <c r="B3645" s="49" t="s">
        <v>141</v>
      </c>
    </row>
    <row r="3646" spans="1:2" x14ac:dyDescent="0.25">
      <c r="A3646" s="49">
        <v>897635200</v>
      </c>
      <c r="B3646" s="49" t="s">
        <v>1132</v>
      </c>
    </row>
    <row r="3647" spans="1:2" x14ac:dyDescent="0.25">
      <c r="A3647" s="49">
        <v>928539759</v>
      </c>
      <c r="B3647" s="49" t="s">
        <v>1601</v>
      </c>
    </row>
    <row r="3648" spans="1:2" x14ac:dyDescent="0.25">
      <c r="A3648" s="49">
        <v>928749990</v>
      </c>
      <c r="B3648" s="49" t="s">
        <v>1386</v>
      </c>
    </row>
    <row r="3649" spans="1:2" x14ac:dyDescent="0.25">
      <c r="A3649" s="49">
        <v>1135391831</v>
      </c>
      <c r="B3649" s="49" t="s">
        <v>3750</v>
      </c>
    </row>
    <row r="3650" spans="1:2" x14ac:dyDescent="0.25">
      <c r="A3650" s="49">
        <v>1185375819</v>
      </c>
      <c r="B3650" s="49" t="s">
        <v>1117</v>
      </c>
    </row>
    <row r="3651" spans="1:2" x14ac:dyDescent="0.25">
      <c r="A3651" s="49">
        <v>1202321696</v>
      </c>
      <c r="B3651" s="49" t="s">
        <v>1469</v>
      </c>
    </row>
    <row r="3652" spans="1:2" x14ac:dyDescent="0.25">
      <c r="A3652" s="49">
        <v>1285572572</v>
      </c>
      <c r="B3652" s="49" t="s">
        <v>1727</v>
      </c>
    </row>
    <row r="3653" spans="1:2" x14ac:dyDescent="0.25">
      <c r="A3653" s="49">
        <v>1374030255</v>
      </c>
      <c r="B3653" s="49" t="s">
        <v>796</v>
      </c>
    </row>
    <row r="3654" spans="1:2" x14ac:dyDescent="0.25">
      <c r="A3654" s="49">
        <v>781141549</v>
      </c>
      <c r="B3654" s="49" t="s">
        <v>757</v>
      </c>
    </row>
    <row r="3655" spans="1:2" x14ac:dyDescent="0.25">
      <c r="A3655" s="49">
        <v>607616751</v>
      </c>
      <c r="B3655" s="49" t="s">
        <v>308</v>
      </c>
    </row>
    <row r="3656" spans="1:2" x14ac:dyDescent="0.25">
      <c r="A3656" s="49">
        <v>621071030</v>
      </c>
      <c r="B3656" s="49" t="s">
        <v>283</v>
      </c>
    </row>
    <row r="3657" spans="1:2" x14ac:dyDescent="0.25">
      <c r="A3657" s="49">
        <v>639242567</v>
      </c>
      <c r="B3657" s="49" t="s">
        <v>1631</v>
      </c>
    </row>
    <row r="3658" spans="1:2" x14ac:dyDescent="0.25">
      <c r="A3658" s="49">
        <v>659260563</v>
      </c>
      <c r="B3658" s="49" t="s">
        <v>1692</v>
      </c>
    </row>
    <row r="3659" spans="1:2" x14ac:dyDescent="0.25">
      <c r="A3659" s="49">
        <v>689250221</v>
      </c>
      <c r="B3659" s="49" t="s">
        <v>1045</v>
      </c>
    </row>
    <row r="3660" spans="1:2" x14ac:dyDescent="0.25">
      <c r="A3660" s="49">
        <v>708753152</v>
      </c>
      <c r="B3660" s="49" t="s">
        <v>932</v>
      </c>
    </row>
    <row r="3661" spans="1:2" x14ac:dyDescent="0.25">
      <c r="A3661" s="49">
        <v>718169626</v>
      </c>
      <c r="B3661" s="49" t="s">
        <v>794</v>
      </c>
    </row>
    <row r="3662" spans="1:2" x14ac:dyDescent="0.25">
      <c r="A3662" s="49">
        <v>764016841</v>
      </c>
      <c r="B3662" s="49" t="s">
        <v>1670</v>
      </c>
    </row>
    <row r="3663" spans="1:2" x14ac:dyDescent="0.25">
      <c r="A3663" s="49">
        <v>778014779</v>
      </c>
      <c r="B3663" s="49" t="s">
        <v>791</v>
      </c>
    </row>
    <row r="3664" spans="1:2" x14ac:dyDescent="0.25">
      <c r="A3664" s="49">
        <v>780836497</v>
      </c>
      <c r="B3664" s="49" t="s">
        <v>408</v>
      </c>
    </row>
    <row r="3665" spans="1:2" x14ac:dyDescent="0.25">
      <c r="A3665" s="49">
        <v>792144509</v>
      </c>
      <c r="B3665" s="49" t="s">
        <v>745</v>
      </c>
    </row>
    <row r="3666" spans="1:2" x14ac:dyDescent="0.25">
      <c r="A3666" s="49">
        <v>826588873</v>
      </c>
      <c r="B3666" s="49" t="s">
        <v>607</v>
      </c>
    </row>
    <row r="3667" spans="1:2" x14ac:dyDescent="0.25">
      <c r="A3667" s="49">
        <v>928530243</v>
      </c>
      <c r="B3667" s="49" t="s">
        <v>1014</v>
      </c>
    </row>
    <row r="3668" spans="1:2" x14ac:dyDescent="0.25">
      <c r="A3668" s="49">
        <v>1105682409</v>
      </c>
      <c r="B3668" s="49" t="s">
        <v>55</v>
      </c>
    </row>
    <row r="3669" spans="1:2" x14ac:dyDescent="0.25">
      <c r="A3669" s="49">
        <v>1114955996</v>
      </c>
      <c r="B3669" s="49" t="s">
        <v>847</v>
      </c>
    </row>
    <row r="3670" spans="1:2" x14ac:dyDescent="0.25">
      <c r="A3670" s="49">
        <v>1121238673</v>
      </c>
      <c r="B3670" s="49" t="s">
        <v>1096</v>
      </c>
    </row>
    <row r="3671" spans="1:2" x14ac:dyDescent="0.25">
      <c r="A3671" s="49">
        <v>1183920381</v>
      </c>
      <c r="B3671" s="49" t="s">
        <v>121</v>
      </c>
    </row>
    <row r="3672" spans="1:2" x14ac:dyDescent="0.25">
      <c r="A3672" s="49">
        <v>1229492522</v>
      </c>
      <c r="B3672" s="49" t="s">
        <v>1721</v>
      </c>
    </row>
    <row r="3673" spans="1:2" x14ac:dyDescent="0.25">
      <c r="A3673" s="49">
        <v>1345727328</v>
      </c>
      <c r="B3673" s="49" t="s">
        <v>1791</v>
      </c>
    </row>
    <row r="3674" spans="1:2" x14ac:dyDescent="0.25">
      <c r="A3674" s="49">
        <v>1362942137</v>
      </c>
      <c r="B3674" s="49" t="s">
        <v>1819</v>
      </c>
    </row>
    <row r="3675" spans="1:2" x14ac:dyDescent="0.25">
      <c r="A3675" s="49">
        <v>1432294630</v>
      </c>
      <c r="B3675" s="49" t="s">
        <v>1291</v>
      </c>
    </row>
    <row r="3676" spans="1:2" x14ac:dyDescent="0.25">
      <c r="A3676" s="49">
        <v>653216307</v>
      </c>
      <c r="B3676" s="49" t="s">
        <v>1279</v>
      </c>
    </row>
    <row r="3677" spans="1:2" x14ac:dyDescent="0.25">
      <c r="A3677" s="49">
        <v>639427820</v>
      </c>
      <c r="B3677" s="49" t="s">
        <v>1510</v>
      </c>
    </row>
    <row r="3678" spans="1:2" x14ac:dyDescent="0.25">
      <c r="A3678" s="49">
        <v>762074895</v>
      </c>
      <c r="B3678" s="49" t="s">
        <v>3645</v>
      </c>
    </row>
    <row r="3679" spans="1:2" x14ac:dyDescent="0.25">
      <c r="A3679" s="49">
        <v>762402031</v>
      </c>
      <c r="B3679" s="49" t="s">
        <v>574</v>
      </c>
    </row>
    <row r="3680" spans="1:2" x14ac:dyDescent="0.25">
      <c r="A3680" s="49">
        <v>776734367</v>
      </c>
      <c r="B3680" s="49" t="s">
        <v>57</v>
      </c>
    </row>
    <row r="3681" spans="1:2" x14ac:dyDescent="0.25">
      <c r="A3681" s="49">
        <v>1157011753</v>
      </c>
      <c r="B3681" s="49" t="s">
        <v>1622</v>
      </c>
    </row>
    <row r="3682" spans="1:2" x14ac:dyDescent="0.25">
      <c r="A3682" s="49">
        <v>609316692</v>
      </c>
      <c r="B3682" s="49" t="s">
        <v>770</v>
      </c>
    </row>
    <row r="3683" spans="1:2" x14ac:dyDescent="0.25">
      <c r="A3683" s="49">
        <v>614138577</v>
      </c>
      <c r="B3683" s="49" t="s">
        <v>376</v>
      </c>
    </row>
    <row r="3684" spans="1:2" x14ac:dyDescent="0.25">
      <c r="A3684" s="49">
        <v>673914519</v>
      </c>
      <c r="B3684" s="49" t="s">
        <v>198</v>
      </c>
    </row>
    <row r="3685" spans="1:2" x14ac:dyDescent="0.25">
      <c r="A3685" s="49">
        <v>701854060</v>
      </c>
      <c r="B3685" s="49" t="s">
        <v>345</v>
      </c>
    </row>
    <row r="3686" spans="1:2" x14ac:dyDescent="0.25">
      <c r="A3686" s="49">
        <v>707090662</v>
      </c>
      <c r="B3686" s="49" t="s">
        <v>1296</v>
      </c>
    </row>
    <row r="3687" spans="1:2" x14ac:dyDescent="0.25">
      <c r="A3687" s="49">
        <v>709877637</v>
      </c>
      <c r="B3687" s="49" t="s">
        <v>968</v>
      </c>
    </row>
    <row r="3688" spans="1:2" x14ac:dyDescent="0.25">
      <c r="A3688" s="49">
        <v>723443847</v>
      </c>
      <c r="B3688" s="49" t="s">
        <v>1478</v>
      </c>
    </row>
    <row r="3689" spans="1:2" x14ac:dyDescent="0.25">
      <c r="A3689" s="49">
        <v>752291142</v>
      </c>
      <c r="B3689" s="49" t="s">
        <v>3640</v>
      </c>
    </row>
    <row r="3690" spans="1:2" x14ac:dyDescent="0.25">
      <c r="A3690" s="49">
        <v>760283960</v>
      </c>
      <c r="B3690" s="49" t="s">
        <v>1507</v>
      </c>
    </row>
    <row r="3691" spans="1:2" x14ac:dyDescent="0.25">
      <c r="A3691" s="49">
        <v>776593576</v>
      </c>
      <c r="B3691" s="49" t="s">
        <v>1693</v>
      </c>
    </row>
    <row r="3692" spans="1:2" x14ac:dyDescent="0.25">
      <c r="A3692" s="49">
        <v>776731390</v>
      </c>
      <c r="B3692" s="49" t="s">
        <v>559</v>
      </c>
    </row>
    <row r="3693" spans="1:2" x14ac:dyDescent="0.25">
      <c r="A3693" s="49">
        <v>780819653</v>
      </c>
      <c r="B3693" s="49" t="s">
        <v>420</v>
      </c>
    </row>
    <row r="3694" spans="1:2" x14ac:dyDescent="0.25">
      <c r="A3694" s="49">
        <v>780818670</v>
      </c>
      <c r="B3694" s="49" t="s">
        <v>752</v>
      </c>
    </row>
    <row r="3695" spans="1:2" x14ac:dyDescent="0.25">
      <c r="A3695" s="49">
        <v>781334576</v>
      </c>
      <c r="B3695" s="49" t="s">
        <v>1301</v>
      </c>
    </row>
    <row r="3696" spans="1:2" x14ac:dyDescent="0.25">
      <c r="A3696" s="49">
        <v>800285169</v>
      </c>
      <c r="B3696" s="49" t="s">
        <v>933</v>
      </c>
    </row>
    <row r="3697" spans="1:2" x14ac:dyDescent="0.25">
      <c r="A3697" s="49">
        <v>842604624</v>
      </c>
      <c r="B3697" s="49" t="s">
        <v>1069</v>
      </c>
    </row>
    <row r="3698" spans="1:2" x14ac:dyDescent="0.25">
      <c r="A3698" s="49">
        <v>886664798</v>
      </c>
      <c r="B3698" s="49" t="s">
        <v>1607</v>
      </c>
    </row>
    <row r="3699" spans="1:2" x14ac:dyDescent="0.25">
      <c r="A3699" s="49">
        <v>901069627</v>
      </c>
      <c r="B3699" s="49" t="s">
        <v>105</v>
      </c>
    </row>
    <row r="3700" spans="1:2" x14ac:dyDescent="0.25">
      <c r="A3700" s="49">
        <v>1105721012</v>
      </c>
      <c r="B3700" s="49" t="s">
        <v>55</v>
      </c>
    </row>
    <row r="3701" spans="1:2" x14ac:dyDescent="0.25">
      <c r="A3701" s="49">
        <v>1111203683</v>
      </c>
      <c r="B3701" s="49" t="s">
        <v>839</v>
      </c>
    </row>
    <row r="3702" spans="1:2" x14ac:dyDescent="0.25">
      <c r="A3702" s="49">
        <v>1124777618</v>
      </c>
      <c r="B3702" s="49" t="s">
        <v>1017</v>
      </c>
    </row>
    <row r="3703" spans="1:2" x14ac:dyDescent="0.25">
      <c r="A3703" s="49">
        <v>1174772934</v>
      </c>
      <c r="B3703" s="49" t="s">
        <v>801</v>
      </c>
    </row>
    <row r="3704" spans="1:2" x14ac:dyDescent="0.25">
      <c r="A3704" s="49">
        <v>1372509323</v>
      </c>
      <c r="B3704" s="49" t="s">
        <v>1836</v>
      </c>
    </row>
    <row r="3705" spans="1:2" x14ac:dyDescent="0.25">
      <c r="A3705" s="49">
        <v>867159550</v>
      </c>
      <c r="B3705" s="49" t="s">
        <v>1484</v>
      </c>
    </row>
    <row r="3706" spans="1:2" x14ac:dyDescent="0.25">
      <c r="A3706" s="49">
        <v>606142852</v>
      </c>
      <c r="B3706" s="49" t="s">
        <v>642</v>
      </c>
    </row>
    <row r="3707" spans="1:2" x14ac:dyDescent="0.25">
      <c r="A3707" s="49">
        <v>613078589</v>
      </c>
      <c r="B3707" s="49" t="s">
        <v>456</v>
      </c>
    </row>
    <row r="3708" spans="1:2" x14ac:dyDescent="0.25">
      <c r="A3708" s="49">
        <v>1179020138</v>
      </c>
      <c r="B3708" s="49" t="s">
        <v>1392</v>
      </c>
    </row>
    <row r="3709" spans="1:2" x14ac:dyDescent="0.25">
      <c r="A3709" s="49">
        <v>1249469892</v>
      </c>
      <c r="B3709" s="49" t="s">
        <v>1726</v>
      </c>
    </row>
    <row r="3710" spans="1:2" x14ac:dyDescent="0.25">
      <c r="A3710" s="49">
        <v>1341367944</v>
      </c>
      <c r="B3710" s="49" t="s">
        <v>1760</v>
      </c>
    </row>
    <row r="3711" spans="1:2" x14ac:dyDescent="0.25">
      <c r="A3711" s="49">
        <v>1344996130</v>
      </c>
      <c r="B3711" s="49" t="s">
        <v>1344</v>
      </c>
    </row>
    <row r="3712" spans="1:2" x14ac:dyDescent="0.25">
      <c r="A3712" s="49">
        <v>1344558169</v>
      </c>
      <c r="B3712" s="49" t="s">
        <v>1775</v>
      </c>
    </row>
    <row r="3713" spans="1:2" x14ac:dyDescent="0.25">
      <c r="A3713" s="49">
        <v>639531993</v>
      </c>
      <c r="B3713" s="49" t="s">
        <v>1242</v>
      </c>
    </row>
    <row r="3714" spans="1:2" x14ac:dyDescent="0.25">
      <c r="A3714" s="49">
        <v>609954468</v>
      </c>
      <c r="B3714" s="49" t="s">
        <v>1425</v>
      </c>
    </row>
    <row r="3715" spans="1:2" x14ac:dyDescent="0.25">
      <c r="A3715" s="49">
        <v>625546918</v>
      </c>
      <c r="B3715" s="49" t="s">
        <v>425</v>
      </c>
    </row>
    <row r="3716" spans="1:2" x14ac:dyDescent="0.25">
      <c r="A3716" s="49">
        <v>627704253</v>
      </c>
      <c r="B3716" s="49" t="s">
        <v>1373</v>
      </c>
    </row>
    <row r="3717" spans="1:2" x14ac:dyDescent="0.25">
      <c r="A3717" s="49">
        <v>656392081</v>
      </c>
      <c r="B3717" s="49" t="s">
        <v>1694</v>
      </c>
    </row>
    <row r="3718" spans="1:2" x14ac:dyDescent="0.25">
      <c r="A3718" s="49">
        <v>710391105</v>
      </c>
      <c r="B3718" s="49" t="s">
        <v>896</v>
      </c>
    </row>
    <row r="3719" spans="1:2" x14ac:dyDescent="0.25">
      <c r="A3719" s="49">
        <v>738496466</v>
      </c>
      <c r="B3719" s="49" t="s">
        <v>596</v>
      </c>
    </row>
    <row r="3720" spans="1:2" x14ac:dyDescent="0.25">
      <c r="A3720" s="49">
        <v>777660195</v>
      </c>
      <c r="B3720" s="49" t="s">
        <v>337</v>
      </c>
    </row>
    <row r="3721" spans="1:2" x14ac:dyDescent="0.25">
      <c r="A3721" s="49">
        <v>779902009</v>
      </c>
      <c r="B3721" s="49" t="s">
        <v>554</v>
      </c>
    </row>
    <row r="3722" spans="1:2" x14ac:dyDescent="0.25">
      <c r="A3722" s="49">
        <v>779901927</v>
      </c>
      <c r="B3722" s="49" t="s">
        <v>555</v>
      </c>
    </row>
    <row r="3723" spans="1:2" x14ac:dyDescent="0.25">
      <c r="A3723" s="49">
        <v>780628357</v>
      </c>
      <c r="B3723" s="49" t="s">
        <v>1081</v>
      </c>
    </row>
    <row r="3724" spans="1:2" x14ac:dyDescent="0.25">
      <c r="A3724" s="49">
        <v>780607015</v>
      </c>
      <c r="B3724" s="49" t="s">
        <v>1077</v>
      </c>
    </row>
    <row r="3725" spans="1:2" x14ac:dyDescent="0.25">
      <c r="A3725" s="49">
        <v>780835159</v>
      </c>
      <c r="B3725" s="49" t="s">
        <v>410</v>
      </c>
    </row>
    <row r="3726" spans="1:2" x14ac:dyDescent="0.25">
      <c r="A3726" s="49">
        <v>781347232</v>
      </c>
      <c r="B3726" s="49" t="s">
        <v>1112</v>
      </c>
    </row>
    <row r="3727" spans="1:2" x14ac:dyDescent="0.25">
      <c r="A3727" s="49">
        <v>781331688</v>
      </c>
      <c r="B3727" s="49" t="s">
        <v>1273</v>
      </c>
    </row>
    <row r="3728" spans="1:2" x14ac:dyDescent="0.25">
      <c r="A3728" s="49">
        <v>782121307</v>
      </c>
      <c r="B3728" s="49" t="s">
        <v>1268</v>
      </c>
    </row>
    <row r="3729" spans="1:2" x14ac:dyDescent="0.25">
      <c r="A3729" s="49">
        <v>782119504</v>
      </c>
      <c r="B3729" s="49" t="s">
        <v>1109</v>
      </c>
    </row>
    <row r="3730" spans="1:2" x14ac:dyDescent="0.25">
      <c r="A3730" s="49">
        <v>782114061</v>
      </c>
      <c r="B3730" s="49" t="s">
        <v>1175</v>
      </c>
    </row>
    <row r="3731" spans="1:2" x14ac:dyDescent="0.25">
      <c r="A3731" s="49">
        <v>861880533</v>
      </c>
      <c r="B3731" s="49" t="s">
        <v>1504</v>
      </c>
    </row>
    <row r="3732" spans="1:2" x14ac:dyDescent="0.25">
      <c r="A3732" s="49">
        <v>869244586</v>
      </c>
      <c r="B3732" s="49" t="s">
        <v>398</v>
      </c>
    </row>
    <row r="3733" spans="1:2" x14ac:dyDescent="0.25">
      <c r="A3733" s="49">
        <v>912751827</v>
      </c>
      <c r="B3733" s="49" t="s">
        <v>1370</v>
      </c>
    </row>
    <row r="3734" spans="1:2" x14ac:dyDescent="0.25">
      <c r="A3734" s="49">
        <v>928749364</v>
      </c>
      <c r="B3734" s="49" t="s">
        <v>1386</v>
      </c>
    </row>
    <row r="3735" spans="1:2" x14ac:dyDescent="0.25">
      <c r="A3735" s="49">
        <v>928917945</v>
      </c>
      <c r="B3735" s="49" t="s">
        <v>1015</v>
      </c>
    </row>
    <row r="3736" spans="1:2" x14ac:dyDescent="0.25">
      <c r="A3736" s="49">
        <v>928911703</v>
      </c>
      <c r="B3736" s="49" t="s">
        <v>951</v>
      </c>
    </row>
    <row r="3737" spans="1:2" x14ac:dyDescent="0.25">
      <c r="A3737" s="49">
        <v>1103701721</v>
      </c>
      <c r="B3737" s="49" t="s">
        <v>864</v>
      </c>
    </row>
    <row r="3738" spans="1:2" x14ac:dyDescent="0.25">
      <c r="A3738" s="49">
        <v>1363382885</v>
      </c>
      <c r="B3738" s="63" t="s">
        <v>1820</v>
      </c>
    </row>
    <row r="3739" spans="1:2" x14ac:dyDescent="0.25">
      <c r="A3739" s="49">
        <v>1443590616</v>
      </c>
      <c r="B3739" s="49" t="s">
        <v>686</v>
      </c>
    </row>
    <row r="3740" spans="1:2" x14ac:dyDescent="0.25">
      <c r="A3740" s="49">
        <v>1378890855</v>
      </c>
      <c r="B3740" s="49" t="s">
        <v>3745</v>
      </c>
    </row>
    <row r="3741" spans="1:2" x14ac:dyDescent="0.25">
      <c r="A3741" s="49">
        <v>639555059</v>
      </c>
      <c r="B3741" s="49" t="s">
        <v>605</v>
      </c>
    </row>
    <row r="3742" spans="1:2" x14ac:dyDescent="0.25">
      <c r="A3742" s="49">
        <v>641005468</v>
      </c>
      <c r="B3742" s="49" t="s">
        <v>1574</v>
      </c>
    </row>
    <row r="3743" spans="1:2" x14ac:dyDescent="0.25">
      <c r="A3743" s="49">
        <v>1133343331</v>
      </c>
      <c r="B3743" s="49" t="s">
        <v>164</v>
      </c>
    </row>
    <row r="3744" spans="1:2" x14ac:dyDescent="0.25">
      <c r="A3744" s="49">
        <v>618913604</v>
      </c>
      <c r="B3744" s="49" t="s">
        <v>909</v>
      </c>
    </row>
    <row r="3745" spans="1:2" x14ac:dyDescent="0.25">
      <c r="A3745" s="49">
        <v>622586496</v>
      </c>
      <c r="B3745" s="49" t="s">
        <v>1050</v>
      </c>
    </row>
    <row r="3746" spans="1:2" x14ac:dyDescent="0.25">
      <c r="A3746" s="49">
        <v>641405342</v>
      </c>
      <c r="B3746" s="49" t="s">
        <v>1492</v>
      </c>
    </row>
    <row r="3747" spans="1:2" x14ac:dyDescent="0.25">
      <c r="A3747" s="49">
        <v>662750452</v>
      </c>
      <c r="B3747" s="49" t="s">
        <v>117</v>
      </c>
    </row>
    <row r="3748" spans="1:2" x14ac:dyDescent="0.25">
      <c r="A3748" s="49">
        <v>699171616</v>
      </c>
      <c r="B3748" s="49" t="s">
        <v>1044</v>
      </c>
    </row>
    <row r="3749" spans="1:2" x14ac:dyDescent="0.25">
      <c r="A3749" s="49">
        <v>717076001</v>
      </c>
      <c r="B3749" s="49" t="s">
        <v>821</v>
      </c>
    </row>
    <row r="3750" spans="1:2" x14ac:dyDescent="0.25">
      <c r="A3750" s="49">
        <v>718167749</v>
      </c>
      <c r="B3750" s="49" t="s">
        <v>797</v>
      </c>
    </row>
    <row r="3751" spans="1:2" x14ac:dyDescent="0.25">
      <c r="A3751" s="49">
        <v>759872545</v>
      </c>
      <c r="B3751" s="49" t="s">
        <v>604</v>
      </c>
    </row>
    <row r="3752" spans="1:2" x14ac:dyDescent="0.25">
      <c r="A3752" s="49">
        <v>767695688</v>
      </c>
      <c r="B3752" s="49" t="s">
        <v>1643</v>
      </c>
    </row>
    <row r="3753" spans="1:2" x14ac:dyDescent="0.25">
      <c r="A3753" s="49">
        <v>777653820</v>
      </c>
      <c r="B3753" s="49" t="s">
        <v>358</v>
      </c>
    </row>
    <row r="3754" spans="1:2" x14ac:dyDescent="0.25">
      <c r="A3754" s="49">
        <v>777648392</v>
      </c>
      <c r="B3754" s="49" t="s">
        <v>291</v>
      </c>
    </row>
    <row r="3755" spans="1:2" x14ac:dyDescent="0.25">
      <c r="A3755" s="49">
        <v>778013642</v>
      </c>
      <c r="B3755" s="49" t="s">
        <v>797</v>
      </c>
    </row>
    <row r="3756" spans="1:2" x14ac:dyDescent="0.25">
      <c r="A3756" s="49">
        <v>778432528</v>
      </c>
      <c r="B3756" s="49" t="s">
        <v>710</v>
      </c>
    </row>
    <row r="3757" spans="1:2" x14ac:dyDescent="0.25">
      <c r="A3757" s="49">
        <v>780835046</v>
      </c>
      <c r="B3757" s="49" t="s">
        <v>414</v>
      </c>
    </row>
    <row r="3758" spans="1:2" x14ac:dyDescent="0.25">
      <c r="A3758" s="49">
        <v>781341827</v>
      </c>
      <c r="B3758" s="49" t="s">
        <v>1308</v>
      </c>
    </row>
    <row r="3759" spans="1:2" x14ac:dyDescent="0.25">
      <c r="A3759" s="49">
        <v>784071002</v>
      </c>
      <c r="B3759" s="49" t="s">
        <v>671</v>
      </c>
    </row>
    <row r="3760" spans="1:2" x14ac:dyDescent="0.25">
      <c r="A3760" s="49">
        <v>789194989</v>
      </c>
      <c r="B3760" s="49" t="s">
        <v>629</v>
      </c>
    </row>
    <row r="3761" spans="1:2" x14ac:dyDescent="0.25">
      <c r="A3761" s="49">
        <v>789194285</v>
      </c>
      <c r="B3761" s="49" t="s">
        <v>663</v>
      </c>
    </row>
    <row r="3762" spans="1:2" x14ac:dyDescent="0.25">
      <c r="A3762" s="49">
        <v>796631957</v>
      </c>
      <c r="B3762" s="49" t="s">
        <v>238</v>
      </c>
    </row>
    <row r="3763" spans="1:2" x14ac:dyDescent="0.25">
      <c r="A3763" s="49">
        <v>821990584</v>
      </c>
      <c r="B3763" s="49" t="s">
        <v>513</v>
      </c>
    </row>
    <row r="3764" spans="1:2" x14ac:dyDescent="0.25">
      <c r="A3764" s="49">
        <v>835440157</v>
      </c>
      <c r="B3764" s="49" t="s">
        <v>1357</v>
      </c>
    </row>
    <row r="3765" spans="1:2" x14ac:dyDescent="0.25">
      <c r="A3765" s="49">
        <v>845931340</v>
      </c>
      <c r="B3765" s="49" t="s">
        <v>462</v>
      </c>
    </row>
    <row r="3766" spans="1:2" x14ac:dyDescent="0.25">
      <c r="A3766" s="49">
        <v>845929375</v>
      </c>
      <c r="B3766" s="49" t="s">
        <v>465</v>
      </c>
    </row>
    <row r="3767" spans="1:2" x14ac:dyDescent="0.25">
      <c r="A3767" s="49">
        <v>1103322212</v>
      </c>
      <c r="B3767" s="49" t="s">
        <v>858</v>
      </c>
    </row>
    <row r="3768" spans="1:2" x14ac:dyDescent="0.25">
      <c r="A3768" s="49">
        <v>1150835411</v>
      </c>
      <c r="B3768" s="49" t="s">
        <v>276</v>
      </c>
    </row>
    <row r="3769" spans="1:2" x14ac:dyDescent="0.25">
      <c r="A3769" s="49">
        <v>1181891326</v>
      </c>
      <c r="B3769" s="49" t="s">
        <v>249</v>
      </c>
    </row>
    <row r="3770" spans="1:2" x14ac:dyDescent="0.25">
      <c r="A3770" s="49">
        <v>1355399379</v>
      </c>
      <c r="B3770" s="49" t="s">
        <v>1807</v>
      </c>
    </row>
    <row r="3771" spans="1:2" x14ac:dyDescent="0.25">
      <c r="A3771" s="49">
        <v>1397905304</v>
      </c>
      <c r="B3771" s="49" t="s">
        <v>1826</v>
      </c>
    </row>
    <row r="3772" spans="1:2" x14ac:dyDescent="0.25">
      <c r="A3772" s="49">
        <v>1370887995</v>
      </c>
      <c r="B3772" s="49" t="s">
        <v>3750</v>
      </c>
    </row>
    <row r="3773" spans="1:2" x14ac:dyDescent="0.25">
      <c r="A3773" s="49">
        <v>1451608452</v>
      </c>
      <c r="B3773" s="49" t="s">
        <v>794</v>
      </c>
    </row>
    <row r="3774" spans="1:2" x14ac:dyDescent="0.25">
      <c r="A3774" s="49">
        <v>628962371</v>
      </c>
      <c r="B3774" s="49" t="s">
        <v>1190</v>
      </c>
    </row>
    <row r="3775" spans="1:2" x14ac:dyDescent="0.25">
      <c r="A3775" s="49">
        <v>906008105</v>
      </c>
      <c r="B3775" s="49" t="s">
        <v>1097</v>
      </c>
    </row>
    <row r="3776" spans="1:2" x14ac:dyDescent="0.25">
      <c r="A3776" s="49">
        <v>919172187</v>
      </c>
      <c r="B3776" s="49" t="s">
        <v>502</v>
      </c>
    </row>
    <row r="3777" spans="1:2" x14ac:dyDescent="0.25">
      <c r="A3777" s="49">
        <v>1141375342</v>
      </c>
      <c r="B3777" s="49" t="s">
        <v>1602</v>
      </c>
    </row>
    <row r="3778" spans="1:2" x14ac:dyDescent="0.25">
      <c r="A3778" s="49">
        <v>799732576</v>
      </c>
      <c r="B3778" s="49" t="s">
        <v>1591</v>
      </c>
    </row>
    <row r="3779" spans="1:2" x14ac:dyDescent="0.25">
      <c r="A3779" s="49">
        <v>844546755</v>
      </c>
      <c r="B3779" s="49" t="s">
        <v>894</v>
      </c>
    </row>
    <row r="3780" spans="1:2" x14ac:dyDescent="0.25">
      <c r="A3780" s="49">
        <v>617137533</v>
      </c>
      <c r="B3780" s="49" t="s">
        <v>418</v>
      </c>
    </row>
    <row r="3781" spans="1:2" x14ac:dyDescent="0.25">
      <c r="A3781" s="49">
        <v>625579883</v>
      </c>
      <c r="B3781" s="49" t="s">
        <v>982</v>
      </c>
    </row>
    <row r="3782" spans="1:2" x14ac:dyDescent="0.25">
      <c r="A3782" s="49">
        <v>641903722</v>
      </c>
      <c r="B3782" s="49" t="s">
        <v>636</v>
      </c>
    </row>
    <row r="3783" spans="1:2" x14ac:dyDescent="0.25">
      <c r="A3783" s="49">
        <v>689724086</v>
      </c>
      <c r="B3783" s="49" t="s">
        <v>1332</v>
      </c>
    </row>
    <row r="3784" spans="1:2" x14ac:dyDescent="0.25">
      <c r="A3784" s="49">
        <v>758401902</v>
      </c>
      <c r="B3784" s="49" t="s">
        <v>916</v>
      </c>
    </row>
    <row r="3785" spans="1:2" x14ac:dyDescent="0.25">
      <c r="A3785" s="49">
        <v>767525857</v>
      </c>
      <c r="B3785" s="49" t="s">
        <v>214</v>
      </c>
    </row>
    <row r="3786" spans="1:2" x14ac:dyDescent="0.25">
      <c r="A3786" s="49">
        <v>775463560</v>
      </c>
      <c r="B3786" s="49" t="s">
        <v>1075</v>
      </c>
    </row>
    <row r="3787" spans="1:2" x14ac:dyDescent="0.25">
      <c r="A3787" s="49">
        <v>776433055</v>
      </c>
      <c r="B3787" s="49" t="s">
        <v>1515</v>
      </c>
    </row>
    <row r="3788" spans="1:2" x14ac:dyDescent="0.25">
      <c r="A3788" s="49">
        <v>777653102</v>
      </c>
      <c r="B3788" s="49" t="s">
        <v>329</v>
      </c>
    </row>
    <row r="3789" spans="1:2" x14ac:dyDescent="0.25">
      <c r="A3789" s="49">
        <v>778014374</v>
      </c>
      <c r="B3789" s="49" t="s">
        <v>786</v>
      </c>
    </row>
    <row r="3790" spans="1:2" x14ac:dyDescent="0.25">
      <c r="A3790" s="49">
        <v>778013209</v>
      </c>
      <c r="B3790" s="49" t="s">
        <v>803</v>
      </c>
    </row>
    <row r="3791" spans="1:2" x14ac:dyDescent="0.25">
      <c r="A3791" s="49">
        <v>779927844</v>
      </c>
      <c r="B3791" s="49" t="s">
        <v>639</v>
      </c>
    </row>
    <row r="3792" spans="1:2" x14ac:dyDescent="0.25">
      <c r="A3792" s="49">
        <v>780628329</v>
      </c>
      <c r="B3792" s="49" t="s">
        <v>1081</v>
      </c>
    </row>
    <row r="3793" spans="1:2" x14ac:dyDescent="0.25">
      <c r="A3793" s="49">
        <v>784334981</v>
      </c>
      <c r="B3793" s="49" t="s">
        <v>672</v>
      </c>
    </row>
    <row r="3794" spans="1:2" x14ac:dyDescent="0.25">
      <c r="A3794" s="49">
        <v>785332495</v>
      </c>
      <c r="B3794" s="49" t="s">
        <v>747</v>
      </c>
    </row>
    <row r="3795" spans="1:2" x14ac:dyDescent="0.25">
      <c r="A3795" s="49">
        <v>833974100</v>
      </c>
      <c r="B3795" s="49" t="s">
        <v>638</v>
      </c>
    </row>
    <row r="3796" spans="1:2" x14ac:dyDescent="0.25">
      <c r="A3796" s="49">
        <v>836737653</v>
      </c>
      <c r="B3796" s="49" t="s">
        <v>1670</v>
      </c>
    </row>
    <row r="3797" spans="1:2" x14ac:dyDescent="0.25">
      <c r="A3797" s="49">
        <v>909398612</v>
      </c>
      <c r="B3797" s="49" t="s">
        <v>1093</v>
      </c>
    </row>
    <row r="3798" spans="1:2" x14ac:dyDescent="0.25">
      <c r="A3798" s="49">
        <v>1121425858</v>
      </c>
      <c r="B3798" s="49" t="s">
        <v>1511</v>
      </c>
    </row>
    <row r="3799" spans="1:2" x14ac:dyDescent="0.25">
      <c r="A3799" s="49">
        <v>1122691722</v>
      </c>
      <c r="B3799" s="49" t="s">
        <v>1677</v>
      </c>
    </row>
    <row r="3800" spans="1:2" x14ac:dyDescent="0.25">
      <c r="A3800" s="49">
        <v>1147194387</v>
      </c>
      <c r="B3800" s="49" t="s">
        <v>1461</v>
      </c>
    </row>
    <row r="3801" spans="1:2" x14ac:dyDescent="0.25">
      <c r="A3801" s="49">
        <v>1163252742</v>
      </c>
      <c r="B3801" s="49" t="s">
        <v>1013</v>
      </c>
    </row>
    <row r="3802" spans="1:2" x14ac:dyDescent="0.25">
      <c r="A3802" s="49">
        <v>762403921</v>
      </c>
      <c r="B3802" s="49" t="s">
        <v>567</v>
      </c>
    </row>
    <row r="3803" spans="1:2" x14ac:dyDescent="0.25">
      <c r="A3803" s="49">
        <v>910603448</v>
      </c>
      <c r="B3803" s="49" t="s">
        <v>1678</v>
      </c>
    </row>
    <row r="3804" spans="1:2" x14ac:dyDescent="0.25">
      <c r="A3804" s="49">
        <v>912757482</v>
      </c>
      <c r="B3804" s="49" t="s">
        <v>149</v>
      </c>
    </row>
    <row r="3805" spans="1:2" x14ac:dyDescent="0.25">
      <c r="A3805" s="49">
        <v>612229238</v>
      </c>
      <c r="B3805" s="49" t="s">
        <v>728</v>
      </c>
    </row>
    <row r="3806" spans="1:2" x14ac:dyDescent="0.25">
      <c r="A3806" s="49">
        <v>1308848202</v>
      </c>
      <c r="B3806" s="49" t="s">
        <v>1739</v>
      </c>
    </row>
    <row r="3807" spans="1:2" x14ac:dyDescent="0.25">
      <c r="A3807" s="49">
        <v>1397990920</v>
      </c>
      <c r="B3807" s="49" t="s">
        <v>1827</v>
      </c>
    </row>
    <row r="3808" spans="1:2" x14ac:dyDescent="0.25">
      <c r="A3808" s="49">
        <v>1372586717</v>
      </c>
      <c r="B3808" s="49" t="s">
        <v>1838</v>
      </c>
    </row>
    <row r="3809" spans="1:2" x14ac:dyDescent="0.25">
      <c r="A3809" s="49">
        <v>615314576</v>
      </c>
      <c r="B3809" s="49" t="s">
        <v>771</v>
      </c>
    </row>
    <row r="3810" spans="1:2" x14ac:dyDescent="0.25">
      <c r="A3810" s="49">
        <v>719490571</v>
      </c>
      <c r="B3810" s="49" t="s">
        <v>789</v>
      </c>
    </row>
    <row r="3811" spans="1:2" x14ac:dyDescent="0.25">
      <c r="A3811" s="49">
        <v>762232899</v>
      </c>
      <c r="B3811" s="49" t="s">
        <v>825</v>
      </c>
    </row>
    <row r="3812" spans="1:2" x14ac:dyDescent="0.25">
      <c r="A3812" s="49">
        <v>766940098</v>
      </c>
      <c r="B3812" s="49" t="s">
        <v>1475</v>
      </c>
    </row>
    <row r="3813" spans="1:2" x14ac:dyDescent="0.25">
      <c r="A3813" s="49">
        <v>777652591</v>
      </c>
      <c r="B3813" s="49" t="s">
        <v>346</v>
      </c>
    </row>
    <row r="3814" spans="1:2" x14ac:dyDescent="0.25">
      <c r="A3814" s="49">
        <v>779460855</v>
      </c>
      <c r="B3814" s="49" t="s">
        <v>366</v>
      </c>
    </row>
    <row r="3815" spans="1:2" x14ac:dyDescent="0.25">
      <c r="A3815" s="49">
        <v>865770239</v>
      </c>
      <c r="B3815" s="49" t="s">
        <v>1374</v>
      </c>
    </row>
    <row r="3816" spans="1:2" x14ac:dyDescent="0.25">
      <c r="A3816" s="49">
        <v>928912638</v>
      </c>
      <c r="B3816" s="49" t="s">
        <v>1711</v>
      </c>
    </row>
    <row r="3817" spans="1:2" x14ac:dyDescent="0.25">
      <c r="A3817" s="49">
        <v>1122671091</v>
      </c>
      <c r="B3817" s="49" t="s">
        <v>183</v>
      </c>
    </row>
    <row r="3818" spans="1:2" x14ac:dyDescent="0.25">
      <c r="A3818" s="49">
        <v>1135693631</v>
      </c>
      <c r="B3818" s="49" t="s">
        <v>1358</v>
      </c>
    </row>
    <row r="3819" spans="1:2" x14ac:dyDescent="0.25">
      <c r="A3819" s="49">
        <v>1142736283</v>
      </c>
      <c r="B3819" s="49" t="s">
        <v>1208</v>
      </c>
    </row>
    <row r="3820" spans="1:2" x14ac:dyDescent="0.25">
      <c r="A3820" s="49">
        <v>1147500702</v>
      </c>
      <c r="B3820" s="49" t="s">
        <v>1603</v>
      </c>
    </row>
    <row r="3821" spans="1:2" x14ac:dyDescent="0.25">
      <c r="A3821" s="49">
        <v>1338601290</v>
      </c>
      <c r="B3821" s="49" t="s">
        <v>1742</v>
      </c>
    </row>
    <row r="3822" spans="1:2" x14ac:dyDescent="0.25">
      <c r="A3822" s="49">
        <v>1432412548</v>
      </c>
      <c r="B3822" s="49" t="s">
        <v>1284</v>
      </c>
    </row>
    <row r="3823" spans="1:2" x14ac:dyDescent="0.25">
      <c r="A3823" s="49">
        <v>1373198707</v>
      </c>
      <c r="B3823" s="49" t="s">
        <v>828</v>
      </c>
    </row>
    <row r="3824" spans="1:2" x14ac:dyDescent="0.25">
      <c r="A3824" s="49">
        <v>1379637979</v>
      </c>
      <c r="B3824" s="49" t="s">
        <v>946</v>
      </c>
    </row>
    <row r="3825" spans="1:2" x14ac:dyDescent="0.25">
      <c r="A3825" s="49">
        <v>1462100520</v>
      </c>
      <c r="B3825" s="49" t="s">
        <v>3746</v>
      </c>
    </row>
    <row r="3826" spans="1:2" x14ac:dyDescent="0.25">
      <c r="A3826" s="49">
        <v>1380482313</v>
      </c>
      <c r="B3826" s="49" t="s">
        <v>3746</v>
      </c>
    </row>
    <row r="3827" spans="1:2" x14ac:dyDescent="0.25">
      <c r="A3827" s="49">
        <v>1380482135</v>
      </c>
      <c r="B3827" s="49" t="s">
        <v>3746</v>
      </c>
    </row>
    <row r="3828" spans="1:2" x14ac:dyDescent="0.25">
      <c r="A3828" s="49">
        <v>1380434139</v>
      </c>
      <c r="B3828" s="49" t="s">
        <v>3746</v>
      </c>
    </row>
    <row r="3829" spans="1:2" x14ac:dyDescent="0.25">
      <c r="A3829" s="49">
        <v>1467741464</v>
      </c>
      <c r="B3829" s="49" t="s">
        <v>562</v>
      </c>
    </row>
    <row r="3830" spans="1:2" x14ac:dyDescent="0.25">
      <c r="A3830" s="49">
        <v>1465378702</v>
      </c>
      <c r="B3830" s="49" t="s">
        <v>934</v>
      </c>
    </row>
  </sheetData>
  <sheetProtection deleteRows="0" autoFilter="0"/>
  <autoFilter ref="A1:B3828" xr:uid="{78393027-E8C7-4D2E-BBBC-38C5061F32D9}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ABE5C-4DA1-4C70-A96D-5B586BF75A66}">
  <sheetPr codeName="Sheet2"/>
  <dimension ref="A1:Q37"/>
  <sheetViews>
    <sheetView showGridLines="0" tabSelected="1" topLeftCell="A3" workbookViewId="0">
      <selection activeCell="P6" sqref="P6"/>
    </sheetView>
  </sheetViews>
  <sheetFormatPr defaultColWidth="9.140625" defaultRowHeight="15" x14ac:dyDescent="0.25"/>
  <cols>
    <col min="1" max="1" width="2" style="1" customWidth="1"/>
    <col min="2" max="2" width="20" style="1" bestFit="1" customWidth="1"/>
    <col min="3" max="4" width="16.140625" style="1" customWidth="1"/>
    <col min="5" max="6" width="9.140625" style="1" hidden="1" customWidth="1"/>
    <col min="7" max="7" width="2.28515625" style="1" customWidth="1"/>
    <col min="8" max="8" width="20" style="1" bestFit="1" customWidth="1"/>
    <col min="9" max="10" width="16.140625" style="1" customWidth="1"/>
    <col min="11" max="12" width="9.140625" style="1" hidden="1" customWidth="1"/>
    <col min="13" max="13" width="1.140625" style="1" customWidth="1"/>
    <col min="14" max="14" width="1.85546875" style="1" customWidth="1"/>
    <col min="15" max="15" width="27.42578125" style="1" customWidth="1"/>
    <col min="16" max="16" width="11.5703125" style="1" bestFit="1" customWidth="1"/>
    <col min="17" max="17" width="33.5703125" style="1" customWidth="1"/>
    <col min="18" max="18" width="9.140625" style="1"/>
    <col min="19" max="19" width="9.5703125" style="1" bestFit="1" customWidth="1"/>
    <col min="20" max="16384" width="9.140625" style="1"/>
  </cols>
  <sheetData>
    <row r="1" spans="1:17" hidden="1" x14ac:dyDescent="0.25">
      <c r="A1" s="1" t="s">
        <v>3633</v>
      </c>
      <c r="B1" s="1" t="s">
        <v>3634</v>
      </c>
      <c r="C1" s="1" t="s">
        <v>3635</v>
      </c>
      <c r="D1" s="1" t="s">
        <v>3636</v>
      </c>
      <c r="E1" s="1" t="s">
        <v>3637</v>
      </c>
      <c r="F1" s="1" t="s">
        <v>3677</v>
      </c>
    </row>
    <row r="2" spans="1:17" hidden="1" x14ac:dyDescent="0.25">
      <c r="A2" s="36">
        <f>+D8</f>
        <v>4.3090124979782846E-2</v>
      </c>
      <c r="B2" s="37">
        <f>+J5</f>
        <v>1573</v>
      </c>
      <c r="C2" s="38">
        <f>+J6</f>
        <v>0.08</v>
      </c>
      <c r="D2" s="38">
        <f>+P5</f>
        <v>7.0000000000000007E-2</v>
      </c>
      <c r="E2" s="38">
        <f>+P6</f>
        <v>0.25</v>
      </c>
      <c r="F2" s="1" t="str">
        <f>+I8</f>
        <v>info@prodmusicales.com.ar</v>
      </c>
    </row>
    <row r="3" spans="1:17" ht="15.75" thickBot="1" x14ac:dyDescent="0.3">
      <c r="B3" s="2">
        <v>0.1</v>
      </c>
      <c r="C3" s="2" t="str">
        <f>RIGHT(LEFT(B3,2),1)</f>
        <v>.</v>
      </c>
      <c r="D3" s="2" t="str">
        <f>IF(C3=".",",",".")</f>
        <v>,</v>
      </c>
    </row>
    <row r="4" spans="1:17" ht="15.75" thickBot="1" x14ac:dyDescent="0.3">
      <c r="B4" s="65" t="s">
        <v>37</v>
      </c>
      <c r="C4" s="67"/>
      <c r="D4" s="66"/>
      <c r="H4" s="74" t="s">
        <v>38</v>
      </c>
      <c r="I4" s="75"/>
      <c r="J4" s="76"/>
      <c r="O4" s="65" t="s">
        <v>39</v>
      </c>
      <c r="P4" s="66"/>
    </row>
    <row r="5" spans="1:17" x14ac:dyDescent="0.25">
      <c r="B5" s="68" t="s">
        <v>40</v>
      </c>
      <c r="C5" s="69"/>
      <c r="D5" s="29">
        <v>6076089.1299999999</v>
      </c>
      <c r="H5" s="77" t="s">
        <v>41</v>
      </c>
      <c r="I5" s="78"/>
      <c r="J5" s="29">
        <f>1300*1.21</f>
        <v>1573</v>
      </c>
      <c r="O5" s="22" t="s">
        <v>42</v>
      </c>
      <c r="P5" s="23">
        <v>7.0000000000000007E-2</v>
      </c>
    </row>
    <row r="6" spans="1:17" ht="15.75" thickBot="1" x14ac:dyDescent="0.3">
      <c r="B6" s="70" t="s">
        <v>44</v>
      </c>
      <c r="C6" s="71"/>
      <c r="D6" s="28">
        <f>+Q13</f>
        <v>199819.44</v>
      </c>
      <c r="H6" s="72" t="s">
        <v>45</v>
      </c>
      <c r="I6" s="73"/>
      <c r="J6" s="25">
        <v>0.08</v>
      </c>
      <c r="O6" s="24" t="s">
        <v>46</v>
      </c>
      <c r="P6" s="25">
        <v>0.25</v>
      </c>
    </row>
    <row r="7" spans="1:17" x14ac:dyDescent="0.25">
      <c r="B7" s="70" t="s">
        <v>47</v>
      </c>
      <c r="C7" s="71"/>
      <c r="D7" s="26">
        <v>62000</v>
      </c>
    </row>
    <row r="8" spans="1:17" ht="15.75" thickBot="1" x14ac:dyDescent="0.3">
      <c r="B8" s="72" t="s">
        <v>48</v>
      </c>
      <c r="C8" s="73"/>
      <c r="D8" s="27">
        <f>SUM(D6:D7)/D5</f>
        <v>4.3090124979782846E-2</v>
      </c>
      <c r="H8" s="61" t="s">
        <v>3676</v>
      </c>
      <c r="I8" s="79" t="s">
        <v>3678</v>
      </c>
      <c r="J8" s="79"/>
    </row>
    <row r="11" spans="1:17" ht="15.75" thickBot="1" x14ac:dyDescent="0.3"/>
    <row r="12" spans="1:17" ht="15.75" thickBot="1" x14ac:dyDescent="0.3">
      <c r="B12" s="65" t="s">
        <v>3</v>
      </c>
      <c r="C12" s="67"/>
      <c r="D12" s="66"/>
      <c r="H12" s="65" t="s">
        <v>4</v>
      </c>
      <c r="I12" s="67"/>
      <c r="J12" s="66"/>
    </row>
    <row r="13" spans="1:17" ht="36.75" thickBot="1" x14ac:dyDescent="0.3">
      <c r="B13" s="3" t="s">
        <v>5</v>
      </c>
      <c r="C13" s="4" t="s">
        <v>6</v>
      </c>
      <c r="D13" s="5" t="s">
        <v>7</v>
      </c>
      <c r="E13" s="6" t="s">
        <v>8</v>
      </c>
      <c r="F13" s="6" t="s">
        <v>9</v>
      </c>
      <c r="H13" s="3" t="s">
        <v>5</v>
      </c>
      <c r="I13" s="4" t="s">
        <v>6</v>
      </c>
      <c r="J13" s="5" t="s">
        <v>7</v>
      </c>
      <c r="O13" s="7" t="s">
        <v>10</v>
      </c>
      <c r="P13" s="8" t="s">
        <v>11</v>
      </c>
      <c r="Q13" s="9">
        <f>SUM(P14:P37)</f>
        <v>199819.44</v>
      </c>
    </row>
    <row r="14" spans="1:17" x14ac:dyDescent="0.25">
      <c r="B14" s="10" t="s">
        <v>12</v>
      </c>
      <c r="C14" s="11" t="s">
        <v>1841</v>
      </c>
      <c r="D14" s="11" t="s">
        <v>1842</v>
      </c>
      <c r="E14" s="1">
        <f t="shared" ref="E14:E37" si="0">IFERROR(C14*1,SUBSTITUTE(SUBSTITUTE(SUBSTITUTE(C14,"$",""),$C$3,""),$D$3,$C$3))*1</f>
        <v>82453.990000000005</v>
      </c>
      <c r="F14" s="1">
        <f t="shared" ref="F14:F37" si="1">IFERROR(D14*1,SUBSTITUTE(SUBSTITUTE(SUBSTITUTE(D14,"$",""),$C$3,""),$D$3,$C$3))*1</f>
        <v>363018.51</v>
      </c>
      <c r="H14" s="10" t="s">
        <v>12</v>
      </c>
      <c r="I14" s="11" t="s">
        <v>3693</v>
      </c>
      <c r="J14" s="11" t="s">
        <v>3694</v>
      </c>
      <c r="K14" s="1">
        <f t="shared" ref="K14:K37" si="2">IFERROR(I14*1,SUBSTITUTE(SUBSTITUTE(SUBSTITUTE(I14,"$",""),$C$3,""),$D$3,$C$3))*1</f>
        <v>56780.04</v>
      </c>
      <c r="L14" s="1">
        <f t="shared" ref="L14:L37" si="3">IFERROR(J14*1,SUBSTITUTE(SUBSTITUTE(SUBSTITUTE(J14,"$",""),$C$3,""),$D$3,$C$3))*1</f>
        <v>350359.92</v>
      </c>
      <c r="O14" s="12" t="s">
        <v>12</v>
      </c>
      <c r="P14" s="13">
        <f t="shared" ref="P14:P37" si="4">IFERROR(IF(AND(COUNTIF(H:H,O14)&gt;0,COUNTIF(B:B,O14)=0),VLOOKUP(O14,H:L,4,0),VLOOKUP(O14,H:L,4,0)+IF((VLOOKUP(O14,H:L,5,0)-VLOOKUP(O14,B:F,5,0))&gt;0,VLOOKUP(O14,H:L,5,0)-VLOOKUP(O14,B:F,5,0),0)),0)</f>
        <v>56780.04</v>
      </c>
      <c r="Q14" s="14" t="str">
        <f t="shared" ref="Q14:Q37" si="5">IF(COUNTIF($H$14:$H$37,O14)=0,"No Inscripto, verificar con Contador",IF((VLOOKUP(O14,H:M,5,0)-IFERROR(VLOOKUP(O14,B:G,5,0),0))&gt;0,"Subió el Saldo Acumulado","Bajó el Saldo Acumulado"))</f>
        <v>Bajó el Saldo Acumulado</v>
      </c>
    </row>
    <row r="15" spans="1:17" x14ac:dyDescent="0.25">
      <c r="B15" s="15" t="s">
        <v>13</v>
      </c>
      <c r="C15" s="16" t="s">
        <v>1843</v>
      </c>
      <c r="D15" s="16" t="s">
        <v>14</v>
      </c>
      <c r="E15" s="1">
        <f t="shared" si="0"/>
        <v>94404.17</v>
      </c>
      <c r="F15" s="1">
        <f t="shared" si="1"/>
        <v>0</v>
      </c>
      <c r="H15" s="15" t="s">
        <v>13</v>
      </c>
      <c r="I15" s="16" t="s">
        <v>3695</v>
      </c>
      <c r="J15" s="16" t="s">
        <v>14</v>
      </c>
      <c r="K15" s="1">
        <f t="shared" si="2"/>
        <v>65009.25</v>
      </c>
      <c r="L15" s="1">
        <f t="shared" si="3"/>
        <v>0</v>
      </c>
      <c r="O15" s="17" t="s">
        <v>13</v>
      </c>
      <c r="P15" s="18">
        <f t="shared" si="4"/>
        <v>65009.25</v>
      </c>
      <c r="Q15" s="14" t="str">
        <f t="shared" si="5"/>
        <v>Bajó el Saldo Acumulado</v>
      </c>
    </row>
    <row r="16" spans="1:17" x14ac:dyDescent="0.25">
      <c r="B16" s="15" t="s">
        <v>15</v>
      </c>
      <c r="C16" s="16" t="s">
        <v>1844</v>
      </c>
      <c r="D16" s="16" t="s">
        <v>1845</v>
      </c>
      <c r="E16" s="1">
        <f t="shared" si="0"/>
        <v>7493.15</v>
      </c>
      <c r="F16" s="1">
        <f t="shared" si="1"/>
        <v>40495.64</v>
      </c>
      <c r="H16" s="15" t="s">
        <v>15</v>
      </c>
      <c r="I16" s="16" t="s">
        <v>3696</v>
      </c>
      <c r="J16" s="16" t="s">
        <v>3697</v>
      </c>
      <c r="K16" s="1">
        <f t="shared" si="2"/>
        <v>5159.9799999999996</v>
      </c>
      <c r="L16" s="1">
        <f t="shared" si="3"/>
        <v>35335.660000000003</v>
      </c>
      <c r="O16" s="17" t="s">
        <v>15</v>
      </c>
      <c r="P16" s="18">
        <f t="shared" si="4"/>
        <v>5159.9799999999996</v>
      </c>
      <c r="Q16" s="14" t="str">
        <f t="shared" si="5"/>
        <v>Bajó el Saldo Acumulado</v>
      </c>
    </row>
    <row r="17" spans="2:17" x14ac:dyDescent="0.25">
      <c r="B17" s="15" t="s">
        <v>16</v>
      </c>
      <c r="C17" s="16" t="s">
        <v>1846</v>
      </c>
      <c r="D17" s="16" t="s">
        <v>1847</v>
      </c>
      <c r="E17" s="1">
        <f t="shared" si="0"/>
        <v>13328.18</v>
      </c>
      <c r="F17" s="1">
        <f t="shared" si="1"/>
        <v>9345.8799999999992</v>
      </c>
      <c r="H17" s="15" t="s">
        <v>16</v>
      </c>
      <c r="I17" s="16" t="s">
        <v>3698</v>
      </c>
      <c r="J17" s="16" t="s">
        <v>3699</v>
      </c>
      <c r="K17" s="1">
        <f t="shared" si="2"/>
        <v>9178.14</v>
      </c>
      <c r="L17" s="1">
        <f t="shared" si="3"/>
        <v>16682.3</v>
      </c>
      <c r="O17" s="17" t="s">
        <v>16</v>
      </c>
      <c r="P17" s="18">
        <f t="shared" si="4"/>
        <v>16514.559999999998</v>
      </c>
      <c r="Q17" s="14" t="str">
        <f t="shared" si="5"/>
        <v>Subió el Saldo Acumulado</v>
      </c>
    </row>
    <row r="18" spans="2:17" x14ac:dyDescent="0.25">
      <c r="B18" s="15" t="s">
        <v>17</v>
      </c>
      <c r="C18" s="16" t="s">
        <v>1848</v>
      </c>
      <c r="D18" s="16" t="s">
        <v>1849</v>
      </c>
      <c r="E18" s="1">
        <f t="shared" si="0"/>
        <v>5088.05</v>
      </c>
      <c r="F18" s="1">
        <f t="shared" si="1"/>
        <v>23878.97</v>
      </c>
      <c r="H18" s="15" t="s">
        <v>17</v>
      </c>
      <c r="I18" s="16" t="s">
        <v>3700</v>
      </c>
      <c r="J18" s="16" t="s">
        <v>3701</v>
      </c>
      <c r="K18" s="1">
        <f t="shared" si="2"/>
        <v>3503.77</v>
      </c>
      <c r="L18" s="1">
        <f t="shared" si="3"/>
        <v>21251.71</v>
      </c>
      <c r="O18" s="17" t="s">
        <v>17</v>
      </c>
      <c r="P18" s="18">
        <f t="shared" si="4"/>
        <v>3503.77</v>
      </c>
      <c r="Q18" s="14" t="str">
        <f t="shared" si="5"/>
        <v>Bajó el Saldo Acumulado</v>
      </c>
    </row>
    <row r="19" spans="2:17" x14ac:dyDescent="0.25">
      <c r="B19" s="15" t="s">
        <v>18</v>
      </c>
      <c r="C19" s="16" t="s">
        <v>1850</v>
      </c>
      <c r="D19" s="16" t="s">
        <v>14</v>
      </c>
      <c r="E19" s="1">
        <f t="shared" si="0"/>
        <v>1739.44</v>
      </c>
      <c r="F19" s="1">
        <f t="shared" si="1"/>
        <v>0</v>
      </c>
      <c r="H19" s="15" t="s">
        <v>18</v>
      </c>
      <c r="I19" s="16" t="s">
        <v>3702</v>
      </c>
      <c r="J19" s="16" t="s">
        <v>14</v>
      </c>
      <c r="K19" s="1">
        <f t="shared" si="2"/>
        <v>1197.83</v>
      </c>
      <c r="L19" s="1">
        <f t="shared" si="3"/>
        <v>0</v>
      </c>
      <c r="O19" s="17" t="s">
        <v>18</v>
      </c>
      <c r="P19" s="18">
        <f t="shared" si="4"/>
        <v>1197.83</v>
      </c>
      <c r="Q19" s="14" t="str">
        <f t="shared" si="5"/>
        <v>Bajó el Saldo Acumulado</v>
      </c>
    </row>
    <row r="20" spans="2:17" x14ac:dyDescent="0.25">
      <c r="B20" s="15" t="s">
        <v>19</v>
      </c>
      <c r="C20" s="16" t="s">
        <v>1851</v>
      </c>
      <c r="D20" s="16" t="s">
        <v>14</v>
      </c>
      <c r="E20" s="1">
        <f t="shared" si="0"/>
        <v>564.75</v>
      </c>
      <c r="F20" s="1">
        <f t="shared" si="1"/>
        <v>0</v>
      </c>
      <c r="H20" s="15" t="s">
        <v>19</v>
      </c>
      <c r="I20" s="16" t="s">
        <v>3703</v>
      </c>
      <c r="J20" s="16" t="s">
        <v>3704</v>
      </c>
      <c r="K20" s="1">
        <f t="shared" si="2"/>
        <v>388.9</v>
      </c>
      <c r="L20" s="1">
        <f t="shared" si="3"/>
        <v>419.05</v>
      </c>
      <c r="O20" s="17" t="s">
        <v>19</v>
      </c>
      <c r="P20" s="18">
        <f t="shared" si="4"/>
        <v>807.95</v>
      </c>
      <c r="Q20" s="14" t="str">
        <f t="shared" si="5"/>
        <v>Subió el Saldo Acumulado</v>
      </c>
    </row>
    <row r="21" spans="2:17" x14ac:dyDescent="0.25">
      <c r="B21" s="15" t="s">
        <v>20</v>
      </c>
      <c r="C21" s="16" t="s">
        <v>1852</v>
      </c>
      <c r="D21" s="16" t="s">
        <v>14</v>
      </c>
      <c r="E21" s="1">
        <f t="shared" si="0"/>
        <v>6377.95</v>
      </c>
      <c r="F21" s="1">
        <f t="shared" si="1"/>
        <v>0</v>
      </c>
      <c r="H21" s="15" t="s">
        <v>20</v>
      </c>
      <c r="I21" s="16" t="s">
        <v>3705</v>
      </c>
      <c r="J21" s="16" t="s">
        <v>14</v>
      </c>
      <c r="K21" s="1">
        <f t="shared" si="2"/>
        <v>4392.03</v>
      </c>
      <c r="L21" s="1">
        <f t="shared" si="3"/>
        <v>0</v>
      </c>
      <c r="O21" s="17" t="s">
        <v>20</v>
      </c>
      <c r="P21" s="18">
        <f t="shared" si="4"/>
        <v>4392.03</v>
      </c>
      <c r="Q21" s="14" t="str">
        <f t="shared" si="5"/>
        <v>Bajó el Saldo Acumulado</v>
      </c>
    </row>
    <row r="22" spans="2:17" x14ac:dyDescent="0.25">
      <c r="B22" s="15" t="s">
        <v>21</v>
      </c>
      <c r="C22" s="16" t="s">
        <v>1853</v>
      </c>
      <c r="D22" s="16" t="s">
        <v>14</v>
      </c>
      <c r="E22" s="1">
        <f t="shared" si="0"/>
        <v>2371.96</v>
      </c>
      <c r="F22" s="1">
        <f t="shared" si="1"/>
        <v>0</v>
      </c>
      <c r="H22" s="15" t="s">
        <v>21</v>
      </c>
      <c r="I22" s="16" t="s">
        <v>3706</v>
      </c>
      <c r="J22" s="16" t="s">
        <v>14</v>
      </c>
      <c r="K22" s="1">
        <f t="shared" si="2"/>
        <v>1633.4</v>
      </c>
      <c r="L22" s="1">
        <f t="shared" si="3"/>
        <v>0</v>
      </c>
      <c r="O22" s="17" t="s">
        <v>21</v>
      </c>
      <c r="P22" s="18">
        <f t="shared" si="4"/>
        <v>1633.4</v>
      </c>
      <c r="Q22" s="14" t="str">
        <f t="shared" si="5"/>
        <v>Bajó el Saldo Acumulado</v>
      </c>
    </row>
    <row r="23" spans="2:17" x14ac:dyDescent="0.25">
      <c r="B23" s="15" t="s">
        <v>22</v>
      </c>
      <c r="C23" s="16" t="s">
        <v>1854</v>
      </c>
      <c r="D23" s="16" t="s">
        <v>14</v>
      </c>
      <c r="E23" s="1">
        <f t="shared" si="0"/>
        <v>1423.18</v>
      </c>
      <c r="F23" s="1">
        <f t="shared" si="1"/>
        <v>0</v>
      </c>
      <c r="H23" s="15" t="s">
        <v>22</v>
      </c>
      <c r="I23" s="16" t="s">
        <v>3707</v>
      </c>
      <c r="J23" s="16" t="s">
        <v>14</v>
      </c>
      <c r="K23" s="1">
        <f t="shared" si="2"/>
        <v>980.04</v>
      </c>
      <c r="L23" s="1">
        <f t="shared" si="3"/>
        <v>0</v>
      </c>
      <c r="O23" s="17" t="s">
        <v>22</v>
      </c>
      <c r="P23" s="18">
        <f t="shared" si="4"/>
        <v>980.04</v>
      </c>
      <c r="Q23" s="14" t="str">
        <f t="shared" si="5"/>
        <v>Bajó el Saldo Acumulado</v>
      </c>
    </row>
    <row r="24" spans="2:17" x14ac:dyDescent="0.25">
      <c r="B24" s="15" t="s">
        <v>23</v>
      </c>
      <c r="C24" s="16" t="s">
        <v>1855</v>
      </c>
      <c r="D24" s="16" t="s">
        <v>1856</v>
      </c>
      <c r="E24" s="1">
        <f t="shared" si="0"/>
        <v>112.95</v>
      </c>
      <c r="F24" s="1">
        <f t="shared" si="1"/>
        <v>380.71</v>
      </c>
      <c r="H24" s="15" t="s">
        <v>23</v>
      </c>
      <c r="I24" s="16" t="s">
        <v>3708</v>
      </c>
      <c r="J24" s="16" t="s">
        <v>3709</v>
      </c>
      <c r="K24" s="1">
        <f t="shared" si="2"/>
        <v>77.78</v>
      </c>
      <c r="L24" s="1">
        <f t="shared" si="3"/>
        <v>302.93</v>
      </c>
      <c r="O24" s="17" t="s">
        <v>23</v>
      </c>
      <c r="P24" s="18">
        <f t="shared" si="4"/>
        <v>77.78</v>
      </c>
      <c r="Q24" s="14" t="str">
        <f t="shared" si="5"/>
        <v>Bajó el Saldo Acumulado</v>
      </c>
    </row>
    <row r="25" spans="2:17" x14ac:dyDescent="0.25">
      <c r="B25" s="15" t="s">
        <v>24</v>
      </c>
      <c r="C25" s="16" t="s">
        <v>1857</v>
      </c>
      <c r="D25" s="16" t="s">
        <v>14</v>
      </c>
      <c r="E25" s="1">
        <f t="shared" si="0"/>
        <v>207.08</v>
      </c>
      <c r="F25" s="1">
        <f t="shared" si="1"/>
        <v>0</v>
      </c>
      <c r="H25" s="15" t="s">
        <v>24</v>
      </c>
      <c r="I25" s="16" t="s">
        <v>3710</v>
      </c>
      <c r="J25" s="16" t="s">
        <v>3711</v>
      </c>
      <c r="K25" s="1">
        <f t="shared" si="2"/>
        <v>142.6</v>
      </c>
      <c r="L25" s="1">
        <f t="shared" si="3"/>
        <v>134.36000000000001</v>
      </c>
      <c r="O25" s="17" t="s">
        <v>24</v>
      </c>
      <c r="P25" s="18">
        <f t="shared" si="4"/>
        <v>276.96000000000004</v>
      </c>
      <c r="Q25" s="14" t="str">
        <f t="shared" si="5"/>
        <v>Subió el Saldo Acumulado</v>
      </c>
    </row>
    <row r="26" spans="2:17" x14ac:dyDescent="0.25">
      <c r="B26" s="15" t="s">
        <v>25</v>
      </c>
      <c r="C26" s="16" t="s">
        <v>1858</v>
      </c>
      <c r="D26" s="16" t="s">
        <v>14</v>
      </c>
      <c r="E26" s="1">
        <f t="shared" si="0"/>
        <v>1370.47</v>
      </c>
      <c r="F26" s="1">
        <f t="shared" si="1"/>
        <v>0</v>
      </c>
      <c r="H26" s="15" t="s">
        <v>25</v>
      </c>
      <c r="I26" s="16" t="s">
        <v>3712</v>
      </c>
      <c r="J26" s="16" t="s">
        <v>14</v>
      </c>
      <c r="K26" s="1">
        <f t="shared" si="2"/>
        <v>943.74</v>
      </c>
      <c r="L26" s="1">
        <f t="shared" si="3"/>
        <v>0</v>
      </c>
      <c r="O26" s="17" t="s">
        <v>25</v>
      </c>
      <c r="P26" s="18">
        <f t="shared" si="4"/>
        <v>943.74</v>
      </c>
      <c r="Q26" s="14" t="str">
        <f t="shared" si="5"/>
        <v>Bajó el Saldo Acumulado</v>
      </c>
    </row>
    <row r="27" spans="2:17" x14ac:dyDescent="0.25">
      <c r="B27" s="15" t="s">
        <v>26</v>
      </c>
      <c r="C27" s="16" t="s">
        <v>1859</v>
      </c>
      <c r="D27" s="16" t="s">
        <v>1860</v>
      </c>
      <c r="E27" s="1">
        <f t="shared" si="0"/>
        <v>135.54</v>
      </c>
      <c r="F27" s="1">
        <f t="shared" si="1"/>
        <v>3051.43</v>
      </c>
      <c r="H27" s="15" t="s">
        <v>26</v>
      </c>
      <c r="I27" s="16" t="s">
        <v>3713</v>
      </c>
      <c r="J27" s="16" t="s">
        <v>3714</v>
      </c>
      <c r="K27" s="1">
        <f t="shared" si="2"/>
        <v>93.34</v>
      </c>
      <c r="L27" s="1">
        <f t="shared" si="3"/>
        <v>4765.22</v>
      </c>
      <c r="O27" s="17" t="s">
        <v>26</v>
      </c>
      <c r="P27" s="18">
        <f t="shared" si="4"/>
        <v>1807.1300000000003</v>
      </c>
      <c r="Q27" s="14" t="str">
        <f t="shared" si="5"/>
        <v>Subió el Saldo Acumulado</v>
      </c>
    </row>
    <row r="28" spans="2:17" x14ac:dyDescent="0.25">
      <c r="B28" s="15" t="s">
        <v>27</v>
      </c>
      <c r="C28" s="16" t="s">
        <v>1861</v>
      </c>
      <c r="D28" s="16" t="s">
        <v>1862</v>
      </c>
      <c r="E28" s="1">
        <f t="shared" si="0"/>
        <v>203.31</v>
      </c>
      <c r="F28" s="1">
        <f t="shared" si="1"/>
        <v>1028.99</v>
      </c>
      <c r="H28" s="15" t="s">
        <v>27</v>
      </c>
      <c r="I28" s="16" t="s">
        <v>3715</v>
      </c>
      <c r="J28" s="16" t="s">
        <v>3716</v>
      </c>
      <c r="K28" s="1">
        <f t="shared" si="2"/>
        <v>140.01</v>
      </c>
      <c r="L28" s="1">
        <f t="shared" si="3"/>
        <v>1597.33</v>
      </c>
      <c r="O28" s="17" t="s">
        <v>27</v>
      </c>
      <c r="P28" s="18">
        <f t="shared" si="4"/>
        <v>708.34999999999991</v>
      </c>
      <c r="Q28" s="14" t="str">
        <f t="shared" si="5"/>
        <v>Subió el Saldo Acumulado</v>
      </c>
    </row>
    <row r="29" spans="2:17" x14ac:dyDescent="0.25">
      <c r="B29" s="15" t="s">
        <v>28</v>
      </c>
      <c r="C29" s="16" t="s">
        <v>1863</v>
      </c>
      <c r="D29" s="16" t="s">
        <v>1864</v>
      </c>
      <c r="E29" s="1">
        <f t="shared" si="0"/>
        <v>4028.57</v>
      </c>
      <c r="F29" s="1">
        <f t="shared" si="1"/>
        <v>10928.67</v>
      </c>
      <c r="H29" s="15" t="s">
        <v>28</v>
      </c>
      <c r="I29" s="16" t="s">
        <v>3717</v>
      </c>
      <c r="J29" s="16" t="s">
        <v>3718</v>
      </c>
      <c r="K29" s="1">
        <f t="shared" si="2"/>
        <v>2774.18</v>
      </c>
      <c r="L29" s="1">
        <f t="shared" si="3"/>
        <v>12353.46</v>
      </c>
      <c r="O29" s="17" t="s">
        <v>28</v>
      </c>
      <c r="P29" s="18">
        <f t="shared" si="4"/>
        <v>4198.9699999999993</v>
      </c>
      <c r="Q29" s="14" t="str">
        <f t="shared" si="5"/>
        <v>Subió el Saldo Acumulado</v>
      </c>
    </row>
    <row r="30" spans="2:17" x14ac:dyDescent="0.25">
      <c r="B30" s="15" t="s">
        <v>29</v>
      </c>
      <c r="C30" s="16" t="s">
        <v>1865</v>
      </c>
      <c r="D30" s="16" t="s">
        <v>1866</v>
      </c>
      <c r="E30" s="1">
        <f t="shared" si="0"/>
        <v>6513.49</v>
      </c>
      <c r="F30" s="1">
        <f t="shared" si="1"/>
        <v>85299.66</v>
      </c>
      <c r="H30" s="15" t="s">
        <v>29</v>
      </c>
      <c r="I30" s="16" t="s">
        <v>3719</v>
      </c>
      <c r="J30" s="16" t="s">
        <v>3720</v>
      </c>
      <c r="K30" s="1">
        <f t="shared" si="2"/>
        <v>4485.3599999999997</v>
      </c>
      <c r="L30" s="1">
        <f t="shared" si="3"/>
        <v>94067.01</v>
      </c>
      <c r="O30" s="17" t="s">
        <v>29</v>
      </c>
      <c r="P30" s="18">
        <f t="shared" si="4"/>
        <v>13252.709999999992</v>
      </c>
      <c r="Q30" s="14" t="str">
        <f t="shared" si="5"/>
        <v>Subió el Saldo Acumulado</v>
      </c>
    </row>
    <row r="31" spans="2:17" x14ac:dyDescent="0.25">
      <c r="B31" s="15" t="s">
        <v>30</v>
      </c>
      <c r="C31" s="16" t="s">
        <v>1867</v>
      </c>
      <c r="D31" s="16" t="s">
        <v>14</v>
      </c>
      <c r="E31" s="1">
        <f t="shared" si="0"/>
        <v>4141.5200000000004</v>
      </c>
      <c r="F31" s="1">
        <f t="shared" si="1"/>
        <v>0</v>
      </c>
      <c r="H31" s="15" t="s">
        <v>30</v>
      </c>
      <c r="I31" s="16" t="s">
        <v>3721</v>
      </c>
      <c r="J31" s="16" t="s">
        <v>14</v>
      </c>
      <c r="K31" s="1">
        <f t="shared" si="2"/>
        <v>2851.97</v>
      </c>
      <c r="L31" s="1">
        <f t="shared" si="3"/>
        <v>0</v>
      </c>
      <c r="O31" s="17" t="s">
        <v>30</v>
      </c>
      <c r="P31" s="18">
        <f t="shared" si="4"/>
        <v>2851.97</v>
      </c>
      <c r="Q31" s="14" t="str">
        <f t="shared" si="5"/>
        <v>Bajó el Saldo Acumulado</v>
      </c>
    </row>
    <row r="32" spans="2:17" x14ac:dyDescent="0.25">
      <c r="B32" s="15" t="s">
        <v>31</v>
      </c>
      <c r="C32" s="16" t="s">
        <v>1868</v>
      </c>
      <c r="D32" s="16" t="s">
        <v>14</v>
      </c>
      <c r="E32" s="1">
        <f t="shared" si="0"/>
        <v>2530.09</v>
      </c>
      <c r="F32" s="1">
        <f t="shared" si="1"/>
        <v>0</v>
      </c>
      <c r="H32" s="15" t="s">
        <v>31</v>
      </c>
      <c r="I32" s="16" t="s">
        <v>3722</v>
      </c>
      <c r="J32" s="16" t="s">
        <v>14</v>
      </c>
      <c r="K32" s="1">
        <f t="shared" si="2"/>
        <v>1742.29</v>
      </c>
      <c r="L32" s="1">
        <f t="shared" si="3"/>
        <v>0</v>
      </c>
      <c r="O32" s="17" t="s">
        <v>31</v>
      </c>
      <c r="P32" s="18">
        <f t="shared" si="4"/>
        <v>1742.29</v>
      </c>
      <c r="Q32" s="14" t="str">
        <f t="shared" si="5"/>
        <v>Bajó el Saldo Acumulado</v>
      </c>
    </row>
    <row r="33" spans="2:17" x14ac:dyDescent="0.25">
      <c r="B33" s="15" t="s">
        <v>32</v>
      </c>
      <c r="C33" s="16" t="s">
        <v>1869</v>
      </c>
      <c r="D33" s="16" t="s">
        <v>14</v>
      </c>
      <c r="E33" s="1">
        <f t="shared" si="0"/>
        <v>90.36</v>
      </c>
      <c r="F33" s="1">
        <f t="shared" si="1"/>
        <v>0</v>
      </c>
      <c r="H33" s="15" t="s">
        <v>32</v>
      </c>
      <c r="I33" s="16" t="s">
        <v>3723</v>
      </c>
      <c r="J33" s="16" t="s">
        <v>3724</v>
      </c>
      <c r="K33" s="1">
        <f t="shared" si="2"/>
        <v>62.22</v>
      </c>
      <c r="L33" s="1">
        <f t="shared" si="3"/>
        <v>63.61</v>
      </c>
      <c r="O33" s="17" t="s">
        <v>32</v>
      </c>
      <c r="P33" s="18">
        <f t="shared" si="4"/>
        <v>125.83</v>
      </c>
      <c r="Q33" s="14" t="str">
        <f t="shared" si="5"/>
        <v>Subió el Saldo Acumulado</v>
      </c>
    </row>
    <row r="34" spans="2:17" x14ac:dyDescent="0.25">
      <c r="B34" s="15" t="s">
        <v>33</v>
      </c>
      <c r="C34" s="16" t="s">
        <v>1870</v>
      </c>
      <c r="D34" s="16" t="s">
        <v>1871</v>
      </c>
      <c r="E34" s="1">
        <f t="shared" si="0"/>
        <v>6573.73</v>
      </c>
      <c r="F34" s="1">
        <f t="shared" si="1"/>
        <v>9964.7099999999991</v>
      </c>
      <c r="H34" s="15" t="s">
        <v>33</v>
      </c>
      <c r="I34" s="16" t="s">
        <v>3725</v>
      </c>
      <c r="J34" s="16" t="s">
        <v>3726</v>
      </c>
      <c r="K34" s="1">
        <f t="shared" si="2"/>
        <v>4526.8500000000004</v>
      </c>
      <c r="L34" s="1">
        <f t="shared" si="3"/>
        <v>12265.48</v>
      </c>
      <c r="O34" s="17" t="s">
        <v>33</v>
      </c>
      <c r="P34" s="18">
        <f t="shared" si="4"/>
        <v>6827.6200000000008</v>
      </c>
      <c r="Q34" s="14" t="str">
        <f t="shared" si="5"/>
        <v>Subió el Saldo Acumulado</v>
      </c>
    </row>
    <row r="35" spans="2:17" x14ac:dyDescent="0.25">
      <c r="B35" s="15" t="s">
        <v>34</v>
      </c>
      <c r="C35" s="16" t="s">
        <v>1872</v>
      </c>
      <c r="D35" s="16" t="s">
        <v>1873</v>
      </c>
      <c r="E35" s="1">
        <f t="shared" si="0"/>
        <v>700.29</v>
      </c>
      <c r="F35" s="1">
        <f t="shared" si="1"/>
        <v>1872.91</v>
      </c>
      <c r="H35" s="15" t="s">
        <v>34</v>
      </c>
      <c r="I35" s="16" t="s">
        <v>3727</v>
      </c>
      <c r="J35" s="16" t="s">
        <v>3728</v>
      </c>
      <c r="K35" s="1">
        <f t="shared" si="2"/>
        <v>482.24</v>
      </c>
      <c r="L35" s="1">
        <f t="shared" si="3"/>
        <v>3030.9</v>
      </c>
      <c r="O35" s="17" t="s">
        <v>34</v>
      </c>
      <c r="P35" s="18">
        <f t="shared" si="4"/>
        <v>1640.23</v>
      </c>
      <c r="Q35" s="14" t="str">
        <f t="shared" si="5"/>
        <v>Subió el Saldo Acumulado</v>
      </c>
    </row>
    <row r="36" spans="2:17" x14ac:dyDescent="0.25">
      <c r="B36" s="15" t="s">
        <v>35</v>
      </c>
      <c r="C36" s="16" t="s">
        <v>1874</v>
      </c>
      <c r="D36" s="16" t="s">
        <v>1875</v>
      </c>
      <c r="E36" s="1">
        <f t="shared" si="0"/>
        <v>9540.57</v>
      </c>
      <c r="F36" s="1">
        <f t="shared" si="1"/>
        <v>21777.18</v>
      </c>
      <c r="H36" s="15" t="s">
        <v>35</v>
      </c>
      <c r="I36" s="16" t="s">
        <v>3729</v>
      </c>
      <c r="J36" s="16" t="s">
        <v>3730</v>
      </c>
      <c r="K36" s="1">
        <f t="shared" si="2"/>
        <v>6569.89</v>
      </c>
      <c r="L36" s="1">
        <f t="shared" si="3"/>
        <v>24594.3</v>
      </c>
      <c r="O36" s="17" t="s">
        <v>36</v>
      </c>
      <c r="P36" s="18">
        <f t="shared" si="4"/>
        <v>0</v>
      </c>
      <c r="Q36" s="14" t="str">
        <f t="shared" si="5"/>
        <v>No Inscripto, verificar con Contador</v>
      </c>
    </row>
    <row r="37" spans="2:17" ht="15.75" thickBot="1" x14ac:dyDescent="0.3">
      <c r="B37" s="15"/>
      <c r="C37" s="16"/>
      <c r="D37" s="16"/>
      <c r="E37" s="1">
        <f t="shared" si="0"/>
        <v>0</v>
      </c>
      <c r="F37" s="1">
        <f t="shared" si="1"/>
        <v>0</v>
      </c>
      <c r="H37" s="15"/>
      <c r="I37" s="16"/>
      <c r="J37" s="16"/>
      <c r="K37" s="1">
        <f t="shared" si="2"/>
        <v>0</v>
      </c>
      <c r="L37" s="1">
        <f t="shared" si="3"/>
        <v>0</v>
      </c>
      <c r="O37" s="19" t="s">
        <v>35</v>
      </c>
      <c r="P37" s="20">
        <f t="shared" si="4"/>
        <v>9387.0099999999984</v>
      </c>
      <c r="Q37" s="21" t="str">
        <f t="shared" si="5"/>
        <v>Subió el Saldo Acumulado</v>
      </c>
    </row>
  </sheetData>
  <sheetProtection algorithmName="SHA-512" hashValue="NK5XwjwAJ+fA0Yq1FZ0lqQnv95U2oTrzXXhL7IndFAY3bw7j4SXy3xjrkWlnKONU8QX024Ro4vyXJuAjXBBq9w==" saltValue="WI5s2WFSvbVc4Ce0eJVlzw==" spinCount="100000" sheet="1" objects="1" scenarios="1"/>
  <mergeCells count="12">
    <mergeCell ref="B8:C8"/>
    <mergeCell ref="H4:J4"/>
    <mergeCell ref="H5:I5"/>
    <mergeCell ref="H6:I6"/>
    <mergeCell ref="B12:D12"/>
    <mergeCell ref="H12:J12"/>
    <mergeCell ref="I8:J8"/>
    <mergeCell ref="O4:P4"/>
    <mergeCell ref="B4:D4"/>
    <mergeCell ref="B5:C5"/>
    <mergeCell ref="B6:C6"/>
    <mergeCell ref="B7:C7"/>
  </mergeCells>
  <conditionalFormatting sqref="Q14:Q37">
    <cfRule type="cellIs" dxfId="3" priority="2" operator="equal">
      <formula>"Bajó el Saldo Acumulado"</formula>
    </cfRule>
    <cfRule type="cellIs" dxfId="2" priority="3" operator="equal">
      <formula>"Subió el Saldo Acumulado"</formula>
    </cfRule>
    <cfRule type="cellIs" dxfId="1" priority="4" operator="equal">
      <formula>"No Inscripto, verificar con Contador"</formula>
    </cfRule>
  </conditionalFormatting>
  <conditionalFormatting sqref="D6">
    <cfRule type="cellIs" dxfId="0" priority="1" operator="equal">
      <formula>"COMPLETAR IIBB"</formula>
    </cfRule>
  </conditionalFormatting>
  <dataValidations count="2">
    <dataValidation type="custom" allowBlank="1" showInputMessage="1" showErrorMessage="1" error="GANANCIA MENOR A 50%" sqref="J6" xr:uid="{A49904E9-9067-4870-A56D-BECAB4ADFE9C}">
      <formula1>J6&lt;=$AK$7</formula1>
    </dataValidation>
    <dataValidation type="custom" allowBlank="1" showInputMessage="1" showErrorMessage="1" errorTitle="GANANCIA" error="GANANCIA MENOR A 70%" sqref="P6" xr:uid="{35E787E0-055F-49EA-BF86-E75528629FF3}">
      <formula1>P6&lt;=$AK$8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5A39E-EB0A-448F-9CC4-30F3DFC513A9}">
  <sheetPr codeName="Sheet4"/>
  <dimension ref="A1:P1048534"/>
  <sheetViews>
    <sheetView showGridLines="0" topLeftCell="B57" zoomScaleNormal="100" workbookViewId="0">
      <selection activeCell="O67" sqref="O67"/>
    </sheetView>
  </sheetViews>
  <sheetFormatPr defaultRowHeight="15" x14ac:dyDescent="0.25"/>
  <cols>
    <col min="1" max="1" width="9.140625" hidden="1" customWidth="1"/>
    <col min="2" max="2" width="21.85546875" style="35" bestFit="1" customWidth="1"/>
    <col min="5" max="5" width="11.5703125" bestFit="1" customWidth="1"/>
    <col min="7" max="7" width="9.140625" hidden="1" customWidth="1"/>
    <col min="8" max="8" width="21.7109375" customWidth="1"/>
    <col min="9" max="9" width="12.7109375" style="33" bestFit="1" customWidth="1"/>
    <col min="10" max="10" width="10.85546875" style="31" bestFit="1" customWidth="1"/>
    <col min="11" max="16" width="12.140625" style="31" customWidth="1"/>
  </cols>
  <sheetData>
    <row r="1" spans="1:16" s="32" customFormat="1" ht="30" customHeight="1" x14ac:dyDescent="0.25">
      <c r="B1" s="39" t="s">
        <v>3631</v>
      </c>
      <c r="C1" s="39" t="s">
        <v>0</v>
      </c>
      <c r="D1" s="39" t="s">
        <v>3630</v>
      </c>
      <c r="E1" s="39" t="s">
        <v>3632</v>
      </c>
      <c r="F1" s="39" t="s">
        <v>3629</v>
      </c>
      <c r="G1" s="39"/>
      <c r="H1" s="39" t="s">
        <v>49</v>
      </c>
      <c r="I1" s="40" t="s">
        <v>1</v>
      </c>
      <c r="J1" s="41" t="s">
        <v>2</v>
      </c>
      <c r="K1" s="41" t="s">
        <v>51</v>
      </c>
      <c r="L1" s="41" t="s">
        <v>43</v>
      </c>
      <c r="M1" s="41" t="s">
        <v>52</v>
      </c>
      <c r="N1" s="41" t="s">
        <v>53</v>
      </c>
      <c r="O1" s="41" t="s">
        <v>69</v>
      </c>
      <c r="P1" s="41" t="s">
        <v>54</v>
      </c>
    </row>
    <row r="2" spans="1:16" x14ac:dyDescent="0.25">
      <c r="A2" t="str">
        <f>IF(D2="Inicio",H2,A1)</f>
        <v>PRODMUSICALESPROD01</v>
      </c>
      <c r="B2" s="50" t="s">
        <v>723</v>
      </c>
      <c r="C2" s="49">
        <v>1</v>
      </c>
      <c r="D2" s="49" t="s">
        <v>3669</v>
      </c>
      <c r="E2" s="55">
        <f>IF(B2="","",IFERROR(VLOOKUP(B2,Datos!A:B,2,0)*C2,"NO CARGADO"))</f>
        <v>1046.52</v>
      </c>
      <c r="F2" s="56">
        <f>IF(B2="","",VLOOKUP(B2,Datos!A:C,3,0))</f>
        <v>0.21</v>
      </c>
      <c r="G2" s="34">
        <f t="shared" ref="G2:G18" si="0">IF(B2="","",E2/VLOOKUP(A2,H:I,2,0)*F2)</f>
        <v>0.10310445128359104</v>
      </c>
      <c r="H2" s="58" t="s">
        <v>1343</v>
      </c>
      <c r="I2" s="55">
        <f>SUMIFS(E:E,A:A,H2)</f>
        <v>2131.52</v>
      </c>
      <c r="J2" s="57">
        <f>SUMIF(A:A,H2,G:G)</f>
        <v>0.21</v>
      </c>
      <c r="K2" s="51"/>
      <c r="L2" s="51"/>
      <c r="M2" s="51"/>
      <c r="N2" s="52">
        <v>0.08</v>
      </c>
      <c r="O2" s="52">
        <v>0.09</v>
      </c>
      <c r="P2" s="52">
        <v>0.1159997362894641</v>
      </c>
    </row>
    <row r="3" spans="1:16" x14ac:dyDescent="0.25">
      <c r="A3" t="str">
        <f t="shared" ref="A3:A16" si="1">IF(OR(D3="Inicio",D2="Fin"),H3,A2)</f>
        <v>PRODMUSICALESPROD01</v>
      </c>
      <c r="B3" s="50" t="s">
        <v>3628</v>
      </c>
      <c r="C3" s="49">
        <v>1</v>
      </c>
      <c r="D3" s="49"/>
      <c r="E3" s="55">
        <f>IF(B3="","",IFERROR(VLOOKUP(B3,Datos!A:B,2,0)*C3,"NO CARGADO"))</f>
        <v>1085</v>
      </c>
      <c r="F3" s="56">
        <f>IF(B3="","",VLOOKUP(B3,Datos!A:C,3,0))</f>
        <v>0.21</v>
      </c>
      <c r="G3" s="34">
        <f t="shared" si="0"/>
        <v>0.10689554871640895</v>
      </c>
      <c r="H3" s="58" t="str">
        <f>IF(AND(D3&lt;&gt;"Inicio"),"","COMBO"&amp;COUNTA($H$2:H2)+1-COUNTIF($H$2:H2,""))</f>
        <v/>
      </c>
      <c r="I3" s="55" t="str">
        <f t="shared" ref="I3:I9" si="2">IF(H3="","",SUMIFS(E:E,A:A,H3))</f>
        <v/>
      </c>
      <c r="J3" s="57" t="str">
        <f t="shared" ref="J3:J9" si="3">IF(H3="","",SUMIF(A:A,H3,G:G))</f>
        <v/>
      </c>
      <c r="K3" s="51"/>
      <c r="L3" s="51"/>
      <c r="M3" s="51"/>
      <c r="N3" s="52"/>
      <c r="O3" s="52"/>
      <c r="P3" s="52"/>
    </row>
    <row r="4" spans="1:16" x14ac:dyDescent="0.25">
      <c r="A4" t="str">
        <f t="shared" si="1"/>
        <v>PRODMUSICALESPROD02</v>
      </c>
      <c r="B4" s="50" t="s">
        <v>724</v>
      </c>
      <c r="C4" s="49">
        <v>1</v>
      </c>
      <c r="D4" s="49" t="s">
        <v>3669</v>
      </c>
      <c r="E4" s="55">
        <f>IF(B4="","",IFERROR(VLOOKUP(B4,Datos!A:B,2,0)*C4,"NO CARGADO"))</f>
        <v>1780.11</v>
      </c>
      <c r="F4" s="56">
        <f>IF(B4="","",VLOOKUP(B4,Datos!A:C,3,0))</f>
        <v>0.21</v>
      </c>
      <c r="G4" s="34">
        <f t="shared" si="0"/>
        <v>0.13047425753286959</v>
      </c>
      <c r="H4" s="58" t="s">
        <v>1344</v>
      </c>
      <c r="I4" s="55">
        <f t="shared" si="2"/>
        <v>2865.1099999999997</v>
      </c>
      <c r="J4" s="57">
        <f t="shared" si="3"/>
        <v>0.21000000000000002</v>
      </c>
      <c r="K4" s="51"/>
      <c r="L4" s="51"/>
      <c r="M4" s="51"/>
      <c r="N4" s="52">
        <v>0.08</v>
      </c>
      <c r="O4" s="52">
        <v>0.09</v>
      </c>
      <c r="P4" s="52">
        <v>0.11400063297417561</v>
      </c>
    </row>
    <row r="5" spans="1:16" x14ac:dyDescent="0.25">
      <c r="A5" t="str">
        <f t="shared" si="1"/>
        <v>PRODMUSICALESPROD02</v>
      </c>
      <c r="B5" s="50" t="s">
        <v>3628</v>
      </c>
      <c r="C5" s="49">
        <v>1</v>
      </c>
      <c r="D5" s="49"/>
      <c r="E5" s="55">
        <f>IF(B5="","",IFERROR(VLOOKUP(B5,Datos!A:B,2,0)*C5,"NO CARGADO"))</f>
        <v>1085</v>
      </c>
      <c r="F5" s="56">
        <f>IF(B5="","",VLOOKUP(B5,Datos!A:C,3,0))</f>
        <v>0.21</v>
      </c>
      <c r="G5" s="34">
        <f t="shared" si="0"/>
        <v>7.9525742467130414E-2</v>
      </c>
      <c r="H5" s="58" t="str">
        <f>IF(AND(D5&lt;&gt;"Inicio"),"","COMBO"&amp;COUNTA($H$2:H4)+1-COUNTIF($H$2:H4,""))</f>
        <v/>
      </c>
      <c r="I5" s="55" t="str">
        <f t="shared" si="2"/>
        <v/>
      </c>
      <c r="J5" s="57" t="str">
        <f t="shared" si="3"/>
        <v/>
      </c>
      <c r="K5" s="51"/>
      <c r="L5" s="51"/>
      <c r="M5" s="51"/>
      <c r="N5" s="52"/>
      <c r="O5" s="52"/>
      <c r="P5" s="52"/>
    </row>
    <row r="6" spans="1:16" x14ac:dyDescent="0.25">
      <c r="A6" t="str">
        <f t="shared" si="1"/>
        <v>PRODMUSICALESPROD03</v>
      </c>
      <c r="B6" s="50" t="s">
        <v>725</v>
      </c>
      <c r="C6" s="49">
        <v>1</v>
      </c>
      <c r="D6" s="49" t="s">
        <v>3669</v>
      </c>
      <c r="E6" s="55">
        <f>IF(B6="","",IFERROR(VLOOKUP(B6,Datos!A:B,2,0)*C6,"NO CARGADO"))</f>
        <v>2198.21</v>
      </c>
      <c r="F6" s="56">
        <f>IF(B6="","",VLOOKUP(B6,Datos!A:C,3,0))</f>
        <v>0.21</v>
      </c>
      <c r="G6" s="34">
        <f t="shared" si="0"/>
        <v>0.14060145406477195</v>
      </c>
      <c r="H6" s="58" t="s">
        <v>1345</v>
      </c>
      <c r="I6" s="55">
        <f t="shared" si="2"/>
        <v>3283.21</v>
      </c>
      <c r="J6" s="57">
        <f t="shared" si="3"/>
        <v>0.20999999999999996</v>
      </c>
      <c r="K6" s="51"/>
      <c r="L6" s="51"/>
      <c r="M6" s="51"/>
      <c r="N6" s="52">
        <v>0.08</v>
      </c>
      <c r="O6" s="52">
        <v>0.09</v>
      </c>
      <c r="P6" s="52">
        <v>0.11299847505209901</v>
      </c>
    </row>
    <row r="7" spans="1:16" x14ac:dyDescent="0.25">
      <c r="A7" t="str">
        <f t="shared" si="1"/>
        <v>PRODMUSICALESPROD03</v>
      </c>
      <c r="B7" s="50" t="s">
        <v>3628</v>
      </c>
      <c r="C7" s="49">
        <v>1</v>
      </c>
      <c r="D7" s="49"/>
      <c r="E7" s="55">
        <f>IF(B7="","",IFERROR(VLOOKUP(B7,Datos!A:B,2,0)*C7,"NO CARGADO"))</f>
        <v>1085</v>
      </c>
      <c r="F7" s="56">
        <f>IF(B7="","",VLOOKUP(B7,Datos!A:C,3,0))</f>
        <v>0.21</v>
      </c>
      <c r="G7" s="34">
        <f t="shared" si="0"/>
        <v>6.9398545935228026E-2</v>
      </c>
      <c r="H7" s="58" t="str">
        <f>IF(AND(D7&lt;&gt;"Inicio"),"","COMBO"&amp;COUNTA($H$2:H6)+1-COUNTIF($H$2:H6,""))</f>
        <v/>
      </c>
      <c r="I7" s="55" t="str">
        <f t="shared" si="2"/>
        <v/>
      </c>
      <c r="J7" s="57" t="str">
        <f t="shared" si="3"/>
        <v/>
      </c>
      <c r="K7" s="51"/>
      <c r="L7" s="51"/>
      <c r="M7" s="51"/>
      <c r="N7" s="52"/>
      <c r="O7" s="52"/>
      <c r="P7" s="52"/>
    </row>
    <row r="8" spans="1:16" x14ac:dyDescent="0.25">
      <c r="A8" t="str">
        <f t="shared" si="1"/>
        <v>PRODMUSICALESPROD04</v>
      </c>
      <c r="B8" s="50" t="s">
        <v>722</v>
      </c>
      <c r="C8" s="49">
        <v>1</v>
      </c>
      <c r="D8" s="49" t="s">
        <v>3669</v>
      </c>
      <c r="E8" s="55">
        <f>IF(B8="","",IFERROR(VLOOKUP(B8,Datos!A:B,2,0)*C8,"NO CARGADO"))</f>
        <v>1085</v>
      </c>
      <c r="F8" s="56">
        <f>IF(B8="","",VLOOKUP(B8,Datos!A:C,3,0))</f>
        <v>0.21</v>
      </c>
      <c r="G8" s="34">
        <f t="shared" si="0"/>
        <v>0.105</v>
      </c>
      <c r="H8" s="58" t="s">
        <v>1840</v>
      </c>
      <c r="I8" s="55">
        <f t="shared" si="2"/>
        <v>2170</v>
      </c>
      <c r="J8" s="57">
        <f t="shared" si="3"/>
        <v>0.21</v>
      </c>
      <c r="K8" s="51"/>
      <c r="L8" s="51"/>
      <c r="M8" s="51"/>
      <c r="N8" s="52">
        <v>5.0299999999999997E-2</v>
      </c>
      <c r="O8" s="52">
        <v>0.1103</v>
      </c>
      <c r="P8" s="52">
        <v>7.4284160715822084E-2</v>
      </c>
    </row>
    <row r="9" spans="1:16" x14ac:dyDescent="0.25">
      <c r="A9" t="str">
        <f t="shared" si="1"/>
        <v>PRODMUSICALESPROD04</v>
      </c>
      <c r="B9" s="50" t="s">
        <v>3628</v>
      </c>
      <c r="C9" s="49">
        <v>1</v>
      </c>
      <c r="D9" s="49"/>
      <c r="E9" s="55">
        <f>IF(B9="","",IFERROR(VLOOKUP(B9,Datos!A:B,2,0)*C9,"NO CARGADO"))</f>
        <v>1085</v>
      </c>
      <c r="F9" s="56">
        <f>IF(B9="","",VLOOKUP(B9,Datos!A:C,3,0))</f>
        <v>0.21</v>
      </c>
      <c r="G9" s="34">
        <f t="shared" si="0"/>
        <v>0.105</v>
      </c>
      <c r="H9" s="58" t="str">
        <f>IF(AND(D9&lt;&gt;"Inicio"),"","COMBO"&amp;COUNTA($H$2:H8)+1-COUNTIF($H$2:H8,""))</f>
        <v/>
      </c>
      <c r="I9" s="55" t="str">
        <f t="shared" si="2"/>
        <v/>
      </c>
      <c r="J9" s="57" t="str">
        <f t="shared" si="3"/>
        <v/>
      </c>
      <c r="K9" s="51"/>
      <c r="L9" s="51"/>
      <c r="M9" s="51"/>
      <c r="N9" s="52"/>
      <c r="O9" s="52"/>
      <c r="P9" s="52"/>
    </row>
    <row r="10" spans="1:16" x14ac:dyDescent="0.25">
      <c r="A10" t="str">
        <f t="shared" si="1"/>
        <v>PRODMUSICALESPROD05</v>
      </c>
      <c r="B10" s="50" t="s">
        <v>753</v>
      </c>
      <c r="C10" s="49">
        <v>1</v>
      </c>
      <c r="D10" s="49" t="s">
        <v>3669</v>
      </c>
      <c r="E10" s="55">
        <f>IF(B10="","",IFERROR(VLOOKUP(B10,Datos!A:B,2,0)*C10,"NO CARGADO"))</f>
        <v>25543.98</v>
      </c>
      <c r="F10" s="56">
        <f>IF(B10="","",VLOOKUP(B10,Datos!A:C,3,0))</f>
        <v>0.21</v>
      </c>
      <c r="G10" s="34">
        <f t="shared" si="0"/>
        <v>0.20043956512056482</v>
      </c>
      <c r="H10" s="58" t="s">
        <v>3638</v>
      </c>
      <c r="I10" s="55">
        <f t="shared" ref="I10:I18" si="4">IF(OR(H10="",B10=""),"",SUMIFS(E:E,A:A,H10))</f>
        <v>26762.36</v>
      </c>
      <c r="J10" s="57">
        <f t="shared" ref="J10:J18" si="5">IF(OR(H10="",B10=""),"",SUMIF(A:A,H10,G:G))</f>
        <v>0.20999999999999996</v>
      </c>
      <c r="K10" s="51"/>
      <c r="L10" s="51"/>
      <c r="M10" s="51"/>
      <c r="N10" s="52">
        <v>0.1449</v>
      </c>
      <c r="O10" s="52">
        <v>0.1449</v>
      </c>
      <c r="P10" s="52">
        <v>0.1983905551658767</v>
      </c>
    </row>
    <row r="11" spans="1:16" x14ac:dyDescent="0.25">
      <c r="A11" t="str">
        <f t="shared" si="1"/>
        <v>PRODMUSICALESPROD05</v>
      </c>
      <c r="B11" s="50" t="s">
        <v>754</v>
      </c>
      <c r="C11" s="49">
        <v>1</v>
      </c>
      <c r="D11" s="49"/>
      <c r="E11" s="55">
        <f>IF(B11="","",IFERROR(VLOOKUP(B11,Datos!A:B,2,0)*C11,"NO CARGADO"))</f>
        <v>1218.3799999999999</v>
      </c>
      <c r="F11" s="56">
        <f>IF(B11="","",VLOOKUP(B11,Datos!A:C,3,0))</f>
        <v>0.21</v>
      </c>
      <c r="G11" s="34">
        <f t="shared" si="0"/>
        <v>9.5604348794351458E-3</v>
      </c>
      <c r="H11" s="58" t="str">
        <f>IF(AND(D11&lt;&gt;"Inicio"),"","COMBO"&amp;COUNTA($H$2:H10)+1-COUNTIF($H$2:H10,""))</f>
        <v/>
      </c>
      <c r="I11" s="55" t="str">
        <f t="shared" si="4"/>
        <v/>
      </c>
      <c r="J11" s="57" t="str">
        <f t="shared" si="5"/>
        <v/>
      </c>
      <c r="K11" s="51"/>
      <c r="L11" s="51"/>
      <c r="M11" s="51"/>
      <c r="N11" s="52"/>
      <c r="O11" s="52"/>
      <c r="P11" s="52"/>
    </row>
    <row r="12" spans="1:16" x14ac:dyDescent="0.25">
      <c r="A12" t="str">
        <f t="shared" si="1"/>
        <v>PRODMUSICALESPROD07</v>
      </c>
      <c r="B12" s="50" t="s">
        <v>1292</v>
      </c>
      <c r="C12" s="49">
        <v>1</v>
      </c>
      <c r="D12" s="49" t="s">
        <v>3669</v>
      </c>
      <c r="E12" s="55">
        <f>IF(B12="","",IFERROR(VLOOKUP(B12,Datos!A:B,2,0)*C12,"NO CARGADO"))</f>
        <v>5270.19</v>
      </c>
      <c r="F12" s="56">
        <f>IF(B12="","",VLOOKUP(B12,Datos!A:C,3,0))</f>
        <v>0.21</v>
      </c>
      <c r="G12" s="34">
        <f t="shared" si="0"/>
        <v>6.4576089911976151E-2</v>
      </c>
      <c r="H12" s="58" t="s">
        <v>3639</v>
      </c>
      <c r="I12" s="55">
        <f t="shared" si="4"/>
        <v>17138.54</v>
      </c>
      <c r="J12" s="57">
        <f t="shared" si="5"/>
        <v>0.21</v>
      </c>
      <c r="K12" s="51"/>
      <c r="L12" s="51"/>
      <c r="M12" s="51"/>
      <c r="N12" s="52">
        <v>5.6300000000000003E-2</v>
      </c>
      <c r="O12" s="52">
        <v>0.1295</v>
      </c>
      <c r="P12" s="52">
        <v>8.2285522873935937E-2</v>
      </c>
    </row>
    <row r="13" spans="1:16" x14ac:dyDescent="0.25">
      <c r="A13" t="str">
        <f t="shared" si="1"/>
        <v>PRODMUSICALESPROD07</v>
      </c>
      <c r="B13" s="50" t="s">
        <v>144</v>
      </c>
      <c r="C13" s="49">
        <v>1</v>
      </c>
      <c r="D13" s="49"/>
      <c r="E13" s="55">
        <f>IF(B13="","",IFERROR(VLOOKUP(B13,Datos!A:B,2,0)*C13,"NO CARGADO"))</f>
        <v>5225</v>
      </c>
      <c r="F13" s="56">
        <f>IF(B13="","",VLOOKUP(B13,Datos!A:C,3,0))</f>
        <v>0.21</v>
      </c>
      <c r="G13" s="34">
        <f t="shared" si="0"/>
        <v>6.4022372967592334E-2</v>
      </c>
      <c r="H13" s="58" t="str">
        <f>IF(AND(D13&lt;&gt;"Inicio"),"","COMBO"&amp;COUNTA($H$2:H12)+1-COUNTIF($H$2:H12,""))</f>
        <v/>
      </c>
      <c r="I13" s="55" t="str">
        <f t="shared" si="4"/>
        <v/>
      </c>
      <c r="J13" s="57" t="str">
        <f t="shared" si="5"/>
        <v/>
      </c>
      <c r="K13" s="51"/>
      <c r="L13" s="51"/>
      <c r="M13" s="51"/>
      <c r="N13" s="52"/>
      <c r="O13" s="52"/>
      <c r="P13" s="52"/>
    </row>
    <row r="14" spans="1:16" x14ac:dyDescent="0.25">
      <c r="A14" t="str">
        <f t="shared" si="1"/>
        <v>PRODMUSICALESPROD07</v>
      </c>
      <c r="B14" s="50" t="s">
        <v>402</v>
      </c>
      <c r="C14" s="49">
        <v>1</v>
      </c>
      <c r="D14" s="49"/>
      <c r="E14" s="55">
        <f>IF(B14="","",IFERROR(VLOOKUP(B14,Datos!A:B,2,0)*C14,"NO CARGADO"))</f>
        <v>6643.35</v>
      </c>
      <c r="F14" s="56">
        <f>IF(B14="","",VLOOKUP(B14,Datos!A:C,3,0))</f>
        <v>0.21</v>
      </c>
      <c r="G14" s="34">
        <f t="shared" si="0"/>
        <v>8.1401537120431494E-2</v>
      </c>
      <c r="H14" s="58" t="str">
        <f>IF(AND(D14&lt;&gt;"Inicio"),"","COMBO"&amp;COUNTA($H$2:H13)+1-COUNTIF($H$2:H13,""))</f>
        <v/>
      </c>
      <c r="I14" s="55" t="str">
        <f t="shared" si="4"/>
        <v/>
      </c>
      <c r="J14" s="57" t="str">
        <f t="shared" si="5"/>
        <v/>
      </c>
      <c r="K14" s="51"/>
      <c r="L14" s="51"/>
      <c r="M14" s="51"/>
      <c r="N14" s="52"/>
      <c r="O14" s="52"/>
      <c r="P14" s="52"/>
    </row>
    <row r="15" spans="1:16" x14ac:dyDescent="0.25">
      <c r="A15" t="str">
        <f t="shared" si="1"/>
        <v>PRODMUSICALESPROD10</v>
      </c>
      <c r="B15" s="50" t="s">
        <v>1721</v>
      </c>
      <c r="C15" s="49">
        <v>1</v>
      </c>
      <c r="D15" s="49" t="s">
        <v>3669</v>
      </c>
      <c r="E15" s="55">
        <f>IF(B15="","",IFERROR(VLOOKUP(B15,Datos!A:B,2,0)*C15,"NO CARGADO"))</f>
        <v>4591.43</v>
      </c>
      <c r="F15" s="56">
        <f>IF(B15="","",VLOOKUP(B15,Datos!A:C,3,0))</f>
        <v>0.21</v>
      </c>
      <c r="G15" s="34">
        <f t="shared" si="0"/>
        <v>0.10656395990756061</v>
      </c>
      <c r="H15" s="58" t="s">
        <v>3640</v>
      </c>
      <c r="I15" s="55">
        <f t="shared" si="4"/>
        <v>9048.09</v>
      </c>
      <c r="J15" s="57">
        <f t="shared" si="5"/>
        <v>0.21</v>
      </c>
      <c r="K15" s="51"/>
      <c r="L15" s="51"/>
      <c r="M15" s="51"/>
      <c r="N15" s="52">
        <v>3.5299999999999998E-2</v>
      </c>
      <c r="O15" s="52">
        <v>0.1115</v>
      </c>
      <c r="P15" s="52">
        <v>6.6286095633212958E-2</v>
      </c>
    </row>
    <row r="16" spans="1:16" x14ac:dyDescent="0.25">
      <c r="A16" t="str">
        <f t="shared" si="1"/>
        <v>PRODMUSICALESPROD10</v>
      </c>
      <c r="B16" s="50" t="s">
        <v>495</v>
      </c>
      <c r="C16" s="49">
        <v>1</v>
      </c>
      <c r="D16" s="49"/>
      <c r="E16" s="55">
        <f>IF(B16="","",IFERROR(VLOOKUP(B16,Datos!A:B,2,0)*C16,"NO CARGADO"))</f>
        <v>4456.66</v>
      </c>
      <c r="F16" s="56">
        <f>IF(B16="","",VLOOKUP(B16,Datos!A:C,3,0))</f>
        <v>0.21</v>
      </c>
      <c r="G16" s="34">
        <f t="shared" si="0"/>
        <v>0.10343604009243938</v>
      </c>
      <c r="H16" s="58" t="str">
        <f>IF(AND(D16&lt;&gt;"Inicio"),"","COMBO"&amp;COUNTA($H$2:H15)+1-COUNTIF($H$2:H15,""))</f>
        <v/>
      </c>
      <c r="I16" s="55" t="str">
        <f t="shared" si="4"/>
        <v/>
      </c>
      <c r="J16" s="57" t="str">
        <f t="shared" si="5"/>
        <v/>
      </c>
      <c r="K16" s="51"/>
      <c r="L16" s="51"/>
      <c r="M16" s="51"/>
      <c r="N16" s="52"/>
      <c r="O16" s="52"/>
      <c r="P16" s="52"/>
    </row>
    <row r="17" spans="1:16" x14ac:dyDescent="0.25">
      <c r="A17" t="str">
        <f t="shared" ref="A17:A18" si="6">IF(OR(D17="Inicio",D16="Fin"),H17,A16)</f>
        <v>PRODMUSICALESPROD11</v>
      </c>
      <c r="B17" s="50" t="s">
        <v>1175</v>
      </c>
      <c r="C17" s="49">
        <v>1</v>
      </c>
      <c r="D17" s="49" t="s">
        <v>3669</v>
      </c>
      <c r="E17" s="55">
        <f>IF(B17="","",IFERROR(VLOOKUP(B17,Datos!A:B,2,0)*C17,"NO CARGADO"))</f>
        <v>240199.19</v>
      </c>
      <c r="F17" s="56">
        <f>IF(B17="","",VLOOKUP(B17,Datos!A:C,3,0))</f>
        <v>0.21</v>
      </c>
      <c r="G17" s="34">
        <f t="shared" si="0"/>
        <v>0.19877936362015636</v>
      </c>
      <c r="H17" s="58" t="s">
        <v>3641</v>
      </c>
      <c r="I17" s="55">
        <f t="shared" si="4"/>
        <v>253757.88</v>
      </c>
      <c r="J17" s="57">
        <f t="shared" si="5"/>
        <v>0.21000000000000002</v>
      </c>
      <c r="K17" s="51"/>
      <c r="L17" s="51"/>
      <c r="M17" s="51"/>
      <c r="N17" s="52">
        <v>0.1416</v>
      </c>
      <c r="O17" s="52">
        <v>8.6999999999999994E-2</v>
      </c>
      <c r="P17" s="52">
        <v>0.17257702186295121</v>
      </c>
    </row>
    <row r="18" spans="1:16" x14ac:dyDescent="0.25">
      <c r="A18" t="str">
        <f t="shared" si="6"/>
        <v>PRODMUSICALESPROD11</v>
      </c>
      <c r="B18" s="50" t="s">
        <v>144</v>
      </c>
      <c r="C18" s="49">
        <v>1</v>
      </c>
      <c r="D18" s="49"/>
      <c r="E18" s="55">
        <f>IF(B18="","",IFERROR(VLOOKUP(B18,Datos!A:B,2,0)*C18,"NO CARGADO"))</f>
        <v>5225</v>
      </c>
      <c r="F18" s="56">
        <f>IF(B18="","",VLOOKUP(B18,Datos!A:C,3,0))</f>
        <v>0.21</v>
      </c>
      <c r="G18" s="34">
        <f t="shared" si="0"/>
        <v>4.324003652615635E-3</v>
      </c>
      <c r="H18" s="58" t="str">
        <f>IF(AND(D18&lt;&gt;"Inicio"),"","COMBO"&amp;COUNTA($H$2:H17)+1-COUNTIF($H$2:H17,""))</f>
        <v/>
      </c>
      <c r="I18" s="55" t="str">
        <f t="shared" si="4"/>
        <v/>
      </c>
      <c r="J18" s="57" t="str">
        <f t="shared" si="5"/>
        <v/>
      </c>
      <c r="K18" s="51"/>
      <c r="L18" s="51"/>
      <c r="M18" s="51"/>
      <c r="N18" s="52"/>
      <c r="O18" s="52"/>
      <c r="P18" s="52"/>
    </row>
    <row r="19" spans="1:16" x14ac:dyDescent="0.25">
      <c r="A19" t="str">
        <f t="shared" ref="A19:A28" si="7">IF(OR(D19="Inicio",D18="Fin"),H19,A18)</f>
        <v>PRODMUSICALESPROD11</v>
      </c>
      <c r="B19" s="50" t="s">
        <v>615</v>
      </c>
      <c r="C19" s="49">
        <v>1</v>
      </c>
      <c r="D19" s="49"/>
      <c r="E19" s="55">
        <f>IF(B19="","",IFERROR(VLOOKUP(B19,Datos!A:B,2,0)*C19,"NO CARGADO"))</f>
        <v>8333.69</v>
      </c>
      <c r="F19" s="56">
        <f>IF(B19="","",VLOOKUP(B19,Datos!A:C,3,0))</f>
        <v>0.21</v>
      </c>
      <c r="G19" s="34">
        <f t="shared" ref="G19:G28" si="8">IF(B19="","",E19/VLOOKUP(A19,H:I,2,0)*F19)</f>
        <v>6.896632727228018E-3</v>
      </c>
      <c r="H19" s="58" t="str">
        <f>IF(AND(D19&lt;&gt;"Inicio"),"","COMBO"&amp;COUNTA($H$2:H18)+1-COUNTIF($H$2:H18,""))</f>
        <v/>
      </c>
      <c r="I19" s="55" t="str">
        <f t="shared" ref="I19:I28" si="9">IF(OR(H19="",B19=""),"",SUMIFS(E:E,A:A,H19))</f>
        <v/>
      </c>
      <c r="J19" s="57" t="str">
        <f t="shared" ref="J19:J28" si="10">IF(OR(H19="",B19=""),"",SUMIF(A:A,H19,G:G))</f>
        <v/>
      </c>
      <c r="K19" s="51"/>
      <c r="L19" s="51"/>
      <c r="M19" s="51"/>
      <c r="N19" s="52"/>
      <c r="O19" s="52"/>
      <c r="P19" s="52"/>
    </row>
    <row r="20" spans="1:16" x14ac:dyDescent="0.25">
      <c r="A20" t="str">
        <f t="shared" si="7"/>
        <v>PRODMUSICALESPROD18</v>
      </c>
      <c r="B20" s="50" t="s">
        <v>496</v>
      </c>
      <c r="C20" s="49">
        <v>1</v>
      </c>
      <c r="D20" s="49" t="s">
        <v>3669</v>
      </c>
      <c r="E20" s="55">
        <f>IF(B20="","",IFERROR(VLOOKUP(B20,Datos!A:B,2,0)*C20,"NO CARGADO"))</f>
        <v>4651.41</v>
      </c>
      <c r="F20" s="56">
        <f>IF(B20="","",VLOOKUP(B20,Datos!A:C,3,0))</f>
        <v>0.21</v>
      </c>
      <c r="G20" s="34">
        <f t="shared" si="8"/>
        <v>0.10568138148015112</v>
      </c>
      <c r="H20" s="58" t="s">
        <v>3659</v>
      </c>
      <c r="I20" s="55">
        <f t="shared" si="9"/>
        <v>9242.84</v>
      </c>
      <c r="J20" s="57">
        <f t="shared" si="10"/>
        <v>0.21000000000000002</v>
      </c>
      <c r="K20" s="51"/>
      <c r="L20" s="51"/>
      <c r="M20" s="51"/>
      <c r="N20" s="52">
        <v>4.3999999999999997E-2</v>
      </c>
      <c r="O20" s="52">
        <v>9.8799999999999999E-2</v>
      </c>
      <c r="P20" s="52">
        <v>7.4008935167896125E-2</v>
      </c>
    </row>
    <row r="21" spans="1:16" x14ac:dyDescent="0.25">
      <c r="A21" t="str">
        <f t="shared" si="7"/>
        <v>PRODMUSICALESPROD18</v>
      </c>
      <c r="B21" s="50" t="s">
        <v>1721</v>
      </c>
      <c r="C21" s="49">
        <v>1</v>
      </c>
      <c r="D21" s="49"/>
      <c r="E21" s="55">
        <f>IF(B21="","",IFERROR(VLOOKUP(B21,Datos!A:B,2,0)*C21,"NO CARGADO"))</f>
        <v>4591.43</v>
      </c>
      <c r="F21" s="56">
        <f>IF(B21="","",VLOOKUP(B21,Datos!A:C,3,0))</f>
        <v>0.21</v>
      </c>
      <c r="G21" s="34">
        <f t="shared" si="8"/>
        <v>0.10431861851984889</v>
      </c>
      <c r="H21" s="58" t="str">
        <f>IF(AND(D21&lt;&gt;"Inicio"),"","COMBO"&amp;COUNTA($H$2:H20)+1-COUNTIF($H$2:H20,""))</f>
        <v/>
      </c>
      <c r="I21" s="55" t="str">
        <f t="shared" si="9"/>
        <v/>
      </c>
      <c r="J21" s="57" t="str">
        <f t="shared" si="10"/>
        <v/>
      </c>
      <c r="K21" s="51"/>
      <c r="L21" s="51"/>
      <c r="M21" s="51"/>
      <c r="N21" s="52"/>
      <c r="O21" s="52"/>
      <c r="P21" s="52"/>
    </row>
    <row r="22" spans="1:16" x14ac:dyDescent="0.25">
      <c r="A22" t="str">
        <f t="shared" si="7"/>
        <v>PRODMUSICALESPROD23</v>
      </c>
      <c r="B22" s="50" t="s">
        <v>1608</v>
      </c>
      <c r="C22" s="49">
        <v>1</v>
      </c>
      <c r="D22" s="49" t="s">
        <v>3669</v>
      </c>
      <c r="E22" s="55">
        <f>IF(B22="","",IFERROR(VLOOKUP(B22,Datos!A:B,2,0)*C22,"NO CARGADO"))</f>
        <v>12083.0785</v>
      </c>
      <c r="F22" s="56">
        <f>IF(B22="","",VLOOKUP(B22,Datos!A:C,3,0))</f>
        <v>0.21</v>
      </c>
      <c r="G22" s="34">
        <f t="shared" si="8"/>
        <v>0.14660474789272535</v>
      </c>
      <c r="H22" s="58" t="s">
        <v>3646</v>
      </c>
      <c r="I22" s="55">
        <f t="shared" si="9"/>
        <v>17308.0785</v>
      </c>
      <c r="J22" s="57">
        <f t="shared" si="10"/>
        <v>0.21</v>
      </c>
      <c r="K22" s="51"/>
      <c r="L22" s="51"/>
      <c r="M22" s="51"/>
      <c r="N22" s="52">
        <v>4.0399999999999998E-2</v>
      </c>
      <c r="O22" s="52">
        <v>6.7000000000000004E-2</v>
      </c>
      <c r="P22" s="52">
        <v>5.9408468328995018E-2</v>
      </c>
    </row>
    <row r="23" spans="1:16" x14ac:dyDescent="0.25">
      <c r="A23" t="str">
        <f t="shared" si="7"/>
        <v>PRODMUSICALESPROD23</v>
      </c>
      <c r="B23" s="50" t="s">
        <v>140</v>
      </c>
      <c r="C23" s="49">
        <v>1</v>
      </c>
      <c r="D23" s="49"/>
      <c r="E23" s="55">
        <f>IF(B23="","",IFERROR(VLOOKUP(B23,Datos!A:B,2,0)*C23,"NO CARGADO"))</f>
        <v>5225</v>
      </c>
      <c r="F23" s="56">
        <f>IF(B23="","",VLOOKUP(B23,Datos!A:C,3,0))</f>
        <v>0.21</v>
      </c>
      <c r="G23" s="34">
        <f t="shared" si="8"/>
        <v>6.3395252107274647E-2</v>
      </c>
      <c r="H23" s="58" t="str">
        <f>IF(AND(D23&lt;&gt;"Inicio"),"","COMBO"&amp;COUNTA($H$2:H22)+1-COUNTIF($H$2:H22,""))</f>
        <v/>
      </c>
      <c r="I23" s="55" t="str">
        <f t="shared" si="9"/>
        <v/>
      </c>
      <c r="J23" s="57" t="str">
        <f t="shared" si="10"/>
        <v/>
      </c>
      <c r="K23" s="51"/>
      <c r="L23" s="51"/>
      <c r="M23" s="51"/>
      <c r="N23" s="52"/>
      <c r="O23" s="52"/>
      <c r="P23" s="52"/>
    </row>
    <row r="24" spans="1:16" x14ac:dyDescent="0.25">
      <c r="A24" t="str">
        <f t="shared" si="7"/>
        <v>PRODMUSICALESPROD24</v>
      </c>
      <c r="B24" s="50" t="s">
        <v>1608</v>
      </c>
      <c r="C24" s="49">
        <v>1</v>
      </c>
      <c r="D24" s="49" t="s">
        <v>3669</v>
      </c>
      <c r="E24" s="55">
        <f>IF(B24="","",IFERROR(VLOOKUP(B24,Datos!A:B,2,0)*C24,"NO CARGADO"))</f>
        <v>12083.0785</v>
      </c>
      <c r="F24" s="56">
        <f>IF(B24="","",VLOOKUP(B24,Datos!A:C,3,0))</f>
        <v>0.21</v>
      </c>
      <c r="G24" s="34">
        <f t="shared" si="8"/>
        <v>0.15675753255907171</v>
      </c>
      <c r="H24" s="58" t="s">
        <v>3647</v>
      </c>
      <c r="I24" s="55">
        <f t="shared" si="9"/>
        <v>16187.0785</v>
      </c>
      <c r="J24" s="57">
        <f t="shared" si="10"/>
        <v>0.20999999999999996</v>
      </c>
      <c r="K24" s="51"/>
      <c r="L24" s="51"/>
      <c r="M24" s="51"/>
      <c r="N24" s="52">
        <v>5.5500000000000001E-2</v>
      </c>
      <c r="O24" s="52">
        <v>8.5000000000000006E-2</v>
      </c>
      <c r="P24" s="52">
        <v>8.1484795133913351E-2</v>
      </c>
    </row>
    <row r="25" spans="1:16" x14ac:dyDescent="0.25">
      <c r="A25" t="str">
        <f t="shared" si="7"/>
        <v>PRODMUSICALESPROD24</v>
      </c>
      <c r="B25" s="50" t="s">
        <v>139</v>
      </c>
      <c r="C25" s="49">
        <v>1</v>
      </c>
      <c r="D25" s="49"/>
      <c r="E25" s="55">
        <f>IF(B25="","",IFERROR(VLOOKUP(B25,Datos!A:B,2,0)*C25,"NO CARGADO"))</f>
        <v>4104</v>
      </c>
      <c r="F25" s="56">
        <f>IF(B25="","",VLOOKUP(B25,Datos!A:C,3,0))</f>
        <v>0.21</v>
      </c>
      <c r="G25" s="34">
        <f t="shared" si="8"/>
        <v>5.3242467440928268E-2</v>
      </c>
      <c r="H25" s="58" t="str">
        <f>IF(AND(D25&lt;&gt;"Inicio"),"","COMBO"&amp;COUNTA($H$2:H24)+1-COUNTIF($H$2:H24,""))</f>
        <v/>
      </c>
      <c r="I25" s="55" t="str">
        <f t="shared" si="9"/>
        <v/>
      </c>
      <c r="J25" s="57" t="str">
        <f t="shared" si="10"/>
        <v/>
      </c>
      <c r="K25" s="51"/>
      <c r="L25" s="51"/>
      <c r="M25" s="51"/>
      <c r="N25" s="52"/>
      <c r="O25" s="52"/>
      <c r="P25" s="52"/>
    </row>
    <row r="26" spans="1:16" x14ac:dyDescent="0.25">
      <c r="A26" t="str">
        <f t="shared" si="7"/>
        <v>PRODMUSICALESPROD25</v>
      </c>
      <c r="B26" s="50" t="s">
        <v>1216</v>
      </c>
      <c r="C26" s="49">
        <v>1</v>
      </c>
      <c r="D26" s="49" t="s">
        <v>3669</v>
      </c>
      <c r="E26" s="55">
        <f>IF(B26="","",IFERROR(VLOOKUP(B26,Datos!A:B,2,0)*C26,"NO CARGADO"))</f>
        <v>13114.63</v>
      </c>
      <c r="F26" s="56">
        <f>IF(B26="","",VLOOKUP(B26,Datos!A:C,3,0))</f>
        <v>0.21</v>
      </c>
      <c r="G26" s="34">
        <f t="shared" si="8"/>
        <v>0.11485556895177651</v>
      </c>
      <c r="H26" s="58" t="s">
        <v>3667</v>
      </c>
      <c r="I26" s="55">
        <f t="shared" si="9"/>
        <v>23978.57</v>
      </c>
      <c r="J26" s="57">
        <f t="shared" si="10"/>
        <v>0.21</v>
      </c>
      <c r="K26" s="51"/>
      <c r="L26" s="51"/>
      <c r="M26" s="51"/>
      <c r="N26" s="52">
        <v>5.6300000000000003E-2</v>
      </c>
      <c r="O26" s="52">
        <v>9.0999999999999998E-2</v>
      </c>
      <c r="P26" s="52">
        <v>8.0285944867174705E-2</v>
      </c>
    </row>
    <row r="27" spans="1:16" x14ac:dyDescent="0.25">
      <c r="A27" t="str">
        <f t="shared" si="7"/>
        <v>PRODMUSICALESPROD25</v>
      </c>
      <c r="B27" s="50" t="s">
        <v>498</v>
      </c>
      <c r="C27" s="49">
        <v>1</v>
      </c>
      <c r="D27" s="49"/>
      <c r="E27" s="55">
        <f>IF(B27="","",IFERROR(VLOOKUP(B27,Datos!A:B,2,0)*C27,"NO CARGADO"))</f>
        <v>10863.94</v>
      </c>
      <c r="F27" s="56">
        <f>IF(B27="","",VLOOKUP(B27,Datos!A:C,3,0))</f>
        <v>0.21</v>
      </c>
      <c r="G27" s="34">
        <f t="shared" si="8"/>
        <v>9.5144431048223482E-2</v>
      </c>
      <c r="H27" s="58" t="str">
        <f>IF(AND(D27&lt;&gt;"Inicio"),"","COMBO"&amp;COUNTA($H$2:H26)+1-COUNTIF($H$2:H26,""))</f>
        <v/>
      </c>
      <c r="I27" s="55" t="str">
        <f t="shared" si="9"/>
        <v/>
      </c>
      <c r="J27" s="57" t="str">
        <f t="shared" si="10"/>
        <v/>
      </c>
      <c r="K27" s="51"/>
      <c r="L27" s="51"/>
      <c r="M27" s="51"/>
      <c r="N27" s="52"/>
      <c r="O27" s="52"/>
      <c r="P27" s="52"/>
    </row>
    <row r="28" spans="1:16" x14ac:dyDescent="0.25">
      <c r="A28" t="str">
        <f t="shared" si="7"/>
        <v>PRODMUSICALESPROD39</v>
      </c>
      <c r="B28" s="50" t="s">
        <v>1242</v>
      </c>
      <c r="C28" s="49">
        <v>1</v>
      </c>
      <c r="D28" s="49" t="s">
        <v>3669</v>
      </c>
      <c r="E28" s="55">
        <f>IF(B28="","",IFERROR(VLOOKUP(B28,Datos!A:B,2,0)*C28,"NO CARGADO"))</f>
        <v>163795.85999999999</v>
      </c>
      <c r="F28" s="56">
        <f>IF(B28="","",VLOOKUP(B28,Datos!A:C,3,0))</f>
        <v>0.21</v>
      </c>
      <c r="G28" s="34">
        <f t="shared" si="8"/>
        <v>0.20350819774553269</v>
      </c>
      <c r="H28" s="58" t="s">
        <v>3648</v>
      </c>
      <c r="I28" s="55">
        <f t="shared" si="9"/>
        <v>169020.86</v>
      </c>
      <c r="J28" s="57">
        <f t="shared" si="10"/>
        <v>0.21</v>
      </c>
      <c r="K28" s="51"/>
      <c r="L28" s="51"/>
      <c r="M28" s="51"/>
      <c r="N28" s="52">
        <v>0.14649999999999999</v>
      </c>
      <c r="O28" s="52">
        <v>0.1048</v>
      </c>
      <c r="P28" s="52">
        <v>0.17879436610041641</v>
      </c>
    </row>
    <row r="29" spans="1:16" x14ac:dyDescent="0.25">
      <c r="A29" t="str">
        <f t="shared" ref="A29:A38" si="11">IF(OR(D29="Inicio",D28="Fin"),H29,A28)</f>
        <v>PRODMUSICALESPROD39</v>
      </c>
      <c r="B29" s="50" t="s">
        <v>144</v>
      </c>
      <c r="C29" s="49">
        <v>1</v>
      </c>
      <c r="D29" s="49"/>
      <c r="E29" s="55">
        <f>IF(B29="","",IFERROR(VLOOKUP(B29,Datos!A:B,2,0)*C29,"NO CARGADO"))</f>
        <v>5225</v>
      </c>
      <c r="F29" s="56">
        <f>IF(B29="","",VLOOKUP(B29,Datos!A:C,3,0))</f>
        <v>0.21</v>
      </c>
      <c r="G29" s="34">
        <f t="shared" ref="G29:G38" si="12">IF(B29="","",E29/VLOOKUP(A29,H:I,2,0)*F29)</f>
        <v>6.4918022544672889E-3</v>
      </c>
      <c r="H29" s="58" t="str">
        <f>IF(AND(D29&lt;&gt;"Inicio"),"","COMBO"&amp;COUNTA($H$2:H28)+1-COUNTIF($H$2:H28,""))</f>
        <v/>
      </c>
      <c r="I29" s="55" t="str">
        <f t="shared" ref="I29:I38" si="13">IF(OR(H29="",B29=""),"",SUMIFS(E:E,A:A,H29))</f>
        <v/>
      </c>
      <c r="J29" s="57" t="str">
        <f t="shared" ref="J29:J38" si="14">IF(OR(H29="",B29=""),"",SUMIF(A:A,H29,G:G))</f>
        <v/>
      </c>
      <c r="K29" s="51"/>
      <c r="L29" s="51"/>
      <c r="M29" s="51"/>
      <c r="N29" s="52"/>
      <c r="O29" s="52"/>
      <c r="P29" s="52"/>
    </row>
    <row r="30" spans="1:16" x14ac:dyDescent="0.25">
      <c r="A30" t="str">
        <f t="shared" si="11"/>
        <v>PRODMUSICALESPROD46</v>
      </c>
      <c r="B30" s="50" t="s">
        <v>1448</v>
      </c>
      <c r="C30" s="49">
        <v>1</v>
      </c>
      <c r="D30" s="49" t="s">
        <v>3669</v>
      </c>
      <c r="E30" s="55">
        <f>IF(B30="","",IFERROR(VLOOKUP(B30,Datos!A:B,2,0)*C30,"NO CARGADO"))</f>
        <v>97370.173999999999</v>
      </c>
      <c r="F30" s="56">
        <f>IF(B30="","",VLOOKUP(B30,Datos!A:C,3,0))</f>
        <v>0.21</v>
      </c>
      <c r="G30" s="34">
        <f t="shared" si="12"/>
        <v>0.18718429901158312</v>
      </c>
      <c r="H30" s="58" t="s">
        <v>3649</v>
      </c>
      <c r="I30" s="55">
        <f t="shared" si="13"/>
        <v>109238.524</v>
      </c>
      <c r="J30" s="57">
        <f t="shared" si="14"/>
        <v>0.21</v>
      </c>
      <c r="K30" s="51"/>
      <c r="L30" s="51"/>
      <c r="M30" s="51"/>
      <c r="N30" s="52">
        <v>9.3600000000000003E-2</v>
      </c>
      <c r="O30" s="52">
        <v>8.6800000000000002E-2</v>
      </c>
      <c r="P30" s="52">
        <v>0.1131955827113659</v>
      </c>
    </row>
    <row r="31" spans="1:16" x14ac:dyDescent="0.25">
      <c r="A31" t="str">
        <f t="shared" si="11"/>
        <v>PRODMUSICALESPROD46</v>
      </c>
      <c r="B31" s="50" t="s">
        <v>402</v>
      </c>
      <c r="C31" s="49">
        <v>1</v>
      </c>
      <c r="D31" s="49"/>
      <c r="E31" s="55">
        <f>IF(B31="","",IFERROR(VLOOKUP(B31,Datos!A:B,2,0)*C31,"NO CARGADO"))</f>
        <v>6643.35</v>
      </c>
      <c r="F31" s="56">
        <f>IF(B31="","",VLOOKUP(B31,Datos!A:C,3,0))</f>
        <v>0.21</v>
      </c>
      <c r="G31" s="34">
        <f t="shared" si="12"/>
        <v>1.2771167614824235E-2</v>
      </c>
      <c r="H31" s="58" t="str">
        <f>IF(AND(D31&lt;&gt;"Inicio"),"","COMBO"&amp;COUNTA($H$2:H30)+1-COUNTIF($H$2:H30,""))</f>
        <v/>
      </c>
      <c r="I31" s="55" t="str">
        <f t="shared" si="13"/>
        <v/>
      </c>
      <c r="J31" s="57" t="str">
        <f t="shared" si="14"/>
        <v/>
      </c>
      <c r="K31" s="51"/>
      <c r="L31" s="51"/>
      <c r="M31" s="51"/>
      <c r="N31" s="52"/>
      <c r="O31" s="52"/>
      <c r="P31" s="52"/>
    </row>
    <row r="32" spans="1:16" x14ac:dyDescent="0.25">
      <c r="A32" t="str">
        <f t="shared" si="11"/>
        <v>PRODMUSICALESPROD46</v>
      </c>
      <c r="B32" s="50" t="s">
        <v>144</v>
      </c>
      <c r="C32" s="49">
        <v>1</v>
      </c>
      <c r="D32" s="49"/>
      <c r="E32" s="55">
        <f>IF(B32="","",IFERROR(VLOOKUP(B32,Datos!A:B,2,0)*C32,"NO CARGADO"))</f>
        <v>5225</v>
      </c>
      <c r="F32" s="56">
        <f>IF(B32="","",VLOOKUP(B32,Datos!A:C,3,0))</f>
        <v>0.21</v>
      </c>
      <c r="G32" s="34">
        <f t="shared" si="12"/>
        <v>1.0044533373592634E-2</v>
      </c>
      <c r="H32" s="58" t="str">
        <f>IF(AND(D32&lt;&gt;"Inicio"),"","COMBO"&amp;COUNTA($H$2:H31)+1-COUNTIF($H$2:H31,""))</f>
        <v/>
      </c>
      <c r="I32" s="55" t="str">
        <f t="shared" si="13"/>
        <v/>
      </c>
      <c r="J32" s="57" t="str">
        <f t="shared" si="14"/>
        <v/>
      </c>
      <c r="K32" s="51"/>
      <c r="L32" s="51"/>
      <c r="M32" s="51"/>
      <c r="N32" s="52"/>
      <c r="O32" s="52"/>
      <c r="P32" s="52"/>
    </row>
    <row r="33" spans="1:16" x14ac:dyDescent="0.25">
      <c r="A33" t="str">
        <f t="shared" si="11"/>
        <v>PRODMUSICALESPROD48</v>
      </c>
      <c r="B33" s="50" t="s">
        <v>1185</v>
      </c>
      <c r="C33" s="49">
        <v>1</v>
      </c>
      <c r="D33" s="49" t="s">
        <v>3669</v>
      </c>
      <c r="E33" s="55">
        <f>IF(B33="","",IFERROR(VLOOKUP(B33,Datos!A:B,2,0)*C33,"NO CARGADO"))</f>
        <v>98270.45</v>
      </c>
      <c r="F33" s="56">
        <f>IF(B33="","",VLOOKUP(B33,Datos!A:C,3,0))</f>
        <v>0.21</v>
      </c>
      <c r="G33" s="34">
        <f t="shared" si="12"/>
        <v>0.19634395766075399</v>
      </c>
      <c r="H33" s="58" t="s">
        <v>3668</v>
      </c>
      <c r="I33" s="55">
        <f t="shared" si="13"/>
        <v>105105.31999999999</v>
      </c>
      <c r="J33" s="57">
        <f t="shared" si="14"/>
        <v>0.21</v>
      </c>
      <c r="K33" s="51"/>
      <c r="L33" s="51"/>
      <c r="M33" s="51"/>
      <c r="N33" s="52">
        <v>0.12939999999999999</v>
      </c>
      <c r="O33" s="52">
        <v>0.16170000000000001</v>
      </c>
      <c r="P33" s="52">
        <v>0.15906823361785211</v>
      </c>
    </row>
    <row r="34" spans="1:16" x14ac:dyDescent="0.25">
      <c r="A34" t="str">
        <f t="shared" si="11"/>
        <v>PRODMUSICALESPROD48</v>
      </c>
      <c r="B34" s="50" t="s">
        <v>520</v>
      </c>
      <c r="C34" s="49">
        <v>1</v>
      </c>
      <c r="D34" s="49"/>
      <c r="E34" s="55">
        <f>IF(B34="","",IFERROR(VLOOKUP(B34,Datos!A:B,2,0)*C34,"NO CARGADO"))</f>
        <v>6834.87</v>
      </c>
      <c r="F34" s="56">
        <f>IF(B34="","",VLOOKUP(B34,Datos!A:C,3,0))</f>
        <v>0.21</v>
      </c>
      <c r="G34" s="34">
        <f t="shared" si="12"/>
        <v>1.3656042339246005E-2</v>
      </c>
      <c r="H34" s="58" t="str">
        <f>IF(AND(D34&lt;&gt;"Inicio"),"","COMBO"&amp;COUNTA($H$2:H33)+1-COUNTIF($H$2:H33,""))</f>
        <v/>
      </c>
      <c r="I34" s="55" t="str">
        <f t="shared" si="13"/>
        <v/>
      </c>
      <c r="J34" s="57" t="str">
        <f t="shared" si="14"/>
        <v/>
      </c>
      <c r="K34" s="51"/>
      <c r="L34" s="51"/>
      <c r="M34" s="51"/>
      <c r="N34" s="52"/>
      <c r="O34" s="52"/>
      <c r="P34" s="52"/>
    </row>
    <row r="35" spans="1:16" x14ac:dyDescent="0.25">
      <c r="A35" t="str">
        <f t="shared" si="11"/>
        <v>PRODMUSICALESPROD50</v>
      </c>
      <c r="B35" s="50" t="s">
        <v>638</v>
      </c>
      <c r="C35" s="49">
        <v>1</v>
      </c>
      <c r="D35" s="49" t="s">
        <v>3669</v>
      </c>
      <c r="E35" s="55">
        <f>IF(B35="","",IFERROR(VLOOKUP(B35,Datos!A:B,2,0)*C35,"NO CARGADO"))</f>
        <v>3581.92</v>
      </c>
      <c r="F35" s="56">
        <f>IF(B35="","",VLOOKUP(B35,Datos!A:C,3,0))</f>
        <v>0.21</v>
      </c>
      <c r="G35" s="34">
        <f t="shared" si="12"/>
        <v>8.6759127835720762E-3</v>
      </c>
      <c r="H35" s="58" t="s">
        <v>3650</v>
      </c>
      <c r="I35" s="55">
        <f t="shared" si="13"/>
        <v>86700.18</v>
      </c>
      <c r="J35" s="57">
        <f t="shared" si="14"/>
        <v>0.20627232607821575</v>
      </c>
      <c r="K35" s="51"/>
      <c r="L35" s="51"/>
      <c r="M35" s="51"/>
      <c r="N35" s="52">
        <v>0.12859999999999999</v>
      </c>
      <c r="O35" s="52">
        <v>0.15790000000000001</v>
      </c>
      <c r="P35" s="52">
        <v>0.1587419683135767</v>
      </c>
    </row>
    <row r="36" spans="1:16" x14ac:dyDescent="0.25">
      <c r="A36" t="str">
        <f t="shared" si="11"/>
        <v>PRODMUSICALESPROD50</v>
      </c>
      <c r="B36" s="50" t="s">
        <v>1340</v>
      </c>
      <c r="C36" s="49">
        <v>1</v>
      </c>
      <c r="D36" s="49"/>
      <c r="E36" s="55">
        <f>IF(B36="","",IFERROR(VLOOKUP(B36,Datos!A:B,2,0)*C36,"NO CARGADO"))</f>
        <v>81579.259999999995</v>
      </c>
      <c r="F36" s="56">
        <f>IF(B36="","",VLOOKUP(B36,Datos!A:C,3,0))</f>
        <v>0.21</v>
      </c>
      <c r="G36" s="34">
        <f t="shared" si="12"/>
        <v>0.19759641329464367</v>
      </c>
      <c r="H36" s="58" t="str">
        <f>IF(AND(D36&lt;&gt;"Inicio"),"","COMBO"&amp;COUNTA($H$2:H35)+1-COUNTIF($H$2:H35,""))</f>
        <v/>
      </c>
      <c r="I36" s="55" t="str">
        <f t="shared" si="13"/>
        <v/>
      </c>
      <c r="J36" s="57" t="str">
        <f t="shared" si="14"/>
        <v/>
      </c>
      <c r="K36" s="51"/>
      <c r="L36" s="51"/>
      <c r="M36" s="51"/>
      <c r="N36" s="52"/>
      <c r="O36" s="52"/>
      <c r="P36" s="52"/>
    </row>
    <row r="37" spans="1:16" x14ac:dyDescent="0.25">
      <c r="A37" t="str">
        <f t="shared" si="11"/>
        <v>PRODMUSICALESPROD50</v>
      </c>
      <c r="B37" s="50" t="s">
        <v>133</v>
      </c>
      <c r="C37" s="49">
        <v>1</v>
      </c>
      <c r="D37" s="49"/>
      <c r="E37" s="55">
        <f>IF(B37="","",IFERROR(VLOOKUP(B37,Datos!A:B,2,0)*C37,"NO CARGADO"))</f>
        <v>1539</v>
      </c>
      <c r="F37" s="56">
        <f>IF(B37="","",VLOOKUP(B37,Datos!A:C,3,0))</f>
        <v>0</v>
      </c>
      <c r="G37" s="34">
        <f t="shared" si="12"/>
        <v>0</v>
      </c>
      <c r="H37" s="58" t="str">
        <f>IF(AND(D37&lt;&gt;"Inicio"),"","COMBO"&amp;COUNTA($H$2:H36)+1-COUNTIF($H$2:H36,""))</f>
        <v/>
      </c>
      <c r="I37" s="55" t="str">
        <f t="shared" si="13"/>
        <v/>
      </c>
      <c r="J37" s="57" t="str">
        <f t="shared" si="14"/>
        <v/>
      </c>
      <c r="K37" s="51"/>
      <c r="L37" s="51"/>
      <c r="M37" s="51"/>
      <c r="N37" s="52"/>
      <c r="O37" s="52"/>
      <c r="P37" s="52"/>
    </row>
    <row r="38" spans="1:16" x14ac:dyDescent="0.25">
      <c r="A38" t="str">
        <f t="shared" si="11"/>
        <v>PRODMUSICALESPROD54</v>
      </c>
      <c r="B38" s="50" t="s">
        <v>622</v>
      </c>
      <c r="C38" s="49">
        <v>1</v>
      </c>
      <c r="D38" s="49" t="s">
        <v>3669</v>
      </c>
      <c r="E38" s="55">
        <f>IF(B38="","",IFERROR(VLOOKUP(B38,Datos!A:B,2,0)*C38,"NO CARGADO"))</f>
        <v>26841.87</v>
      </c>
      <c r="F38" s="56">
        <f>IF(B38="","",VLOOKUP(B38,Datos!A:C,3,0))</f>
        <v>0.21</v>
      </c>
      <c r="G38" s="34">
        <f t="shared" si="12"/>
        <v>0.13883903685465918</v>
      </c>
      <c r="H38" s="58" t="s">
        <v>3651</v>
      </c>
      <c r="I38" s="55">
        <f t="shared" si="13"/>
        <v>40599.480000000003</v>
      </c>
      <c r="J38" s="57">
        <f t="shared" si="14"/>
        <v>0.20203955321595246</v>
      </c>
      <c r="K38" s="51"/>
      <c r="L38" s="51"/>
      <c r="M38" s="51"/>
      <c r="N38" s="52">
        <v>4.7100000000000003E-2</v>
      </c>
      <c r="O38" s="52">
        <v>0.14080000000000001</v>
      </c>
      <c r="P38" s="52">
        <v>6.7117074857982767E-2</v>
      </c>
    </row>
    <row r="39" spans="1:16" x14ac:dyDescent="0.25">
      <c r="A39" t="str">
        <f t="shared" ref="A39:A48" si="15">IF(OR(D39="Inicio",D38="Fin"),H39,A38)</f>
        <v>PRODMUSICALESPROD54</v>
      </c>
      <c r="B39" s="50" t="s">
        <v>310</v>
      </c>
      <c r="C39" s="49">
        <v>1</v>
      </c>
      <c r="D39" s="49"/>
      <c r="E39" s="55">
        <f>IF(B39="","",IFERROR(VLOOKUP(B39,Datos!A:B,2,0)*C39,"NO CARGADO"))</f>
        <v>2812.1000000000004</v>
      </c>
      <c r="F39" s="56">
        <f>IF(B39="","",VLOOKUP(B39,Datos!A:C,3,0))</f>
        <v>0.21</v>
      </c>
      <c r="G39" s="34">
        <f t="shared" ref="G39:G48" si="16">IF(B39="","",E39/VLOOKUP(A39,H:I,2,0)*F39)</f>
        <v>1.4545531125029187E-2</v>
      </c>
      <c r="H39" s="58" t="str">
        <f>IF(AND(D39&lt;&gt;"Inicio"),"","COMBO"&amp;COUNTA($H$2:H38)+1-COUNTIF($H$2:H38,""))</f>
        <v/>
      </c>
      <c r="I39" s="55" t="str">
        <f t="shared" ref="I39:I48" si="17">IF(OR(H39="",B39=""),"",SUMIFS(E:E,A:A,H39))</f>
        <v/>
      </c>
      <c r="J39" s="57" t="str">
        <f t="shared" ref="J39:J48" si="18">IF(OR(H39="",B39=""),"",SUMIF(A:A,H39,G:G))</f>
        <v/>
      </c>
      <c r="K39" s="51"/>
      <c r="L39" s="51"/>
      <c r="M39" s="51"/>
      <c r="N39" s="52"/>
      <c r="O39" s="52"/>
      <c r="P39" s="52"/>
    </row>
    <row r="40" spans="1:16" x14ac:dyDescent="0.25">
      <c r="A40" t="str">
        <f t="shared" si="15"/>
        <v>PRODMUSICALESPROD54</v>
      </c>
      <c r="B40" s="50" t="s">
        <v>1295</v>
      </c>
      <c r="C40" s="49">
        <v>1</v>
      </c>
      <c r="D40" s="49"/>
      <c r="E40" s="55">
        <f>IF(B40="","",IFERROR(VLOOKUP(B40,Datos!A:B,2,0)*C40,"NO CARGADO"))</f>
        <v>9406.51</v>
      </c>
      <c r="F40" s="56">
        <f>IF(B40="","",VLOOKUP(B40,Datos!A:C,3,0))</f>
        <v>0.21</v>
      </c>
      <c r="G40" s="34">
        <f t="shared" si="16"/>
        <v>4.8654985236264103E-2</v>
      </c>
      <c r="H40" s="58" t="str">
        <f>IF(AND(D40&lt;&gt;"Inicio"),"","COMBO"&amp;COUNTA($H$2:H39)+1-COUNTIF($H$2:H39,""))</f>
        <v/>
      </c>
      <c r="I40" s="55" t="str">
        <f t="shared" si="17"/>
        <v/>
      </c>
      <c r="J40" s="57" t="str">
        <f t="shared" si="18"/>
        <v/>
      </c>
      <c r="K40" s="51"/>
      <c r="L40" s="51"/>
      <c r="M40" s="51"/>
      <c r="N40" s="52"/>
      <c r="O40" s="52"/>
      <c r="P40" s="52"/>
    </row>
    <row r="41" spans="1:16" x14ac:dyDescent="0.25">
      <c r="A41" t="str">
        <f t="shared" si="15"/>
        <v>PRODMUSICALESPROD54</v>
      </c>
      <c r="B41" s="50" t="s">
        <v>132</v>
      </c>
      <c r="C41" s="49">
        <v>1</v>
      </c>
      <c r="D41" s="49"/>
      <c r="E41" s="55">
        <f>IF(B41="","",IFERROR(VLOOKUP(B41,Datos!A:B,2,0)*C41,"NO CARGADO"))</f>
        <v>1539</v>
      </c>
      <c r="F41" s="56">
        <f>IF(B41="","",VLOOKUP(B41,Datos!A:C,3,0))</f>
        <v>0</v>
      </c>
      <c r="G41" s="34">
        <f t="shared" si="16"/>
        <v>0</v>
      </c>
      <c r="H41" s="58" t="str">
        <f>IF(AND(D41&lt;&gt;"Inicio"),"","COMBO"&amp;COUNTA($H$2:H40)+1-COUNTIF($H$2:H40,""))</f>
        <v/>
      </c>
      <c r="I41" s="55" t="str">
        <f t="shared" si="17"/>
        <v/>
      </c>
      <c r="J41" s="57" t="str">
        <f t="shared" si="18"/>
        <v/>
      </c>
      <c r="K41" s="51"/>
      <c r="L41" s="51"/>
      <c r="M41" s="51"/>
      <c r="N41" s="52"/>
      <c r="O41" s="52"/>
      <c r="P41" s="52"/>
    </row>
    <row r="42" spans="1:16" x14ac:dyDescent="0.25">
      <c r="A42" t="str">
        <f t="shared" si="15"/>
        <v>PRODMUSICALESPROD86</v>
      </c>
      <c r="B42" s="50" t="s">
        <v>1444</v>
      </c>
      <c r="C42" s="49">
        <v>1</v>
      </c>
      <c r="D42" s="49" t="s">
        <v>3669</v>
      </c>
      <c r="E42" s="55">
        <f>IF(B42="","",IFERROR(VLOOKUP(B42,Datos!A:B,2,0)*C42,"NO CARGADO"))</f>
        <v>74333.633499999996</v>
      </c>
      <c r="F42" s="56">
        <f>IF(B42="","",VLOOKUP(B42,Datos!A:C,3,0))</f>
        <v>0.21</v>
      </c>
      <c r="G42" s="34">
        <f t="shared" si="16"/>
        <v>0.19273678298803121</v>
      </c>
      <c r="H42" s="58" t="s">
        <v>3652</v>
      </c>
      <c r="I42" s="55">
        <f t="shared" si="17"/>
        <v>80991.613499999992</v>
      </c>
      <c r="J42" s="57">
        <f t="shared" si="18"/>
        <v>0.21</v>
      </c>
      <c r="K42" s="51"/>
      <c r="L42" s="51"/>
      <c r="M42" s="51"/>
      <c r="N42" s="52">
        <v>0.13</v>
      </c>
      <c r="O42" s="52">
        <v>0.13</v>
      </c>
      <c r="P42" s="52">
        <v>0.1116327155555677</v>
      </c>
    </row>
    <row r="43" spans="1:16" x14ac:dyDescent="0.25">
      <c r="A43" t="str">
        <f t="shared" si="15"/>
        <v>PRODMUSICALESPROD86</v>
      </c>
      <c r="B43" s="50" t="s">
        <v>144</v>
      </c>
      <c r="C43" s="49">
        <v>1</v>
      </c>
      <c r="D43" s="49"/>
      <c r="E43" s="55">
        <f>IF(B43="","",IFERROR(VLOOKUP(B43,Datos!A:B,2,0)*C43,"NO CARGADO"))</f>
        <v>5225</v>
      </c>
      <c r="F43" s="56">
        <f>IF(B43="","",VLOOKUP(B43,Datos!A:C,3,0))</f>
        <v>0.21</v>
      </c>
      <c r="G43" s="34">
        <f t="shared" si="16"/>
        <v>1.3547698984907864E-2</v>
      </c>
      <c r="H43" s="58" t="str">
        <f>IF(AND(D43&lt;&gt;"Inicio"),"","COMBO"&amp;COUNTA($H$2:H42)+1-COUNTIF($H$2:H42,""))</f>
        <v/>
      </c>
      <c r="I43" s="55" t="str">
        <f t="shared" si="17"/>
        <v/>
      </c>
      <c r="J43" s="57" t="str">
        <f t="shared" si="18"/>
        <v/>
      </c>
      <c r="K43" s="51"/>
      <c r="L43" s="51"/>
      <c r="M43" s="51"/>
      <c r="N43" s="52"/>
      <c r="O43" s="52"/>
      <c r="P43" s="52"/>
    </row>
    <row r="44" spans="1:16" x14ac:dyDescent="0.25">
      <c r="A44" t="str">
        <f t="shared" si="15"/>
        <v>PRODMUSICALESPROD86</v>
      </c>
      <c r="B44" s="50" t="s">
        <v>625</v>
      </c>
      <c r="C44" s="49">
        <v>1</v>
      </c>
      <c r="D44" s="49"/>
      <c r="E44" s="55">
        <f>IF(B44="","",IFERROR(VLOOKUP(B44,Datos!A:B,2,0)*C44,"NO CARGADO"))</f>
        <v>1432.98</v>
      </c>
      <c r="F44" s="56">
        <f>IF(B44="","",VLOOKUP(B44,Datos!A:C,3,0))</f>
        <v>0.21</v>
      </c>
      <c r="G44" s="34">
        <f t="shared" si="16"/>
        <v>3.7155180270609135E-3</v>
      </c>
      <c r="H44" s="58" t="str">
        <f>IF(AND(D44&lt;&gt;"Inicio"),"","COMBO"&amp;COUNTA($H$2:H43)+1-COUNTIF($H$2:H43,""))</f>
        <v/>
      </c>
      <c r="I44" s="55" t="str">
        <f t="shared" si="17"/>
        <v/>
      </c>
      <c r="J44" s="57" t="str">
        <f t="shared" si="18"/>
        <v/>
      </c>
      <c r="K44" s="51"/>
      <c r="L44" s="51"/>
      <c r="M44" s="51"/>
      <c r="N44" s="52"/>
      <c r="O44" s="52"/>
      <c r="P44" s="52"/>
    </row>
    <row r="45" spans="1:16" x14ac:dyDescent="0.25">
      <c r="A45" t="str">
        <f t="shared" si="15"/>
        <v>PRODMUSICALESPROD88</v>
      </c>
      <c r="B45" s="50" t="s">
        <v>624</v>
      </c>
      <c r="C45" s="49">
        <v>1</v>
      </c>
      <c r="D45" s="49" t="s">
        <v>3669</v>
      </c>
      <c r="E45" s="55">
        <f>IF(B45="","",IFERROR(VLOOKUP(B45,Datos!A:B,2,0)*C45,"NO CARGADO"))</f>
        <v>33023.519999999997</v>
      </c>
      <c r="F45" s="56">
        <f>IF(B45="","",VLOOKUP(B45,Datos!A:C,3,0))</f>
        <v>0.21</v>
      </c>
      <c r="G45" s="34">
        <f t="shared" si="16"/>
        <v>0.14824223356725241</v>
      </c>
      <c r="H45" s="58" t="s">
        <v>3653</v>
      </c>
      <c r="I45" s="55">
        <f t="shared" si="17"/>
        <v>46781.13</v>
      </c>
      <c r="J45" s="57">
        <f t="shared" si="18"/>
        <v>0.20309144520450872</v>
      </c>
      <c r="K45" s="51"/>
      <c r="L45" s="51"/>
      <c r="M45" s="51"/>
      <c r="N45" s="52">
        <v>4.6399999999999997E-2</v>
      </c>
      <c r="O45" s="52">
        <v>0.13750000000000001</v>
      </c>
      <c r="P45" s="52">
        <v>6.6381331235774624E-2</v>
      </c>
    </row>
    <row r="46" spans="1:16" x14ac:dyDescent="0.25">
      <c r="A46" t="str">
        <f t="shared" si="15"/>
        <v>PRODMUSICALESPROD88</v>
      </c>
      <c r="B46" s="50" t="s">
        <v>310</v>
      </c>
      <c r="C46" s="49">
        <v>1</v>
      </c>
      <c r="D46" s="49"/>
      <c r="E46" s="55">
        <f>IF(B46="","",IFERROR(VLOOKUP(B46,Datos!A:B,2,0)*C46,"NO CARGADO"))</f>
        <v>2812.1000000000004</v>
      </c>
      <c r="F46" s="56">
        <f>IF(B46="","",VLOOKUP(B46,Datos!A:C,3,0))</f>
        <v>0.21</v>
      </c>
      <c r="G46" s="34">
        <f t="shared" si="16"/>
        <v>1.2623487290708883E-2</v>
      </c>
      <c r="H46" s="58" t="str">
        <f>IF(AND(D46&lt;&gt;"Inicio"),"","COMBO"&amp;COUNTA($H$2:H45)+1-COUNTIF($H$2:H45,""))</f>
        <v/>
      </c>
      <c r="I46" s="55" t="str">
        <f t="shared" si="17"/>
        <v/>
      </c>
      <c r="J46" s="57" t="str">
        <f t="shared" si="18"/>
        <v/>
      </c>
      <c r="K46" s="51"/>
      <c r="L46" s="51"/>
      <c r="M46" s="51"/>
      <c r="N46" s="52"/>
      <c r="O46" s="52"/>
      <c r="P46" s="52"/>
    </row>
    <row r="47" spans="1:16" x14ac:dyDescent="0.25">
      <c r="A47" t="str">
        <f t="shared" si="15"/>
        <v>PRODMUSICALESPROD88</v>
      </c>
      <c r="B47" s="50" t="s">
        <v>1295</v>
      </c>
      <c r="C47" s="49">
        <v>1</v>
      </c>
      <c r="D47" s="49"/>
      <c r="E47" s="55">
        <f>IF(B47="","",IFERROR(VLOOKUP(B47,Datos!A:B,2,0)*C47,"NO CARGADO"))</f>
        <v>9406.51</v>
      </c>
      <c r="F47" s="56">
        <f>IF(B47="","",VLOOKUP(B47,Datos!A:C,3,0))</f>
        <v>0.21</v>
      </c>
      <c r="G47" s="34">
        <f t="shared" si="16"/>
        <v>4.2225724346547422E-2</v>
      </c>
      <c r="H47" s="58" t="str">
        <f>IF(AND(D47&lt;&gt;"Inicio"),"","COMBO"&amp;COUNTA($H$2:H46)+1-COUNTIF($H$2:H46,""))</f>
        <v/>
      </c>
      <c r="I47" s="55" t="str">
        <f t="shared" si="17"/>
        <v/>
      </c>
      <c r="J47" s="57" t="str">
        <f t="shared" si="18"/>
        <v/>
      </c>
      <c r="K47" s="51"/>
      <c r="L47" s="51"/>
      <c r="M47" s="51"/>
      <c r="N47" s="52"/>
      <c r="O47" s="52"/>
      <c r="P47" s="52"/>
    </row>
    <row r="48" spans="1:16" x14ac:dyDescent="0.25">
      <c r="A48" t="str">
        <f t="shared" si="15"/>
        <v>PRODMUSICALESPROD88</v>
      </c>
      <c r="B48" s="50" t="s">
        <v>132</v>
      </c>
      <c r="C48" s="49">
        <v>1</v>
      </c>
      <c r="D48" s="49"/>
      <c r="E48" s="55">
        <f>IF(B48="","",IFERROR(VLOOKUP(B48,Datos!A:B,2,0)*C48,"NO CARGADO"))</f>
        <v>1539</v>
      </c>
      <c r="F48" s="56">
        <f>IF(B48="","",VLOOKUP(B48,Datos!A:C,3,0))</f>
        <v>0</v>
      </c>
      <c r="G48" s="34">
        <f t="shared" si="16"/>
        <v>0</v>
      </c>
      <c r="H48" s="58" t="str">
        <f>IF(AND(D48&lt;&gt;"Inicio"),"","COMBO"&amp;COUNTA($H$2:H47)+1-COUNTIF($H$2:H47,""))</f>
        <v/>
      </c>
      <c r="I48" s="55" t="str">
        <f t="shared" si="17"/>
        <v/>
      </c>
      <c r="J48" s="57" t="str">
        <f t="shared" si="18"/>
        <v/>
      </c>
      <c r="K48" s="51"/>
      <c r="L48" s="51"/>
      <c r="M48" s="51"/>
      <c r="N48" s="52"/>
      <c r="O48" s="52"/>
      <c r="P48" s="52"/>
    </row>
    <row r="49" spans="1:16" x14ac:dyDescent="0.25">
      <c r="A49" t="str">
        <f t="shared" ref="A49:A58" si="19">IF(OR(D49="Inicio",D48="Fin"),H49,A48)</f>
        <v>PRODMUSICALESPROD170</v>
      </c>
      <c r="B49" s="50" t="s">
        <v>1175</v>
      </c>
      <c r="C49" s="49">
        <v>1</v>
      </c>
      <c r="D49" s="49" t="s">
        <v>3669</v>
      </c>
      <c r="E49" s="55">
        <f>IF(B49="","",IFERROR(VLOOKUP(B49,Datos!A:B,2,0)*C49,"NO CARGADO"))</f>
        <v>240199.19</v>
      </c>
      <c r="F49" s="56">
        <f>IF(B49="","",VLOOKUP(B49,Datos!A:C,3,0))</f>
        <v>0.21</v>
      </c>
      <c r="G49" s="34">
        <f t="shared" ref="G49:G58" si="20">IF(B49="","",E49/VLOOKUP(A49,H:I,2,0)*F49)</f>
        <v>0.1995055728024758</v>
      </c>
      <c r="H49" s="58" t="s">
        <v>3642</v>
      </c>
      <c r="I49" s="55">
        <f t="shared" ref="I49:I58" si="21">IF(OR(H49="",B49=""),"",SUMIFS(E:E,A:A,H49))</f>
        <v>252834.19</v>
      </c>
      <c r="J49" s="57">
        <f t="shared" ref="J49:J58" si="22">IF(OR(H49="",B49=""),"",SUMIF(A:A,H49,G:G))</f>
        <v>0.21</v>
      </c>
      <c r="K49" s="51"/>
      <c r="L49" s="51"/>
      <c r="M49" s="51"/>
      <c r="N49" s="52">
        <v>0.1414</v>
      </c>
      <c r="O49" s="52">
        <v>9.6000000000000002E-2</v>
      </c>
      <c r="P49" s="52">
        <v>0.172623708271054</v>
      </c>
    </row>
    <row r="50" spans="1:16" x14ac:dyDescent="0.25">
      <c r="A50" t="str">
        <f t="shared" si="19"/>
        <v>PRODMUSICALESPROD170</v>
      </c>
      <c r="B50" s="50" t="s">
        <v>144</v>
      </c>
      <c r="C50" s="49">
        <v>1</v>
      </c>
      <c r="D50" s="49"/>
      <c r="E50" s="55">
        <f>IF(B50="","",IFERROR(VLOOKUP(B50,Datos!A:B,2,0)*C50,"NO CARGADO"))</f>
        <v>5225</v>
      </c>
      <c r="F50" s="56">
        <f>IF(B50="","",VLOOKUP(B50,Datos!A:C,3,0))</f>
        <v>0.21</v>
      </c>
      <c r="G50" s="34">
        <f t="shared" si="20"/>
        <v>4.3398007207806821E-3</v>
      </c>
      <c r="H50" s="58" t="str">
        <f>IF(AND(D50&lt;&gt;"Inicio"),"","COMBO"&amp;COUNTA($H$2:H49)+1-COUNTIF($H$2:H49,""))</f>
        <v/>
      </c>
      <c r="I50" s="55" t="str">
        <f t="shared" si="21"/>
        <v/>
      </c>
      <c r="J50" s="57" t="str">
        <f t="shared" si="22"/>
        <v/>
      </c>
      <c r="K50" s="51"/>
      <c r="L50" s="51"/>
      <c r="M50" s="51"/>
      <c r="N50" s="52"/>
      <c r="O50" s="52"/>
      <c r="P50" s="52"/>
    </row>
    <row r="51" spans="1:16" x14ac:dyDescent="0.25">
      <c r="A51" t="str">
        <f t="shared" si="19"/>
        <v>PRODMUSICALESPROD170</v>
      </c>
      <c r="B51" s="50" t="s">
        <v>135</v>
      </c>
      <c r="C51" s="49">
        <v>1</v>
      </c>
      <c r="D51" s="49"/>
      <c r="E51" s="55">
        <f>IF(B51="","",IFERROR(VLOOKUP(B51,Datos!A:B,2,0)*C51,"NO CARGADO"))</f>
        <v>7410</v>
      </c>
      <c r="F51" s="56">
        <f>IF(B51="","",VLOOKUP(B51,Datos!A:C,3,0))</f>
        <v>0.21</v>
      </c>
      <c r="G51" s="34">
        <f t="shared" si="20"/>
        <v>6.1546264767435134E-3</v>
      </c>
      <c r="H51" s="58" t="str">
        <f>IF(AND(D51&lt;&gt;"Inicio"),"","COMBO"&amp;COUNTA($H$2:H50)+1-COUNTIF($H$2:H50,""))</f>
        <v/>
      </c>
      <c r="I51" s="55" t="str">
        <f t="shared" si="21"/>
        <v/>
      </c>
      <c r="J51" s="57" t="str">
        <f t="shared" si="22"/>
        <v/>
      </c>
      <c r="K51" s="51"/>
      <c r="L51" s="51"/>
      <c r="M51" s="51"/>
      <c r="N51" s="52"/>
      <c r="O51" s="52"/>
      <c r="P51" s="52"/>
    </row>
    <row r="52" spans="1:16" x14ac:dyDescent="0.25">
      <c r="A52" t="str">
        <f t="shared" si="19"/>
        <v>PRODMUSICALESPROD171</v>
      </c>
      <c r="B52" s="50" t="s">
        <v>1248</v>
      </c>
      <c r="C52" s="49">
        <v>1</v>
      </c>
      <c r="D52" s="49" t="s">
        <v>3669</v>
      </c>
      <c r="E52" s="55">
        <f>IF(B52="","",IFERROR(VLOOKUP(B52,Datos!A:B,2,0)*C52,"NO CARGADO"))</f>
        <v>114220.15</v>
      </c>
      <c r="F52" s="56">
        <f>IF(B52="","",VLOOKUP(B52,Datos!A:C,3,0))</f>
        <v>0.21</v>
      </c>
      <c r="G52" s="34">
        <f t="shared" si="20"/>
        <v>0.18908362411774374</v>
      </c>
      <c r="H52" s="58" t="s">
        <v>3643</v>
      </c>
      <c r="I52" s="55">
        <f t="shared" si="21"/>
        <v>126855.15</v>
      </c>
      <c r="J52" s="57">
        <f t="shared" si="22"/>
        <v>0.21</v>
      </c>
      <c r="K52" s="51"/>
      <c r="L52" s="51"/>
      <c r="M52" s="51"/>
      <c r="N52" s="52">
        <v>0.1201</v>
      </c>
      <c r="O52" s="52">
        <v>7.9899999999999999E-2</v>
      </c>
      <c r="P52" s="52">
        <v>0.1470913643975342</v>
      </c>
    </row>
    <row r="53" spans="1:16" x14ac:dyDescent="0.25">
      <c r="A53" t="str">
        <f t="shared" si="19"/>
        <v>PRODMUSICALESPROD171</v>
      </c>
      <c r="B53" s="50" t="s">
        <v>144</v>
      </c>
      <c r="C53" s="49">
        <v>1</v>
      </c>
      <c r="D53" s="49"/>
      <c r="E53" s="55">
        <f>IF(B53="","",IFERROR(VLOOKUP(B53,Datos!A:B,2,0)*C53,"NO CARGADO"))</f>
        <v>5225</v>
      </c>
      <c r="F53" s="56">
        <f>IF(B53="","",VLOOKUP(B53,Datos!A:C,3,0))</f>
        <v>0.21</v>
      </c>
      <c r="G53" s="34">
        <f t="shared" si="20"/>
        <v>8.6496291242413106E-3</v>
      </c>
      <c r="H53" s="58" t="str">
        <f>IF(AND(D53&lt;&gt;"Inicio"),"","COMBO"&amp;COUNTA($H$2:H52)+1-COUNTIF($H$2:H52,""))</f>
        <v/>
      </c>
      <c r="I53" s="55" t="str">
        <f t="shared" si="21"/>
        <v/>
      </c>
      <c r="J53" s="57" t="str">
        <f t="shared" si="22"/>
        <v/>
      </c>
      <c r="K53" s="51"/>
      <c r="L53" s="51"/>
      <c r="M53" s="51"/>
      <c r="N53" s="52"/>
      <c r="O53" s="52"/>
      <c r="P53" s="52"/>
    </row>
    <row r="54" spans="1:16" x14ac:dyDescent="0.25">
      <c r="A54" t="str">
        <f t="shared" si="19"/>
        <v>PRODMUSICALESPROD171</v>
      </c>
      <c r="B54" s="50" t="s">
        <v>135</v>
      </c>
      <c r="C54" s="49">
        <v>1</v>
      </c>
      <c r="D54" s="49"/>
      <c r="E54" s="55">
        <f>IF(B54="","",IFERROR(VLOOKUP(B54,Datos!A:B,2,0)*C54,"NO CARGADO"))</f>
        <v>7410</v>
      </c>
      <c r="F54" s="56">
        <f>IF(B54="","",VLOOKUP(B54,Datos!A:C,3,0))</f>
        <v>0.21</v>
      </c>
      <c r="G54" s="34">
        <f t="shared" si="20"/>
        <v>1.226674675801495E-2</v>
      </c>
      <c r="H54" s="58" t="str">
        <f>IF(AND(D54&lt;&gt;"Inicio"),"","COMBO"&amp;COUNTA($H$2:H53)+1-COUNTIF($H$2:H53,""))</f>
        <v/>
      </c>
      <c r="I54" s="55" t="str">
        <f t="shared" si="21"/>
        <v/>
      </c>
      <c r="J54" s="57" t="str">
        <f t="shared" si="22"/>
        <v/>
      </c>
      <c r="K54" s="51"/>
      <c r="L54" s="51"/>
      <c r="M54" s="51"/>
      <c r="N54" s="52"/>
      <c r="O54" s="52"/>
      <c r="P54" s="52"/>
    </row>
    <row r="55" spans="1:16" x14ac:dyDescent="0.25">
      <c r="A55" t="str">
        <f t="shared" si="19"/>
        <v>PRODMUSICALESPROD172</v>
      </c>
      <c r="B55" s="50" t="s">
        <v>1242</v>
      </c>
      <c r="C55" s="49">
        <v>1</v>
      </c>
      <c r="D55" s="49" t="s">
        <v>3669</v>
      </c>
      <c r="E55" s="55">
        <f>IF(B55="","",IFERROR(VLOOKUP(B55,Datos!A:B,2,0)*C55,"NO CARGADO"))</f>
        <v>163795.85999999999</v>
      </c>
      <c r="F55" s="56">
        <f>IF(B55="","",VLOOKUP(B55,Datos!A:C,3,0))</f>
        <v>0.21</v>
      </c>
      <c r="G55" s="34">
        <f t="shared" si="20"/>
        <v>0.1949609643120257</v>
      </c>
      <c r="H55" s="58" t="s">
        <v>3665</v>
      </c>
      <c r="I55" s="55">
        <f t="shared" si="21"/>
        <v>176430.86</v>
      </c>
      <c r="J55" s="57">
        <f t="shared" si="22"/>
        <v>0.21000000000000002</v>
      </c>
      <c r="K55" s="51"/>
      <c r="L55" s="51"/>
      <c r="M55" s="51"/>
      <c r="N55" s="52">
        <v>0.1358</v>
      </c>
      <c r="O55" s="52">
        <v>9.6000000000000002E-2</v>
      </c>
      <c r="P55" s="52">
        <v>0.16592907004799229</v>
      </c>
    </row>
    <row r="56" spans="1:16" x14ac:dyDescent="0.25">
      <c r="A56" t="str">
        <f t="shared" si="19"/>
        <v>PRODMUSICALESPROD172</v>
      </c>
      <c r="B56" s="50" t="s">
        <v>144</v>
      </c>
      <c r="C56" s="49">
        <v>1</v>
      </c>
      <c r="D56" s="49"/>
      <c r="E56" s="55">
        <f>IF(B56="","",IFERROR(VLOOKUP(B56,Datos!A:B,2,0)*C56,"NO CARGADO"))</f>
        <v>5225</v>
      </c>
      <c r="F56" s="56">
        <f>IF(B56="","",VLOOKUP(B56,Datos!A:C,3,0))</f>
        <v>0.21</v>
      </c>
      <c r="G56" s="34">
        <f t="shared" si="20"/>
        <v>6.2191500965307319E-3</v>
      </c>
      <c r="H56" s="58" t="str">
        <f>IF(AND(D56&lt;&gt;"Inicio"),"","COMBO"&amp;COUNTA($H$2:H55)+1-COUNTIF($H$2:H55,""))</f>
        <v/>
      </c>
      <c r="I56" s="55" t="str">
        <f t="shared" si="21"/>
        <v/>
      </c>
      <c r="J56" s="57" t="str">
        <f t="shared" si="22"/>
        <v/>
      </c>
      <c r="K56" s="51"/>
      <c r="L56" s="51"/>
      <c r="M56" s="51"/>
      <c r="N56" s="52"/>
      <c r="O56" s="52"/>
      <c r="P56" s="52"/>
    </row>
    <row r="57" spans="1:16" x14ac:dyDescent="0.25">
      <c r="A57" t="str">
        <f t="shared" si="19"/>
        <v>PRODMUSICALESPROD172</v>
      </c>
      <c r="B57" s="50" t="s">
        <v>135</v>
      </c>
      <c r="C57" s="49">
        <v>1</v>
      </c>
      <c r="D57" s="49"/>
      <c r="E57" s="55">
        <f>IF(B57="","",IFERROR(VLOOKUP(B57,Datos!A:B,2,0)*C57,"NO CARGADO"))</f>
        <v>7410</v>
      </c>
      <c r="F57" s="56">
        <f>IF(B57="","",VLOOKUP(B57,Datos!A:C,3,0))</f>
        <v>0.21</v>
      </c>
      <c r="G57" s="34">
        <f t="shared" si="20"/>
        <v>8.8198855914435829E-3</v>
      </c>
      <c r="H57" s="58" t="str">
        <f>IF(AND(D57&lt;&gt;"Inicio"),"","COMBO"&amp;COUNTA($H$2:H56)+1-COUNTIF($H$2:H56,""))</f>
        <v/>
      </c>
      <c r="I57" s="55" t="str">
        <f t="shared" si="21"/>
        <v/>
      </c>
      <c r="J57" s="57" t="str">
        <f t="shared" si="22"/>
        <v/>
      </c>
      <c r="K57" s="51"/>
      <c r="L57" s="51"/>
      <c r="M57" s="51"/>
      <c r="N57" s="52"/>
      <c r="O57" s="52"/>
      <c r="P57" s="52"/>
    </row>
    <row r="58" spans="1:16" x14ac:dyDescent="0.25">
      <c r="A58" t="str">
        <f t="shared" si="19"/>
        <v>PRODMUSICALESPROD208</v>
      </c>
      <c r="B58" s="50" t="s">
        <v>893</v>
      </c>
      <c r="C58" s="49">
        <v>1</v>
      </c>
      <c r="D58" s="49" t="s">
        <v>3669</v>
      </c>
      <c r="E58" s="55">
        <f>IF(B58="","",IFERROR(VLOOKUP(B58,Datos!A:B,2,0)*C58,"NO CARGADO"))</f>
        <v>271754</v>
      </c>
      <c r="F58" s="56">
        <f>IF(B58="","",VLOOKUP(B58,Datos!A:C,3,0))</f>
        <v>0.21</v>
      </c>
      <c r="G58" s="34">
        <f t="shared" si="20"/>
        <v>0.20226851428338313</v>
      </c>
      <c r="H58" s="58" t="s">
        <v>3666</v>
      </c>
      <c r="I58" s="55">
        <f t="shared" si="21"/>
        <v>282141.49</v>
      </c>
      <c r="J58" s="57">
        <f t="shared" si="22"/>
        <v>0.21</v>
      </c>
      <c r="K58" s="51"/>
      <c r="L58" s="51"/>
      <c r="M58" s="51"/>
      <c r="N58" s="52">
        <v>8.8200000000000001E-2</v>
      </c>
      <c r="O58" s="52">
        <v>0.1699</v>
      </c>
      <c r="P58" s="52">
        <v>0.1053434650302271</v>
      </c>
    </row>
    <row r="59" spans="1:16" x14ac:dyDescent="0.25">
      <c r="A59" t="str">
        <f t="shared" ref="A59:A68" si="23">IF(OR(D59="Inicio",D58="Fin"),H59,A58)</f>
        <v>PRODMUSICALESPROD208</v>
      </c>
      <c r="B59" s="50" t="s">
        <v>144</v>
      </c>
      <c r="C59" s="49">
        <v>1</v>
      </c>
      <c r="D59" s="49"/>
      <c r="E59" s="55">
        <f>IF(B59="","",IFERROR(VLOOKUP(B59,Datos!A:B,2,0)*C59,"NO CARGADO"))</f>
        <v>5225</v>
      </c>
      <c r="F59" s="56">
        <f>IF(B59="","",VLOOKUP(B59,Datos!A:C,3,0))</f>
        <v>0.21</v>
      </c>
      <c r="G59" s="34">
        <f t="shared" ref="G59:G68" si="24">IF(B59="","",E59/VLOOKUP(A59,H:I,2,0)*F59)</f>
        <v>3.8890061862223812E-3</v>
      </c>
      <c r="H59" s="58" t="str">
        <f>IF(AND(D59&lt;&gt;"Inicio"),"","COMBO"&amp;COUNTA($H$2:H58)+1-COUNTIF($H$2:H58,""))</f>
        <v/>
      </c>
      <c r="I59" s="55" t="str">
        <f t="shared" ref="I59:I68" si="25">IF(OR(H59="",B59=""),"",SUMIFS(E:E,A:A,H59))</f>
        <v/>
      </c>
      <c r="J59" s="57" t="str">
        <f t="shared" ref="J59:J68" si="26">IF(OR(H59="",B59=""),"",SUMIF(A:A,H59,G:G))</f>
        <v/>
      </c>
      <c r="K59" s="51"/>
      <c r="L59" s="51"/>
      <c r="M59" s="51"/>
      <c r="N59" s="52"/>
      <c r="O59" s="52"/>
      <c r="P59" s="52"/>
    </row>
    <row r="60" spans="1:16" x14ac:dyDescent="0.25">
      <c r="A60" t="str">
        <f t="shared" si="23"/>
        <v>PRODMUSICALESPROD208</v>
      </c>
      <c r="B60" s="50" t="s">
        <v>401</v>
      </c>
      <c r="C60" s="49">
        <v>1</v>
      </c>
      <c r="D60" s="49"/>
      <c r="E60" s="55">
        <f>IF(B60="","",IFERROR(VLOOKUP(B60,Datos!A:B,2,0)*C60,"NO CARGADO"))</f>
        <v>5162.49</v>
      </c>
      <c r="F60" s="56">
        <f>IF(B60="","",VLOOKUP(B60,Datos!A:C,3,0))</f>
        <v>0.21</v>
      </c>
      <c r="G60" s="34">
        <f t="shared" si="24"/>
        <v>3.8424795303944837E-3</v>
      </c>
      <c r="H60" s="58" t="str">
        <f>IF(AND(D60&lt;&gt;"Inicio"),"","COMBO"&amp;COUNTA($H$2:H59)+1-COUNTIF($H$2:H59,""))</f>
        <v/>
      </c>
      <c r="I60" s="55" t="str">
        <f t="shared" si="25"/>
        <v/>
      </c>
      <c r="J60" s="57" t="str">
        <f t="shared" si="26"/>
        <v/>
      </c>
      <c r="K60" s="51"/>
      <c r="L60" s="51"/>
      <c r="M60" s="51"/>
      <c r="N60" s="52"/>
      <c r="O60" s="52"/>
      <c r="P60" s="52"/>
    </row>
    <row r="61" spans="1:16" x14ac:dyDescent="0.25">
      <c r="A61" t="str">
        <f t="shared" si="23"/>
        <v>PRODMUSICALESPROD210</v>
      </c>
      <c r="B61" s="50" t="s">
        <v>926</v>
      </c>
      <c r="C61" s="49">
        <v>1</v>
      </c>
      <c r="D61" s="49" t="s">
        <v>3669</v>
      </c>
      <c r="E61" s="55">
        <f>IF(B61="","",IFERROR(VLOOKUP(B61,Datos!A:B,2,0)*C61,"NO CARGADO"))</f>
        <v>397936</v>
      </c>
      <c r="F61" s="56">
        <f>IF(B61="","",VLOOKUP(B61,Datos!A:C,3,0))</f>
        <v>0.21</v>
      </c>
      <c r="G61" s="34">
        <f t="shared" si="24"/>
        <v>0.20391818681280469</v>
      </c>
      <c r="H61" s="58" t="s">
        <v>3644</v>
      </c>
      <c r="I61" s="55">
        <f t="shared" si="25"/>
        <v>409804.35</v>
      </c>
      <c r="J61" s="57">
        <f t="shared" si="26"/>
        <v>0.21</v>
      </c>
      <c r="K61" s="51"/>
      <c r="L61" s="51"/>
      <c r="M61" s="51"/>
      <c r="N61" s="52">
        <v>9.11E-2</v>
      </c>
      <c r="O61" s="52">
        <v>9.11E-2</v>
      </c>
      <c r="P61" s="52">
        <v>0.10927831297758681</v>
      </c>
    </row>
    <row r="62" spans="1:16" x14ac:dyDescent="0.25">
      <c r="A62" t="str">
        <f t="shared" si="23"/>
        <v>PRODMUSICALESPROD210</v>
      </c>
      <c r="B62" s="50" t="s">
        <v>144</v>
      </c>
      <c r="C62" s="49">
        <v>1</v>
      </c>
      <c r="D62" s="49"/>
      <c r="E62" s="55">
        <f>IF(B62="","",IFERROR(VLOOKUP(B62,Datos!A:B,2,0)*C62,"NO CARGADO"))</f>
        <v>5225</v>
      </c>
      <c r="F62" s="56">
        <f>IF(B62="","",VLOOKUP(B62,Datos!A:C,3,0))</f>
        <v>0.21</v>
      </c>
      <c r="G62" s="34">
        <f t="shared" si="24"/>
        <v>2.677497200798381E-3</v>
      </c>
      <c r="H62" s="58" t="str">
        <f>IF(AND(D62&lt;&gt;"Inicio"),"","COMBO"&amp;COUNTA($H$2:H61)+1-COUNTIF($H$2:H61,""))</f>
        <v/>
      </c>
      <c r="I62" s="55" t="str">
        <f t="shared" si="25"/>
        <v/>
      </c>
      <c r="J62" s="57" t="str">
        <f t="shared" si="26"/>
        <v/>
      </c>
      <c r="K62" s="51"/>
      <c r="L62" s="51"/>
      <c r="M62" s="51"/>
      <c r="N62" s="52"/>
      <c r="O62" s="52"/>
      <c r="P62" s="52"/>
    </row>
    <row r="63" spans="1:16" x14ac:dyDescent="0.25">
      <c r="A63" t="str">
        <f t="shared" si="23"/>
        <v>PRODMUSICALESPROD210</v>
      </c>
      <c r="B63" s="50" t="s">
        <v>402</v>
      </c>
      <c r="C63" s="49">
        <v>1</v>
      </c>
      <c r="D63" s="49"/>
      <c r="E63" s="55">
        <f>IF(B63="","",IFERROR(VLOOKUP(B63,Datos!A:B,2,0)*C63,"NO CARGADO"))</f>
        <v>6643.35</v>
      </c>
      <c r="F63" s="56">
        <f>IF(B63="","",VLOOKUP(B63,Datos!A:C,3,0))</f>
        <v>0.21</v>
      </c>
      <c r="G63" s="34">
        <f t="shared" si="24"/>
        <v>3.4043159863969235E-3</v>
      </c>
      <c r="H63" s="58" t="str">
        <f>IF(AND(D63&lt;&gt;"Inicio"),"","COMBO"&amp;COUNTA($H$2:H62)+1-COUNTIF($H$2:H62,""))</f>
        <v/>
      </c>
      <c r="I63" s="55" t="str">
        <f t="shared" si="25"/>
        <v/>
      </c>
      <c r="J63" s="57" t="str">
        <f t="shared" si="26"/>
        <v/>
      </c>
      <c r="K63" s="51"/>
      <c r="L63" s="51"/>
      <c r="M63" s="51"/>
      <c r="N63" s="52"/>
      <c r="O63" s="52"/>
      <c r="P63" s="52"/>
    </row>
    <row r="64" spans="1:16" x14ac:dyDescent="0.25">
      <c r="A64" t="str">
        <f t="shared" si="23"/>
        <v>PRODMUSICALESPROD211</v>
      </c>
      <c r="B64" s="50" t="s">
        <v>925</v>
      </c>
      <c r="C64" s="49">
        <v>1</v>
      </c>
      <c r="D64" s="49" t="s">
        <v>3669</v>
      </c>
      <c r="E64" s="55">
        <f>IF(B64="","",IFERROR(VLOOKUP(B64,Datos!A:B,2,0)*C64,"NO CARGADO"))</f>
        <v>318049</v>
      </c>
      <c r="F64" s="56">
        <f>IF(B64="","",VLOOKUP(B64,Datos!A:C,3,0))</f>
        <v>0.21</v>
      </c>
      <c r="G64" s="34">
        <f t="shared" si="24"/>
        <v>0.20244552158290555</v>
      </c>
      <c r="H64" s="58" t="s">
        <v>3660</v>
      </c>
      <c r="I64" s="55">
        <f t="shared" si="25"/>
        <v>329917.34999999998</v>
      </c>
      <c r="J64" s="57">
        <f t="shared" si="26"/>
        <v>0.21000000000000002</v>
      </c>
      <c r="K64" s="51"/>
      <c r="L64" s="51"/>
      <c r="M64" s="51"/>
      <c r="N64" s="52">
        <v>8.8999999999999996E-2</v>
      </c>
      <c r="O64" s="52">
        <v>9.6500000000000002E-2</v>
      </c>
      <c r="P64" s="52">
        <v>0.1061184839557716</v>
      </c>
    </row>
    <row r="65" spans="1:16" x14ac:dyDescent="0.25">
      <c r="A65" t="str">
        <f t="shared" si="23"/>
        <v>PRODMUSICALESPROD211</v>
      </c>
      <c r="B65" s="50" t="s">
        <v>144</v>
      </c>
      <c r="C65" s="49">
        <v>1</v>
      </c>
      <c r="D65" s="49"/>
      <c r="E65" s="55">
        <f>IF(B65="","",IFERROR(VLOOKUP(B65,Datos!A:B,2,0)*C65,"NO CARGADO"))</f>
        <v>5225</v>
      </c>
      <c r="F65" s="56">
        <f>IF(B65="","",VLOOKUP(B65,Datos!A:C,3,0))</f>
        <v>0.21</v>
      </c>
      <c r="G65" s="34">
        <f t="shared" si="24"/>
        <v>3.3258329699847556E-3</v>
      </c>
      <c r="H65" s="58" t="str">
        <f>IF(AND(D65&lt;&gt;"Inicio"),"","COMBO"&amp;COUNTA($H$2:H64)+1-COUNTIF($H$2:H64,""))</f>
        <v/>
      </c>
      <c r="I65" s="55" t="str">
        <f t="shared" si="25"/>
        <v/>
      </c>
      <c r="J65" s="57" t="str">
        <f t="shared" si="26"/>
        <v/>
      </c>
      <c r="K65" s="51"/>
      <c r="L65" s="51"/>
      <c r="M65" s="51"/>
      <c r="N65" s="52"/>
      <c r="O65" s="52"/>
      <c r="P65" s="52"/>
    </row>
    <row r="66" spans="1:16" x14ac:dyDescent="0.25">
      <c r="A66" t="str">
        <f t="shared" si="23"/>
        <v>PRODMUSICALESPROD211</v>
      </c>
      <c r="B66" s="50" t="s">
        <v>402</v>
      </c>
      <c r="C66" s="49">
        <v>1</v>
      </c>
      <c r="D66" s="49"/>
      <c r="E66" s="55">
        <f>IF(B66="","",IFERROR(VLOOKUP(B66,Datos!A:B,2,0)*C66,"NO CARGADO"))</f>
        <v>6643.35</v>
      </c>
      <c r="F66" s="56">
        <f>IF(B66="","",VLOOKUP(B66,Datos!A:C,3,0))</f>
        <v>0.21</v>
      </c>
      <c r="G66" s="34">
        <f t="shared" si="24"/>
        <v>4.2286454471097083E-3</v>
      </c>
      <c r="H66" s="58" t="str">
        <f>IF(AND(D66&lt;&gt;"Inicio"),"","COMBO"&amp;COUNTA($H$2:H65)+1-COUNTIF($H$2:H65,""))</f>
        <v/>
      </c>
      <c r="I66" s="55" t="str">
        <f t="shared" si="25"/>
        <v/>
      </c>
      <c r="J66" s="57" t="str">
        <f t="shared" si="26"/>
        <v/>
      </c>
      <c r="K66" s="51"/>
      <c r="L66" s="51"/>
      <c r="M66" s="51"/>
      <c r="N66" s="52"/>
      <c r="O66" s="52"/>
      <c r="P66" s="52"/>
    </row>
    <row r="67" spans="1:16" x14ac:dyDescent="0.25">
      <c r="A67" t="str">
        <f t="shared" si="23"/>
        <v>PRODMUSICALESPROD226</v>
      </c>
      <c r="B67" s="50" t="s">
        <v>1444</v>
      </c>
      <c r="C67" s="49">
        <v>1</v>
      </c>
      <c r="D67" s="49" t="s">
        <v>3669</v>
      </c>
      <c r="E67" s="55">
        <f>IF(B67="","",IFERROR(VLOOKUP(B67,Datos!A:B,2,0)*C67,"NO CARGADO"))</f>
        <v>74333.633499999996</v>
      </c>
      <c r="F67" s="56">
        <f>IF(B67="","",VLOOKUP(B67,Datos!A:C,3,0))</f>
        <v>0.21</v>
      </c>
      <c r="G67" s="34">
        <f t="shared" si="24"/>
        <v>0.17847112266863532</v>
      </c>
      <c r="H67" s="58" t="s">
        <v>3645</v>
      </c>
      <c r="I67" s="55">
        <f t="shared" si="25"/>
        <v>87465.483500000002</v>
      </c>
      <c r="J67" s="57">
        <f t="shared" si="26"/>
        <v>0.20696640332411814</v>
      </c>
      <c r="K67" s="51"/>
      <c r="L67" s="51"/>
      <c r="M67" s="51"/>
      <c r="N67" s="52">
        <v>0.13</v>
      </c>
      <c r="O67" s="52">
        <v>0.13</v>
      </c>
      <c r="P67" s="52">
        <v>9.3272538394106125E-2</v>
      </c>
    </row>
    <row r="68" spans="1:16" x14ac:dyDescent="0.25">
      <c r="A68" t="str">
        <f t="shared" si="23"/>
        <v>PRODMUSICALESPROD226</v>
      </c>
      <c r="B68" s="50" t="s">
        <v>144</v>
      </c>
      <c r="C68" s="49">
        <v>1</v>
      </c>
      <c r="D68" s="49"/>
      <c r="E68" s="55">
        <f>IF(B68="","",IFERROR(VLOOKUP(B68,Datos!A:B,2,0)*C68,"NO CARGADO"))</f>
        <v>5225</v>
      </c>
      <c r="F68" s="56">
        <f>IF(B68="","",VLOOKUP(B68,Datos!A:C,3,0))</f>
        <v>0.21</v>
      </c>
      <c r="G68" s="34">
        <f t="shared" si="24"/>
        <v>1.2544948659661843E-2</v>
      </c>
      <c r="H68" s="58" t="str">
        <f>IF(AND(D68&lt;&gt;"Inicio"),"","COMBO"&amp;COUNTA($H$2:H67)+1-COUNTIF($H$2:H67,""))</f>
        <v/>
      </c>
      <c r="I68" s="55" t="str">
        <f t="shared" si="25"/>
        <v/>
      </c>
      <c r="J68" s="57" t="str">
        <f t="shared" si="26"/>
        <v/>
      </c>
      <c r="K68" s="51"/>
      <c r="L68" s="51"/>
      <c r="M68" s="51"/>
      <c r="N68" s="52"/>
      <c r="O68" s="52"/>
      <c r="P68" s="52"/>
    </row>
    <row r="69" spans="1:16" x14ac:dyDescent="0.25">
      <c r="A69" t="str">
        <f t="shared" ref="A69:A78" si="27">IF(OR(D69="Inicio",D68="Fin"),H69,A68)</f>
        <v>PRODMUSICALESPROD226</v>
      </c>
      <c r="B69" s="50" t="s">
        <v>402</v>
      </c>
      <c r="C69" s="49">
        <v>1</v>
      </c>
      <c r="D69" s="49"/>
      <c r="E69" s="55">
        <f>IF(B69="","",IFERROR(VLOOKUP(B69,Datos!A:B,2,0)*C69,"NO CARGADO"))</f>
        <v>6643.35</v>
      </c>
      <c r="F69" s="56">
        <f>IF(B69="","",VLOOKUP(B69,Datos!A:C,3,0))</f>
        <v>0.21</v>
      </c>
      <c r="G69" s="34">
        <f t="shared" ref="G69:G78" si="28">IF(B69="","",E69/VLOOKUP(A69,H:I,2,0)*F69)</f>
        <v>1.5950331995820955E-2</v>
      </c>
      <c r="H69" s="58" t="str">
        <f>IF(AND(D69&lt;&gt;"Inicio"),"","COMBO"&amp;COUNTA($H$2:H68)+1-COUNTIF($H$2:H68,""))</f>
        <v/>
      </c>
      <c r="I69" s="55" t="str">
        <f t="shared" ref="I69:I78" si="29">IF(OR(H69="",B69=""),"",SUMIFS(E:E,A:A,H69))</f>
        <v/>
      </c>
      <c r="J69" s="57" t="str">
        <f t="shared" ref="J69:J78" si="30">IF(OR(H69="",B69=""),"",SUMIF(A:A,H69,G:G))</f>
        <v/>
      </c>
      <c r="K69" s="51"/>
      <c r="L69" s="51"/>
      <c r="M69" s="51"/>
      <c r="N69" s="52"/>
      <c r="O69" s="52"/>
      <c r="P69" s="52"/>
    </row>
    <row r="70" spans="1:16" x14ac:dyDescent="0.25">
      <c r="A70" t="str">
        <f t="shared" si="27"/>
        <v>PRODMUSICALESPROD226</v>
      </c>
      <c r="B70" s="50" t="s">
        <v>130</v>
      </c>
      <c r="C70" s="49">
        <v>1</v>
      </c>
      <c r="D70" s="49"/>
      <c r="E70" s="55">
        <f>IF(B70="","",IFERROR(VLOOKUP(B70,Datos!A:B,2,0)*C70,"NO CARGADO"))</f>
        <v>1263.5</v>
      </c>
      <c r="F70" s="56">
        <f>IF(B70="","",VLOOKUP(B70,Datos!A:C,3,0))</f>
        <v>0</v>
      </c>
      <c r="G70" s="34">
        <f t="shared" si="28"/>
        <v>0</v>
      </c>
      <c r="H70" s="58" t="str">
        <f>IF(AND(D70&lt;&gt;"Inicio"),"","COMBO"&amp;COUNTA($H$2:H69)+1-COUNTIF($H$2:H69,""))</f>
        <v/>
      </c>
      <c r="I70" s="55" t="str">
        <f t="shared" si="29"/>
        <v/>
      </c>
      <c r="J70" s="57" t="str">
        <f t="shared" si="30"/>
        <v/>
      </c>
      <c r="K70" s="51"/>
      <c r="L70" s="51"/>
      <c r="M70" s="51"/>
      <c r="N70" s="52"/>
      <c r="O70" s="52"/>
      <c r="P70" s="52"/>
    </row>
    <row r="71" spans="1:16" x14ac:dyDescent="0.25">
      <c r="A71" t="str">
        <f t="shared" si="27"/>
        <v>PRODMUSICALESPROD226</v>
      </c>
      <c r="B71" s="50"/>
      <c r="C71" s="49"/>
      <c r="D71" s="49"/>
      <c r="E71" s="55" t="str">
        <f>IF(B71="","",IFERROR(VLOOKUP(B71,Datos!A:B,2,0)*C71,"NO CARGADO"))</f>
        <v/>
      </c>
      <c r="F71" s="56" t="str">
        <f>IF(B71="","",VLOOKUP(B71,Datos!A:C,3,0))</f>
        <v/>
      </c>
      <c r="G71" s="34" t="str">
        <f t="shared" si="28"/>
        <v/>
      </c>
      <c r="H71" s="58" t="str">
        <f>IF(AND(D71&lt;&gt;"Inicio"),"","COMBO"&amp;COUNTA($H$2:H70)+1-COUNTIF($H$2:H70,""))</f>
        <v/>
      </c>
      <c r="I71" s="55" t="str">
        <f t="shared" si="29"/>
        <v/>
      </c>
      <c r="J71" s="57" t="str">
        <f t="shared" si="30"/>
        <v/>
      </c>
      <c r="K71" s="51"/>
      <c r="L71" s="51"/>
      <c r="M71" s="51"/>
      <c r="N71" s="52"/>
      <c r="O71" s="52"/>
      <c r="P71" s="52"/>
    </row>
    <row r="72" spans="1:16" x14ac:dyDescent="0.25">
      <c r="A72" t="str">
        <f t="shared" si="27"/>
        <v>PRODMUSICALESPROD226</v>
      </c>
      <c r="B72" s="50"/>
      <c r="C72" s="49"/>
      <c r="D72" s="49"/>
      <c r="E72" s="55" t="str">
        <f>IF(B72="","",IFERROR(VLOOKUP(B72,Datos!A:B,2,0)*C72,"NO CARGADO"))</f>
        <v/>
      </c>
      <c r="F72" s="56" t="str">
        <f>IF(B72="","",VLOOKUP(B72,Datos!A:C,3,0))</f>
        <v/>
      </c>
      <c r="G72" s="34" t="str">
        <f t="shared" si="28"/>
        <v/>
      </c>
      <c r="H72" s="58" t="str">
        <f>IF(AND(D72&lt;&gt;"Inicio"),"","COMBO"&amp;COUNTA($H$2:H71)+1-COUNTIF($H$2:H71,""))</f>
        <v/>
      </c>
      <c r="I72" s="55" t="str">
        <f t="shared" si="29"/>
        <v/>
      </c>
      <c r="J72" s="57" t="str">
        <f t="shared" si="30"/>
        <v/>
      </c>
      <c r="K72" s="51"/>
      <c r="L72" s="51"/>
      <c r="M72" s="51"/>
      <c r="N72" s="52"/>
      <c r="O72" s="52"/>
      <c r="P72" s="52"/>
    </row>
    <row r="73" spans="1:16" x14ac:dyDescent="0.25">
      <c r="A73" t="str">
        <f t="shared" si="27"/>
        <v>PRODMUSICALESPROD226</v>
      </c>
      <c r="B73" s="50"/>
      <c r="C73" s="49"/>
      <c r="D73" s="49"/>
      <c r="E73" s="55" t="str">
        <f>IF(B73="","",IFERROR(VLOOKUP(B73,Datos!A:B,2,0)*C73,"NO CARGADO"))</f>
        <v/>
      </c>
      <c r="F73" s="56" t="str">
        <f>IF(B73="","",VLOOKUP(B73,Datos!A:C,3,0))</f>
        <v/>
      </c>
      <c r="G73" s="34" t="str">
        <f t="shared" si="28"/>
        <v/>
      </c>
      <c r="H73" s="58" t="str">
        <f>IF(AND(D73&lt;&gt;"Inicio"),"","COMBO"&amp;COUNTA($H$2:H72)+1-COUNTIF($H$2:H72,""))</f>
        <v/>
      </c>
      <c r="I73" s="55" t="str">
        <f t="shared" si="29"/>
        <v/>
      </c>
      <c r="J73" s="57" t="str">
        <f t="shared" si="30"/>
        <v/>
      </c>
      <c r="K73" s="51"/>
      <c r="L73" s="51"/>
      <c r="M73" s="51"/>
      <c r="N73" s="52"/>
      <c r="O73" s="52"/>
      <c r="P73" s="52"/>
    </row>
    <row r="74" spans="1:16" x14ac:dyDescent="0.25">
      <c r="A74" t="str">
        <f t="shared" si="27"/>
        <v>PRODMUSICALESPROD226</v>
      </c>
      <c r="B74" s="50"/>
      <c r="C74" s="49"/>
      <c r="D74" s="49"/>
      <c r="E74" s="55" t="str">
        <f>IF(B74="","",IFERROR(VLOOKUP(B74,Datos!A:B,2,0)*C74,"NO CARGADO"))</f>
        <v/>
      </c>
      <c r="F74" s="56" t="str">
        <f>IF(B74="","",VLOOKUP(B74,Datos!A:C,3,0))</f>
        <v/>
      </c>
      <c r="G74" s="34" t="str">
        <f t="shared" si="28"/>
        <v/>
      </c>
      <c r="H74" s="58" t="str">
        <f>IF(AND(D74&lt;&gt;"Inicio"),"","COMBO"&amp;COUNTA($H$2:H73)+1-COUNTIF($H$2:H73,""))</f>
        <v/>
      </c>
      <c r="I74" s="55" t="str">
        <f t="shared" si="29"/>
        <v/>
      </c>
      <c r="J74" s="57" t="str">
        <f t="shared" si="30"/>
        <v/>
      </c>
      <c r="K74" s="51"/>
      <c r="L74" s="51"/>
      <c r="M74" s="51"/>
      <c r="N74" s="52"/>
      <c r="O74" s="52"/>
      <c r="P74" s="52"/>
    </row>
    <row r="75" spans="1:16" x14ac:dyDescent="0.25">
      <c r="A75" t="str">
        <f t="shared" si="27"/>
        <v>PRODMUSICALESPROD226</v>
      </c>
      <c r="B75" s="50"/>
      <c r="C75" s="49"/>
      <c r="D75" s="49"/>
      <c r="E75" s="55" t="str">
        <f>IF(B75="","",IFERROR(VLOOKUP(B75,Datos!A:B,2,0)*C75,"NO CARGADO"))</f>
        <v/>
      </c>
      <c r="F75" s="56" t="str">
        <f>IF(B75="","",VLOOKUP(B75,Datos!A:C,3,0))</f>
        <v/>
      </c>
      <c r="G75" s="34" t="str">
        <f t="shared" si="28"/>
        <v/>
      </c>
      <c r="H75" s="58" t="str">
        <f>IF(AND(D75&lt;&gt;"Inicio"),"","COMBO"&amp;COUNTA($H$2:H74)+1-COUNTIF($H$2:H74,""))</f>
        <v/>
      </c>
      <c r="I75" s="55" t="str">
        <f t="shared" si="29"/>
        <v/>
      </c>
      <c r="J75" s="57" t="str">
        <f t="shared" si="30"/>
        <v/>
      </c>
      <c r="K75" s="51"/>
      <c r="L75" s="51"/>
      <c r="M75" s="51"/>
      <c r="N75" s="52"/>
      <c r="O75" s="52"/>
      <c r="P75" s="52"/>
    </row>
    <row r="76" spans="1:16" x14ac:dyDescent="0.25">
      <c r="A76" t="str">
        <f t="shared" si="27"/>
        <v>PRODMUSICALESPROD226</v>
      </c>
      <c r="B76" s="50"/>
      <c r="C76" s="49"/>
      <c r="D76" s="49"/>
      <c r="E76" s="55" t="str">
        <f>IF(B76="","",IFERROR(VLOOKUP(B76,Datos!A:B,2,0)*C76,"NO CARGADO"))</f>
        <v/>
      </c>
      <c r="F76" s="56" t="str">
        <f>IF(B76="","",VLOOKUP(B76,Datos!A:C,3,0))</f>
        <v/>
      </c>
      <c r="G76" s="34" t="str">
        <f t="shared" si="28"/>
        <v/>
      </c>
      <c r="H76" s="58" t="str">
        <f>IF(AND(D76&lt;&gt;"Inicio"),"","COMBO"&amp;COUNTA($H$2:H75)+1-COUNTIF($H$2:H75,""))</f>
        <v/>
      </c>
      <c r="I76" s="55" t="str">
        <f t="shared" si="29"/>
        <v/>
      </c>
      <c r="J76" s="57" t="str">
        <f t="shared" si="30"/>
        <v/>
      </c>
      <c r="K76" s="51"/>
      <c r="L76" s="51"/>
      <c r="M76" s="51"/>
      <c r="N76" s="52"/>
      <c r="O76" s="52"/>
      <c r="P76" s="52"/>
    </row>
    <row r="77" spans="1:16" x14ac:dyDescent="0.25">
      <c r="A77" t="str">
        <f t="shared" si="27"/>
        <v>PRODMUSICALESPROD226</v>
      </c>
      <c r="B77" s="50"/>
      <c r="C77" s="49"/>
      <c r="D77" s="49"/>
      <c r="E77" s="55" t="str">
        <f>IF(B77="","",IFERROR(VLOOKUP(B77,Datos!A:B,2,0)*C77,"NO CARGADO"))</f>
        <v/>
      </c>
      <c r="F77" s="56" t="str">
        <f>IF(B77="","",VLOOKUP(B77,Datos!A:C,3,0))</f>
        <v/>
      </c>
      <c r="G77" s="34" t="str">
        <f t="shared" si="28"/>
        <v/>
      </c>
      <c r="H77" s="58" t="str">
        <f>IF(AND(D77&lt;&gt;"Inicio"),"","COMBO"&amp;COUNTA($H$2:H76)+1-COUNTIF($H$2:H76,""))</f>
        <v/>
      </c>
      <c r="I77" s="55" t="str">
        <f t="shared" si="29"/>
        <v/>
      </c>
      <c r="J77" s="57" t="str">
        <f t="shared" si="30"/>
        <v/>
      </c>
      <c r="K77" s="51"/>
      <c r="L77" s="51"/>
      <c r="M77" s="51"/>
      <c r="N77" s="52"/>
      <c r="O77" s="52"/>
      <c r="P77" s="52"/>
    </row>
    <row r="78" spans="1:16" x14ac:dyDescent="0.25">
      <c r="A78" t="str">
        <f t="shared" si="27"/>
        <v>PRODMUSICALESPROD226</v>
      </c>
      <c r="B78" s="50"/>
      <c r="C78" s="49"/>
      <c r="D78" s="49"/>
      <c r="E78" s="55" t="str">
        <f>IF(B78="","",IFERROR(VLOOKUP(B78,Datos!A:B,2,0)*C78,"NO CARGADO"))</f>
        <v/>
      </c>
      <c r="F78" s="56" t="str">
        <f>IF(B78="","",VLOOKUP(B78,Datos!A:C,3,0))</f>
        <v/>
      </c>
      <c r="G78" s="34" t="str">
        <f t="shared" si="28"/>
        <v/>
      </c>
      <c r="H78" s="58" t="str">
        <f>IF(AND(D78&lt;&gt;"Inicio"),"","COMBO"&amp;COUNTA($H$2:H77)+1-COUNTIF($H$2:H77,""))</f>
        <v/>
      </c>
      <c r="I78" s="55" t="str">
        <f t="shared" si="29"/>
        <v/>
      </c>
      <c r="J78" s="57" t="str">
        <f t="shared" si="30"/>
        <v/>
      </c>
      <c r="K78" s="51"/>
      <c r="L78" s="51"/>
      <c r="M78" s="51"/>
      <c r="N78" s="52"/>
      <c r="O78" s="52"/>
      <c r="P78" s="52"/>
    </row>
    <row r="79" spans="1:16" x14ac:dyDescent="0.25">
      <c r="A79" t="str">
        <f t="shared" ref="A79:A88" si="31">IF(OR(D79="Inicio",D78="Fin"),H79,A78)</f>
        <v>PRODMUSICALESPROD226</v>
      </c>
      <c r="B79" s="50"/>
      <c r="C79" s="49"/>
      <c r="D79" s="49"/>
      <c r="E79" s="55" t="str">
        <f>IF(B79="","",IFERROR(VLOOKUP(B79,Datos!A:B,2,0)*C79,"NO CARGADO"))</f>
        <v/>
      </c>
      <c r="F79" s="56" t="str">
        <f>IF(B79="","",VLOOKUP(B79,Datos!A:C,3,0))</f>
        <v/>
      </c>
      <c r="G79" s="34" t="str">
        <f t="shared" ref="G79:G88" si="32">IF(B79="","",E79/VLOOKUP(A79,H:I,2,0)*F79)</f>
        <v/>
      </c>
      <c r="H79" s="58" t="str">
        <f>IF(AND(D79&lt;&gt;"Inicio"),"","COMBO"&amp;COUNTA($H$2:H78)+1-COUNTIF($H$2:H78,""))</f>
        <v/>
      </c>
      <c r="I79" s="55" t="str">
        <f t="shared" ref="I79:I88" si="33">IF(OR(H79="",B79=""),"",SUMIFS(E:E,A:A,H79))</f>
        <v/>
      </c>
      <c r="J79" s="57" t="str">
        <f t="shared" ref="J79:J88" si="34">IF(OR(H79="",B79=""),"",SUMIF(A:A,H79,G:G))</f>
        <v/>
      </c>
      <c r="K79" s="51"/>
      <c r="L79" s="51"/>
      <c r="M79" s="51"/>
      <c r="N79" s="52"/>
      <c r="O79" s="52"/>
      <c r="P79" s="52"/>
    </row>
    <row r="80" spans="1:16" x14ac:dyDescent="0.25">
      <c r="A80" t="str">
        <f t="shared" si="31"/>
        <v>PRODMUSICALESPROD226</v>
      </c>
      <c r="B80" s="50"/>
      <c r="C80" s="49"/>
      <c r="D80" s="49"/>
      <c r="E80" s="55" t="str">
        <f>IF(B80="","",IFERROR(VLOOKUP(B80,Datos!A:B,2,0)*C80,"NO CARGADO"))</f>
        <v/>
      </c>
      <c r="F80" s="56" t="str">
        <f>IF(B80="","",VLOOKUP(B80,Datos!A:C,3,0))</f>
        <v/>
      </c>
      <c r="G80" s="34" t="str">
        <f t="shared" si="32"/>
        <v/>
      </c>
      <c r="H80" s="58" t="str">
        <f>IF(AND(D80&lt;&gt;"Inicio"),"","COMBO"&amp;COUNTA($H$2:H79)+1-COUNTIF($H$2:H79,""))</f>
        <v/>
      </c>
      <c r="I80" s="55" t="str">
        <f t="shared" si="33"/>
        <v/>
      </c>
      <c r="J80" s="57" t="str">
        <f t="shared" si="34"/>
        <v/>
      </c>
      <c r="K80" s="51"/>
      <c r="L80" s="51"/>
      <c r="M80" s="51"/>
      <c r="N80" s="52"/>
      <c r="O80" s="52"/>
      <c r="P80" s="52"/>
    </row>
    <row r="81" spans="1:16" x14ac:dyDescent="0.25">
      <c r="A81" t="str">
        <f t="shared" si="31"/>
        <v>PRODMUSICALESPROD226</v>
      </c>
      <c r="B81" s="50"/>
      <c r="C81" s="49"/>
      <c r="D81" s="49"/>
      <c r="E81" s="55" t="str">
        <f>IF(B81="","",IFERROR(VLOOKUP(B81,Datos!A:B,2,0)*C81,"NO CARGADO"))</f>
        <v/>
      </c>
      <c r="F81" s="56" t="str">
        <f>IF(B81="","",VLOOKUP(B81,Datos!A:C,3,0))</f>
        <v/>
      </c>
      <c r="G81" s="34" t="str">
        <f t="shared" si="32"/>
        <v/>
      </c>
      <c r="H81" s="58" t="str">
        <f>IF(AND(D81&lt;&gt;"Inicio"),"","COMBO"&amp;COUNTA($H$2:H80)+1-COUNTIF($H$2:H80,""))</f>
        <v/>
      </c>
      <c r="I81" s="55" t="str">
        <f t="shared" si="33"/>
        <v/>
      </c>
      <c r="J81" s="57" t="str">
        <f t="shared" si="34"/>
        <v/>
      </c>
      <c r="K81" s="51"/>
      <c r="L81" s="51"/>
      <c r="M81" s="51"/>
      <c r="N81" s="52"/>
      <c r="O81" s="52"/>
      <c r="P81" s="52"/>
    </row>
    <row r="82" spans="1:16" x14ac:dyDescent="0.25">
      <c r="A82" t="str">
        <f t="shared" si="31"/>
        <v>PRODMUSICALESPROD226</v>
      </c>
      <c r="B82" s="50"/>
      <c r="C82" s="49"/>
      <c r="D82" s="49"/>
      <c r="E82" s="55" t="str">
        <f>IF(B82="","",IFERROR(VLOOKUP(B82,Datos!A:B,2,0)*C82,"NO CARGADO"))</f>
        <v/>
      </c>
      <c r="F82" s="56" t="str">
        <f>IF(B82="","",VLOOKUP(B82,Datos!A:C,3,0))</f>
        <v/>
      </c>
      <c r="G82" s="34" t="str">
        <f t="shared" si="32"/>
        <v/>
      </c>
      <c r="H82" s="58" t="str">
        <f>IF(AND(D82&lt;&gt;"Inicio"),"","COMBO"&amp;COUNTA($H$2:H81)+1-COUNTIF($H$2:H81,""))</f>
        <v/>
      </c>
      <c r="I82" s="55" t="str">
        <f t="shared" si="33"/>
        <v/>
      </c>
      <c r="J82" s="57" t="str">
        <f t="shared" si="34"/>
        <v/>
      </c>
      <c r="K82" s="51"/>
      <c r="L82" s="51"/>
      <c r="M82" s="51"/>
      <c r="N82" s="52"/>
      <c r="O82" s="52"/>
      <c r="P82" s="52"/>
    </row>
    <row r="83" spans="1:16" x14ac:dyDescent="0.25">
      <c r="A83" t="str">
        <f t="shared" si="31"/>
        <v>PRODMUSICALESPROD226</v>
      </c>
      <c r="B83" s="50"/>
      <c r="C83" s="49"/>
      <c r="D83" s="49"/>
      <c r="E83" s="55" t="str">
        <f>IF(B83="","",IFERROR(VLOOKUP(B83,Datos!A:B,2,0)*C83,"NO CARGADO"))</f>
        <v/>
      </c>
      <c r="F83" s="56" t="str">
        <f>IF(B83="","",VLOOKUP(B83,Datos!A:C,3,0))</f>
        <v/>
      </c>
      <c r="G83" s="34" t="str">
        <f t="shared" si="32"/>
        <v/>
      </c>
      <c r="H83" s="58" t="str">
        <f>IF(AND(D83&lt;&gt;"Inicio"),"","COMBO"&amp;COUNTA($H$2:H82)+1-COUNTIF($H$2:H82,""))</f>
        <v/>
      </c>
      <c r="I83" s="55" t="str">
        <f t="shared" si="33"/>
        <v/>
      </c>
      <c r="J83" s="57" t="str">
        <f t="shared" si="34"/>
        <v/>
      </c>
      <c r="K83" s="51"/>
      <c r="L83" s="51"/>
      <c r="M83" s="51"/>
      <c r="N83" s="52"/>
      <c r="O83" s="52"/>
      <c r="P83" s="52"/>
    </row>
    <row r="84" spans="1:16" x14ac:dyDescent="0.25">
      <c r="A84" t="str">
        <f t="shared" si="31"/>
        <v>PRODMUSICALESPROD226</v>
      </c>
      <c r="B84" s="50"/>
      <c r="C84" s="49"/>
      <c r="D84" s="49"/>
      <c r="E84" s="55" t="str">
        <f>IF(B84="","",IFERROR(VLOOKUP(B84,Datos!A:B,2,0)*C84,"NO CARGADO"))</f>
        <v/>
      </c>
      <c r="F84" s="56" t="str">
        <f>IF(B84="","",VLOOKUP(B84,Datos!A:C,3,0))</f>
        <v/>
      </c>
      <c r="G84" s="34" t="str">
        <f t="shared" si="32"/>
        <v/>
      </c>
      <c r="H84" s="58" t="str">
        <f>IF(AND(D84&lt;&gt;"Inicio"),"","COMBO"&amp;COUNTA($H$2:H83)+1-COUNTIF($H$2:H83,""))</f>
        <v/>
      </c>
      <c r="I84" s="55" t="str">
        <f t="shared" si="33"/>
        <v/>
      </c>
      <c r="J84" s="57" t="str">
        <f t="shared" si="34"/>
        <v/>
      </c>
      <c r="K84" s="51"/>
      <c r="L84" s="51"/>
      <c r="M84" s="51"/>
      <c r="N84" s="52"/>
      <c r="O84" s="52"/>
      <c r="P84" s="52"/>
    </row>
    <row r="85" spans="1:16" x14ac:dyDescent="0.25">
      <c r="A85" t="str">
        <f t="shared" si="31"/>
        <v>PRODMUSICALESPROD226</v>
      </c>
      <c r="B85" s="50"/>
      <c r="C85" s="49"/>
      <c r="D85" s="49"/>
      <c r="E85" s="55" t="str">
        <f>IF(B85="","",IFERROR(VLOOKUP(B85,Datos!A:B,2,0)*C85,"NO CARGADO"))</f>
        <v/>
      </c>
      <c r="F85" s="56" t="str">
        <f>IF(B85="","",VLOOKUP(B85,Datos!A:C,3,0))</f>
        <v/>
      </c>
      <c r="G85" s="34" t="str">
        <f t="shared" si="32"/>
        <v/>
      </c>
      <c r="H85" s="58" t="str">
        <f>IF(AND(D85&lt;&gt;"Inicio"),"","COMBO"&amp;COUNTA($H$2:H84)+1-COUNTIF($H$2:H84,""))</f>
        <v/>
      </c>
      <c r="I85" s="55" t="str">
        <f t="shared" si="33"/>
        <v/>
      </c>
      <c r="J85" s="57" t="str">
        <f t="shared" si="34"/>
        <v/>
      </c>
      <c r="K85" s="51"/>
      <c r="L85" s="51"/>
      <c r="M85" s="51"/>
      <c r="N85" s="52"/>
      <c r="O85" s="52"/>
      <c r="P85" s="52"/>
    </row>
    <row r="86" spans="1:16" x14ac:dyDescent="0.25">
      <c r="A86" t="str">
        <f t="shared" si="31"/>
        <v>PRODMUSICALESPROD226</v>
      </c>
      <c r="B86" s="50"/>
      <c r="C86" s="49"/>
      <c r="D86" s="49"/>
      <c r="E86" s="55" t="str">
        <f>IF(B86="","",IFERROR(VLOOKUP(B86,Datos!A:B,2,0)*C86,"NO CARGADO"))</f>
        <v/>
      </c>
      <c r="F86" s="56" t="str">
        <f>IF(B86="","",VLOOKUP(B86,Datos!A:C,3,0))</f>
        <v/>
      </c>
      <c r="G86" s="34" t="str">
        <f t="shared" si="32"/>
        <v/>
      </c>
      <c r="H86" s="58" t="str">
        <f>IF(AND(D86&lt;&gt;"Inicio"),"","COMBO"&amp;COUNTA($H$2:H85)+1-COUNTIF($H$2:H85,""))</f>
        <v/>
      </c>
      <c r="I86" s="55" t="str">
        <f t="shared" si="33"/>
        <v/>
      </c>
      <c r="J86" s="57" t="str">
        <f t="shared" si="34"/>
        <v/>
      </c>
      <c r="K86" s="51"/>
      <c r="L86" s="51"/>
      <c r="M86" s="51"/>
      <c r="N86" s="52"/>
      <c r="O86" s="52"/>
      <c r="P86" s="52"/>
    </row>
    <row r="87" spans="1:16" x14ac:dyDescent="0.25">
      <c r="A87" t="str">
        <f t="shared" si="31"/>
        <v>PRODMUSICALESPROD226</v>
      </c>
      <c r="B87" s="50"/>
      <c r="C87" s="49"/>
      <c r="D87" s="49"/>
      <c r="E87" s="55" t="str">
        <f>IF(B87="","",IFERROR(VLOOKUP(B87,Datos!A:B,2,0)*C87,"NO CARGADO"))</f>
        <v/>
      </c>
      <c r="F87" s="56" t="str">
        <f>IF(B87="","",VLOOKUP(B87,Datos!A:C,3,0))</f>
        <v/>
      </c>
      <c r="G87" s="34" t="str">
        <f t="shared" si="32"/>
        <v/>
      </c>
      <c r="H87" s="58" t="str">
        <f>IF(AND(D87&lt;&gt;"Inicio"),"","COMBO"&amp;COUNTA($H$2:H86)+1-COUNTIF($H$2:H86,""))</f>
        <v/>
      </c>
      <c r="I87" s="55" t="str">
        <f t="shared" si="33"/>
        <v/>
      </c>
      <c r="J87" s="57" t="str">
        <f t="shared" si="34"/>
        <v/>
      </c>
      <c r="K87" s="51"/>
      <c r="L87" s="51"/>
      <c r="M87" s="51"/>
      <c r="N87" s="52"/>
      <c r="O87" s="52"/>
      <c r="P87" s="52"/>
    </row>
    <row r="88" spans="1:16" x14ac:dyDescent="0.25">
      <c r="A88" t="str">
        <f t="shared" si="31"/>
        <v>PRODMUSICALESPROD226</v>
      </c>
      <c r="B88" s="50"/>
      <c r="C88" s="49"/>
      <c r="D88" s="49"/>
      <c r="E88" s="55" t="str">
        <f>IF(B88="","",IFERROR(VLOOKUP(B88,Datos!A:B,2,0)*C88,"NO CARGADO"))</f>
        <v/>
      </c>
      <c r="F88" s="56" t="str">
        <f>IF(B88="","",VLOOKUP(B88,Datos!A:C,3,0))</f>
        <v/>
      </c>
      <c r="G88" s="34" t="str">
        <f t="shared" si="32"/>
        <v/>
      </c>
      <c r="H88" s="58" t="str">
        <f>IF(AND(D88&lt;&gt;"Inicio"),"","COMBO"&amp;COUNTA($H$2:H87)+1-COUNTIF($H$2:H87,""))</f>
        <v/>
      </c>
      <c r="I88" s="55" t="str">
        <f t="shared" si="33"/>
        <v/>
      </c>
      <c r="J88" s="57" t="str">
        <f t="shared" si="34"/>
        <v/>
      </c>
      <c r="K88" s="51"/>
      <c r="L88" s="51"/>
      <c r="M88" s="51"/>
      <c r="N88" s="52"/>
      <c r="O88" s="52"/>
      <c r="P88" s="52"/>
    </row>
    <row r="1048462" hidden="1" x14ac:dyDescent="0.25"/>
    <row r="1048463" hidden="1" x14ac:dyDescent="0.25"/>
    <row r="1048531" hidden="1" x14ac:dyDescent="0.25"/>
    <row r="1048532" hidden="1" x14ac:dyDescent="0.25"/>
    <row r="1048533" hidden="1" x14ac:dyDescent="0.25"/>
    <row r="1048534" hidden="1" x14ac:dyDescent="0.25"/>
  </sheetData>
  <sheetProtection algorithmName="SHA-512" hashValue="quhqtQsj/mC2SiUTuJ9BP55yFSfpYtyxdlmx9voTSRtxVsqKnk4R3DK3PkO90RxxrBw2N8s/rwGFGP+RgD5XsQ==" saltValue="aWbvJAy9yMXXPx2SLN0/9w==" spinCount="100000" sheet="1" objects="1" scenarios="1" autoFilter="0"/>
  <autoFilter ref="B1:P88" xr:uid="{70C5A39E-EB0A-448F-9CC4-30F3DFC513A9}"/>
  <dataValidations count="1">
    <dataValidation type="list" allowBlank="1" showInputMessage="1" showErrorMessage="1" sqref="D2:D88" xr:uid="{5E155ABA-15B9-4E7A-8583-C877B743B31E}">
      <formula1>"Inicio"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A578-2B55-49EB-95A3-91E9BD875DDF}">
  <sheetPr codeName="Sheet5"/>
  <dimension ref="A1:G2223"/>
  <sheetViews>
    <sheetView showGridLines="0" workbookViewId="0"/>
  </sheetViews>
  <sheetFormatPr defaultRowHeight="15" x14ac:dyDescent="0.25"/>
  <cols>
    <col min="1" max="1" width="20" style="53" customWidth="1"/>
    <col min="2" max="2" width="20" style="54" customWidth="1"/>
    <col min="3" max="5" width="20" style="53" customWidth="1"/>
    <col min="6" max="6" width="20" customWidth="1"/>
  </cols>
  <sheetData>
    <row r="1" spans="1:7" x14ac:dyDescent="0.25">
      <c r="A1" s="32" t="s">
        <v>1876</v>
      </c>
      <c r="B1" s="32" t="s">
        <v>1877</v>
      </c>
      <c r="C1" s="32" t="s">
        <v>1878</v>
      </c>
      <c r="D1" s="32" t="s">
        <v>1879</v>
      </c>
      <c r="E1" s="32" t="s">
        <v>1880</v>
      </c>
      <c r="F1" s="30"/>
      <c r="G1" s="30"/>
    </row>
    <row r="2" spans="1:7" x14ac:dyDescent="0.25">
      <c r="A2" s="53" t="s">
        <v>2551</v>
      </c>
    </row>
    <row r="3" spans="1:7" x14ac:dyDescent="0.25">
      <c r="A3" s="53" t="s">
        <v>2637</v>
      </c>
    </row>
    <row r="4" spans="1:7" x14ac:dyDescent="0.25">
      <c r="A4" s="53" t="s">
        <v>3149</v>
      </c>
    </row>
    <row r="5" spans="1:7" x14ac:dyDescent="0.25">
      <c r="A5" s="53" t="s">
        <v>3161</v>
      </c>
    </row>
    <row r="6" spans="1:7" x14ac:dyDescent="0.25">
      <c r="A6" s="53" t="s">
        <v>3161</v>
      </c>
    </row>
    <row r="7" spans="1:7" x14ac:dyDescent="0.25">
      <c r="A7" s="53" t="s">
        <v>3160</v>
      </c>
    </row>
    <row r="8" spans="1:7" x14ac:dyDescent="0.25">
      <c r="A8" s="53" t="s">
        <v>3160</v>
      </c>
    </row>
    <row r="9" spans="1:7" x14ac:dyDescent="0.25">
      <c r="A9" s="53" t="s">
        <v>3170</v>
      </c>
    </row>
    <row r="10" spans="1:7" x14ac:dyDescent="0.25">
      <c r="A10" s="53" t="s">
        <v>3170</v>
      </c>
    </row>
    <row r="11" spans="1:7" x14ac:dyDescent="0.25">
      <c r="A11" s="53" t="s">
        <v>1896</v>
      </c>
    </row>
    <row r="12" spans="1:7" x14ac:dyDescent="0.25">
      <c r="A12" s="53" t="s">
        <v>1896</v>
      </c>
    </row>
    <row r="13" spans="1:7" x14ac:dyDescent="0.25">
      <c r="A13" s="53" t="s">
        <v>2547</v>
      </c>
    </row>
    <row r="14" spans="1:7" x14ac:dyDescent="0.25">
      <c r="A14" s="53" t="s">
        <v>2571</v>
      </c>
    </row>
    <row r="15" spans="1:7" x14ac:dyDescent="0.25">
      <c r="A15" s="53" t="s">
        <v>2571</v>
      </c>
    </row>
    <row r="16" spans="1:7" x14ac:dyDescent="0.25">
      <c r="A16" s="53" t="s">
        <v>2568</v>
      </c>
    </row>
    <row r="17" spans="1:1" x14ac:dyDescent="0.25">
      <c r="A17" s="53" t="s">
        <v>2054</v>
      </c>
    </row>
    <row r="18" spans="1:1" x14ac:dyDescent="0.25">
      <c r="A18" s="53" t="s">
        <v>2054</v>
      </c>
    </row>
    <row r="19" spans="1:1" x14ac:dyDescent="0.25">
      <c r="A19" s="53" t="s">
        <v>2184</v>
      </c>
    </row>
    <row r="20" spans="1:1" x14ac:dyDescent="0.25">
      <c r="A20" s="53" t="s">
        <v>3532</v>
      </c>
    </row>
    <row r="21" spans="1:1" x14ac:dyDescent="0.25">
      <c r="A21" s="53" t="s">
        <v>2082</v>
      </c>
    </row>
    <row r="22" spans="1:1" x14ac:dyDescent="0.25">
      <c r="A22" s="53" t="s">
        <v>2577</v>
      </c>
    </row>
    <row r="23" spans="1:1" x14ac:dyDescent="0.25">
      <c r="A23" s="53" t="s">
        <v>2714</v>
      </c>
    </row>
    <row r="24" spans="1:1" x14ac:dyDescent="0.25">
      <c r="A24" s="53" t="s">
        <v>3681</v>
      </c>
    </row>
    <row r="25" spans="1:1" x14ac:dyDescent="0.25">
      <c r="A25" s="53" t="s">
        <v>2859</v>
      </c>
    </row>
    <row r="26" spans="1:1" x14ac:dyDescent="0.25">
      <c r="A26" s="53" t="s">
        <v>3080</v>
      </c>
    </row>
    <row r="27" spans="1:1" x14ac:dyDescent="0.25">
      <c r="A27" s="53" t="s">
        <v>2563</v>
      </c>
    </row>
    <row r="28" spans="1:1" x14ac:dyDescent="0.25">
      <c r="A28" s="53" t="s">
        <v>2632</v>
      </c>
    </row>
    <row r="29" spans="1:1" x14ac:dyDescent="0.25">
      <c r="A29" s="53" t="s">
        <v>3624</v>
      </c>
    </row>
    <row r="30" spans="1:1" x14ac:dyDescent="0.25">
      <c r="A30" s="53" t="s">
        <v>2546</v>
      </c>
    </row>
    <row r="31" spans="1:1" x14ac:dyDescent="0.25">
      <c r="A31" s="53" t="s">
        <v>2584</v>
      </c>
    </row>
    <row r="32" spans="1:1" x14ac:dyDescent="0.25">
      <c r="A32" s="53" t="s">
        <v>2189</v>
      </c>
    </row>
    <row r="33" spans="1:1" x14ac:dyDescent="0.25">
      <c r="A33" s="53" t="s">
        <v>2189</v>
      </c>
    </row>
    <row r="34" spans="1:1" x14ac:dyDescent="0.25">
      <c r="A34" s="53" t="s">
        <v>2553</v>
      </c>
    </row>
    <row r="35" spans="1:1" x14ac:dyDescent="0.25">
      <c r="A35" s="53" t="s">
        <v>2578</v>
      </c>
    </row>
    <row r="36" spans="1:1" x14ac:dyDescent="0.25">
      <c r="A36" s="53" t="s">
        <v>3603</v>
      </c>
    </row>
    <row r="37" spans="1:1" x14ac:dyDescent="0.25">
      <c r="A37" s="53" t="s">
        <v>2540</v>
      </c>
    </row>
    <row r="38" spans="1:1" x14ac:dyDescent="0.25">
      <c r="A38" s="53" t="s">
        <v>3538</v>
      </c>
    </row>
    <row r="39" spans="1:1" x14ac:dyDescent="0.25">
      <c r="A39" s="53" t="s">
        <v>3471</v>
      </c>
    </row>
    <row r="40" spans="1:1" x14ac:dyDescent="0.25">
      <c r="A40" s="53" t="s">
        <v>2574</v>
      </c>
    </row>
    <row r="41" spans="1:1" x14ac:dyDescent="0.25">
      <c r="A41" s="53" t="s">
        <v>2573</v>
      </c>
    </row>
    <row r="42" spans="1:1" x14ac:dyDescent="0.25">
      <c r="A42" s="53" t="s">
        <v>1915</v>
      </c>
    </row>
    <row r="43" spans="1:1" x14ac:dyDescent="0.25">
      <c r="A43" s="53" t="s">
        <v>1915</v>
      </c>
    </row>
    <row r="44" spans="1:1" x14ac:dyDescent="0.25">
      <c r="A44" s="53" t="s">
        <v>2900</v>
      </c>
    </row>
    <row r="45" spans="1:1" x14ac:dyDescent="0.25">
      <c r="A45" s="53" t="s">
        <v>2693</v>
      </c>
    </row>
    <row r="46" spans="1:1" x14ac:dyDescent="0.25">
      <c r="A46" s="53" t="s">
        <v>2558</v>
      </c>
    </row>
    <row r="47" spans="1:1" x14ac:dyDescent="0.25">
      <c r="A47" s="53" t="s">
        <v>2560</v>
      </c>
    </row>
    <row r="48" spans="1:1" x14ac:dyDescent="0.25">
      <c r="A48" s="53" t="s">
        <v>2566</v>
      </c>
    </row>
    <row r="49" spans="1:1" x14ac:dyDescent="0.25">
      <c r="A49" s="53" t="s">
        <v>2582</v>
      </c>
    </row>
    <row r="50" spans="1:1" x14ac:dyDescent="0.25">
      <c r="A50" s="53" t="s">
        <v>3182</v>
      </c>
    </row>
    <row r="51" spans="1:1" x14ac:dyDescent="0.25">
      <c r="A51" s="53" t="s">
        <v>2545</v>
      </c>
    </row>
    <row r="52" spans="1:1" x14ac:dyDescent="0.25">
      <c r="A52" s="53" t="s">
        <v>3601</v>
      </c>
    </row>
    <row r="53" spans="1:1" x14ac:dyDescent="0.25">
      <c r="A53" s="53" t="s">
        <v>3622</v>
      </c>
    </row>
    <row r="54" spans="1:1" x14ac:dyDescent="0.25">
      <c r="A54" s="53" t="s">
        <v>2544</v>
      </c>
    </row>
    <row r="55" spans="1:1" x14ac:dyDescent="0.25">
      <c r="A55" s="53" t="s">
        <v>2561</v>
      </c>
    </row>
    <row r="56" spans="1:1" x14ac:dyDescent="0.25">
      <c r="A56" s="53" t="s">
        <v>2557</v>
      </c>
    </row>
    <row r="57" spans="1:1" x14ac:dyDescent="0.25">
      <c r="A57" s="53" t="s">
        <v>2555</v>
      </c>
    </row>
    <row r="58" spans="1:1" x14ac:dyDescent="0.25">
      <c r="A58" s="53" t="s">
        <v>2570</v>
      </c>
    </row>
    <row r="59" spans="1:1" x14ac:dyDescent="0.25">
      <c r="A59" s="53" t="s">
        <v>2639</v>
      </c>
    </row>
    <row r="60" spans="1:1" x14ac:dyDescent="0.25">
      <c r="A60" s="53" t="s">
        <v>2639</v>
      </c>
    </row>
    <row r="61" spans="1:1" x14ac:dyDescent="0.25">
      <c r="A61" s="53" t="s">
        <v>2562</v>
      </c>
    </row>
    <row r="62" spans="1:1" x14ac:dyDescent="0.25">
      <c r="A62" s="53" t="s">
        <v>2554</v>
      </c>
    </row>
    <row r="63" spans="1:1" x14ac:dyDescent="0.25">
      <c r="A63" s="53" t="s">
        <v>2575</v>
      </c>
    </row>
    <row r="64" spans="1:1" x14ac:dyDescent="0.25">
      <c r="A64" s="53" t="s">
        <v>2552</v>
      </c>
    </row>
    <row r="65" spans="1:1" x14ac:dyDescent="0.25">
      <c r="A65" s="53" t="s">
        <v>2552</v>
      </c>
    </row>
    <row r="66" spans="1:1" x14ac:dyDescent="0.25">
      <c r="A66" s="53" t="s">
        <v>2640</v>
      </c>
    </row>
    <row r="67" spans="1:1" x14ac:dyDescent="0.25">
      <c r="A67" s="53" t="s">
        <v>2564</v>
      </c>
    </row>
    <row r="68" spans="1:1" x14ac:dyDescent="0.25">
      <c r="A68" s="53" t="s">
        <v>2556</v>
      </c>
    </row>
    <row r="69" spans="1:1" x14ac:dyDescent="0.25">
      <c r="A69" s="53" t="s">
        <v>2549</v>
      </c>
    </row>
    <row r="70" spans="1:1" x14ac:dyDescent="0.25">
      <c r="A70" s="53" t="s">
        <v>2579</v>
      </c>
    </row>
    <row r="71" spans="1:1" x14ac:dyDescent="0.25">
      <c r="A71" s="53" t="s">
        <v>2529</v>
      </c>
    </row>
    <row r="72" spans="1:1" x14ac:dyDescent="0.25">
      <c r="A72" s="53" t="s">
        <v>2572</v>
      </c>
    </row>
    <row r="73" spans="1:1" x14ac:dyDescent="0.25">
      <c r="A73" s="53" t="s">
        <v>2636</v>
      </c>
    </row>
    <row r="74" spans="1:1" x14ac:dyDescent="0.25">
      <c r="A74" s="53" t="s">
        <v>2040</v>
      </c>
    </row>
    <row r="75" spans="1:1" x14ac:dyDescent="0.25">
      <c r="A75" s="53" t="s">
        <v>2638</v>
      </c>
    </row>
    <row r="76" spans="1:1" x14ac:dyDescent="0.25">
      <c r="A76" s="53" t="s">
        <v>2638</v>
      </c>
    </row>
    <row r="77" spans="1:1" x14ac:dyDescent="0.25">
      <c r="A77" s="53" t="s">
        <v>2580</v>
      </c>
    </row>
    <row r="78" spans="1:1" x14ac:dyDescent="0.25">
      <c r="A78" s="53" t="s">
        <v>2548</v>
      </c>
    </row>
    <row r="79" spans="1:1" x14ac:dyDescent="0.25">
      <c r="A79" s="53" t="s">
        <v>3623</v>
      </c>
    </row>
    <row r="80" spans="1:1" x14ac:dyDescent="0.25">
      <c r="A80" s="53" t="s">
        <v>2569</v>
      </c>
    </row>
    <row r="81" spans="1:1" x14ac:dyDescent="0.25">
      <c r="A81" s="53" t="s">
        <v>2565</v>
      </c>
    </row>
    <row r="82" spans="1:1" x14ac:dyDescent="0.25">
      <c r="A82" s="53" t="s">
        <v>2541</v>
      </c>
    </row>
    <row r="83" spans="1:1" x14ac:dyDescent="0.25">
      <c r="A83" s="53" t="s">
        <v>2585</v>
      </c>
    </row>
    <row r="84" spans="1:1" x14ac:dyDescent="0.25">
      <c r="A84" s="53" t="s">
        <v>2581</v>
      </c>
    </row>
    <row r="85" spans="1:1" x14ac:dyDescent="0.25">
      <c r="A85" s="53" t="s">
        <v>3735</v>
      </c>
    </row>
    <row r="86" spans="1:1" x14ac:dyDescent="0.25">
      <c r="A86" s="53" t="s">
        <v>3594</v>
      </c>
    </row>
    <row r="87" spans="1:1" x14ac:dyDescent="0.25">
      <c r="A87" s="53" t="s">
        <v>1914</v>
      </c>
    </row>
    <row r="88" spans="1:1" x14ac:dyDescent="0.25">
      <c r="A88" s="53" t="s">
        <v>2542</v>
      </c>
    </row>
    <row r="89" spans="1:1" x14ac:dyDescent="0.25">
      <c r="A89" s="53" t="s">
        <v>2543</v>
      </c>
    </row>
    <row r="90" spans="1:1" x14ac:dyDescent="0.25">
      <c r="A90" s="53" t="s">
        <v>2550</v>
      </c>
    </row>
    <row r="91" spans="1:1" x14ac:dyDescent="0.25">
      <c r="A91" s="53" t="s">
        <v>2559</v>
      </c>
    </row>
    <row r="92" spans="1:1" x14ac:dyDescent="0.25">
      <c r="A92" s="53" t="s">
        <v>2576</v>
      </c>
    </row>
    <row r="93" spans="1:1" x14ac:dyDescent="0.25">
      <c r="A93" s="53" t="s">
        <v>3280</v>
      </c>
    </row>
    <row r="94" spans="1:1" x14ac:dyDescent="0.25">
      <c r="A94" s="53" t="s">
        <v>2567</v>
      </c>
    </row>
    <row r="95" spans="1:1" x14ac:dyDescent="0.25">
      <c r="A95" s="53" t="s">
        <v>2583</v>
      </c>
    </row>
    <row r="96" spans="1:1" x14ac:dyDescent="0.25">
      <c r="A96" s="53" t="s">
        <v>3285</v>
      </c>
    </row>
    <row r="97" spans="1:1" x14ac:dyDescent="0.25">
      <c r="A97" s="53" t="s">
        <v>3294</v>
      </c>
    </row>
    <row r="98" spans="1:1" x14ac:dyDescent="0.25">
      <c r="A98" s="53" t="s">
        <v>2154</v>
      </c>
    </row>
    <row r="99" spans="1:1" x14ac:dyDescent="0.25">
      <c r="A99" s="53" t="s">
        <v>2154</v>
      </c>
    </row>
    <row r="100" spans="1:1" x14ac:dyDescent="0.25">
      <c r="A100" s="53" t="s">
        <v>3111</v>
      </c>
    </row>
    <row r="101" spans="1:1" x14ac:dyDescent="0.25">
      <c r="A101" s="53" t="s">
        <v>3398</v>
      </c>
    </row>
    <row r="102" spans="1:1" x14ac:dyDescent="0.25">
      <c r="A102" s="53" t="s">
        <v>2773</v>
      </c>
    </row>
    <row r="103" spans="1:1" x14ac:dyDescent="0.25">
      <c r="A103" s="53" t="s">
        <v>3520</v>
      </c>
    </row>
    <row r="104" spans="1:1" x14ac:dyDescent="0.25">
      <c r="A104" s="53" t="s">
        <v>2480</v>
      </c>
    </row>
    <row r="105" spans="1:1" x14ac:dyDescent="0.25">
      <c r="A105" s="53" t="s">
        <v>2480</v>
      </c>
    </row>
    <row r="106" spans="1:1" x14ac:dyDescent="0.25">
      <c r="A106" s="53" t="s">
        <v>3036</v>
      </c>
    </row>
    <row r="107" spans="1:1" x14ac:dyDescent="0.25">
      <c r="A107" s="53" t="s">
        <v>2077</v>
      </c>
    </row>
    <row r="108" spans="1:1" x14ac:dyDescent="0.25">
      <c r="A108" s="53" t="s">
        <v>2719</v>
      </c>
    </row>
    <row r="109" spans="1:1" x14ac:dyDescent="0.25">
      <c r="A109" s="53" t="s">
        <v>3162</v>
      </c>
    </row>
    <row r="110" spans="1:1" x14ac:dyDescent="0.25">
      <c r="A110" s="53" t="s">
        <v>3585</v>
      </c>
    </row>
    <row r="111" spans="1:1" x14ac:dyDescent="0.25">
      <c r="A111" s="53" t="s">
        <v>3492</v>
      </c>
    </row>
    <row r="112" spans="1:1" x14ac:dyDescent="0.25">
      <c r="A112" s="53" t="s">
        <v>3230</v>
      </c>
    </row>
    <row r="113" spans="1:1" x14ac:dyDescent="0.25">
      <c r="A113" s="53" t="s">
        <v>3056</v>
      </c>
    </row>
    <row r="114" spans="1:1" x14ac:dyDescent="0.25">
      <c r="A114" s="53" t="s">
        <v>3129</v>
      </c>
    </row>
    <row r="115" spans="1:1" x14ac:dyDescent="0.25">
      <c r="A115" s="53" t="s">
        <v>2942</v>
      </c>
    </row>
    <row r="116" spans="1:1" x14ac:dyDescent="0.25">
      <c r="A116" s="53" t="s">
        <v>3402</v>
      </c>
    </row>
    <row r="117" spans="1:1" x14ac:dyDescent="0.25">
      <c r="A117" s="53" t="s">
        <v>3089</v>
      </c>
    </row>
    <row r="118" spans="1:1" x14ac:dyDescent="0.25">
      <c r="A118" s="53" t="s">
        <v>3089</v>
      </c>
    </row>
    <row r="119" spans="1:1" x14ac:dyDescent="0.25">
      <c r="A119" s="53" t="s">
        <v>3287</v>
      </c>
    </row>
    <row r="120" spans="1:1" x14ac:dyDescent="0.25">
      <c r="A120" s="53" t="s">
        <v>3287</v>
      </c>
    </row>
    <row r="121" spans="1:1" x14ac:dyDescent="0.25">
      <c r="A121" s="53" t="s">
        <v>3038</v>
      </c>
    </row>
    <row r="122" spans="1:1" x14ac:dyDescent="0.25">
      <c r="A122" s="53" t="s">
        <v>1980</v>
      </c>
    </row>
    <row r="123" spans="1:1" x14ac:dyDescent="0.25">
      <c r="A123" s="53" t="s">
        <v>1980</v>
      </c>
    </row>
    <row r="124" spans="1:1" x14ac:dyDescent="0.25">
      <c r="A124" s="53" t="s">
        <v>2100</v>
      </c>
    </row>
    <row r="125" spans="1:1" x14ac:dyDescent="0.25">
      <c r="A125" s="53" t="s">
        <v>3204</v>
      </c>
    </row>
    <row r="126" spans="1:1" x14ac:dyDescent="0.25">
      <c r="A126" s="53" t="s">
        <v>2878</v>
      </c>
    </row>
    <row r="127" spans="1:1" x14ac:dyDescent="0.25">
      <c r="A127" s="53" t="s">
        <v>2878</v>
      </c>
    </row>
    <row r="128" spans="1:1" x14ac:dyDescent="0.25">
      <c r="A128" s="53" t="s">
        <v>3023</v>
      </c>
    </row>
    <row r="129" spans="1:1" x14ac:dyDescent="0.25">
      <c r="A129" s="53" t="s">
        <v>3023</v>
      </c>
    </row>
    <row r="130" spans="1:1" x14ac:dyDescent="0.25">
      <c r="A130" s="53" t="s">
        <v>3460</v>
      </c>
    </row>
    <row r="131" spans="1:1" x14ac:dyDescent="0.25">
      <c r="A131" s="53" t="s">
        <v>1950</v>
      </c>
    </row>
    <row r="132" spans="1:1" x14ac:dyDescent="0.25">
      <c r="A132" s="53" t="s">
        <v>1950</v>
      </c>
    </row>
    <row r="133" spans="1:1" x14ac:dyDescent="0.25">
      <c r="A133" s="53" t="s">
        <v>2151</v>
      </c>
    </row>
    <row r="134" spans="1:1" x14ac:dyDescent="0.25">
      <c r="A134" s="53" t="s">
        <v>2811</v>
      </c>
    </row>
    <row r="135" spans="1:1" x14ac:dyDescent="0.25">
      <c r="A135" s="53" t="s">
        <v>2930</v>
      </c>
    </row>
    <row r="136" spans="1:1" x14ac:dyDescent="0.25">
      <c r="A136" s="53" t="s">
        <v>3198</v>
      </c>
    </row>
    <row r="137" spans="1:1" x14ac:dyDescent="0.25">
      <c r="A137" s="53" t="s">
        <v>3198</v>
      </c>
    </row>
    <row r="138" spans="1:1" x14ac:dyDescent="0.25">
      <c r="A138" s="53" t="s">
        <v>3383</v>
      </c>
    </row>
    <row r="139" spans="1:1" x14ac:dyDescent="0.25">
      <c r="A139" s="53" t="s">
        <v>3200</v>
      </c>
    </row>
    <row r="140" spans="1:1" x14ac:dyDescent="0.25">
      <c r="A140" s="53" t="s">
        <v>2260</v>
      </c>
    </row>
    <row r="141" spans="1:1" x14ac:dyDescent="0.25">
      <c r="A141" s="53" t="s">
        <v>3510</v>
      </c>
    </row>
    <row r="142" spans="1:1" x14ac:dyDescent="0.25">
      <c r="A142" s="53" t="s">
        <v>3510</v>
      </c>
    </row>
    <row r="143" spans="1:1" x14ac:dyDescent="0.25">
      <c r="A143" s="53" t="s">
        <v>3465</v>
      </c>
    </row>
    <row r="144" spans="1:1" x14ac:dyDescent="0.25">
      <c r="A144" s="53" t="s">
        <v>2250</v>
      </c>
    </row>
    <row r="145" spans="1:1" x14ac:dyDescent="0.25">
      <c r="A145" s="53" t="s">
        <v>2374</v>
      </c>
    </row>
    <row r="146" spans="1:1" x14ac:dyDescent="0.25">
      <c r="A146" s="53" t="s">
        <v>2374</v>
      </c>
    </row>
    <row r="147" spans="1:1" x14ac:dyDescent="0.25">
      <c r="A147" s="53" t="s">
        <v>2487</v>
      </c>
    </row>
    <row r="148" spans="1:1" x14ac:dyDescent="0.25">
      <c r="A148" s="53" t="s">
        <v>2052</v>
      </c>
    </row>
    <row r="149" spans="1:1" x14ac:dyDescent="0.25">
      <c r="A149" s="53" t="s">
        <v>2052</v>
      </c>
    </row>
    <row r="150" spans="1:1" x14ac:dyDescent="0.25">
      <c r="A150" s="53" t="s">
        <v>2741</v>
      </c>
    </row>
    <row r="151" spans="1:1" x14ac:dyDescent="0.25">
      <c r="A151" s="53" t="s">
        <v>3372</v>
      </c>
    </row>
    <row r="152" spans="1:1" x14ac:dyDescent="0.25">
      <c r="A152" s="53" t="s">
        <v>2604</v>
      </c>
    </row>
    <row r="153" spans="1:1" x14ac:dyDescent="0.25">
      <c r="A153" s="53" t="s">
        <v>2604</v>
      </c>
    </row>
    <row r="154" spans="1:1" x14ac:dyDescent="0.25">
      <c r="A154" s="53" t="s">
        <v>2922</v>
      </c>
    </row>
    <row r="155" spans="1:1" x14ac:dyDescent="0.25">
      <c r="A155" s="53" t="s">
        <v>2051</v>
      </c>
    </row>
    <row r="156" spans="1:1" x14ac:dyDescent="0.25">
      <c r="A156" s="53" t="s">
        <v>2051</v>
      </c>
    </row>
    <row r="157" spans="1:1" x14ac:dyDescent="0.25">
      <c r="A157" s="53" t="s">
        <v>3264</v>
      </c>
    </row>
    <row r="158" spans="1:1" x14ac:dyDescent="0.25">
      <c r="A158" s="53" t="s">
        <v>2944</v>
      </c>
    </row>
    <row r="159" spans="1:1" x14ac:dyDescent="0.25">
      <c r="A159" s="53" t="s">
        <v>2944</v>
      </c>
    </row>
    <row r="160" spans="1:1" x14ac:dyDescent="0.25">
      <c r="A160" s="53" t="s">
        <v>3323</v>
      </c>
    </row>
    <row r="161" spans="1:1" x14ac:dyDescent="0.25">
      <c r="A161" s="53" t="s">
        <v>2727</v>
      </c>
    </row>
    <row r="162" spans="1:1" x14ac:dyDescent="0.25">
      <c r="A162" s="53" t="s">
        <v>3463</v>
      </c>
    </row>
    <row r="163" spans="1:1" x14ac:dyDescent="0.25">
      <c r="A163" s="53" t="s">
        <v>2428</v>
      </c>
    </row>
    <row r="164" spans="1:1" x14ac:dyDescent="0.25">
      <c r="A164" s="53" t="s">
        <v>2428</v>
      </c>
    </row>
    <row r="165" spans="1:1" x14ac:dyDescent="0.25">
      <c r="A165" s="53" t="s">
        <v>3113</v>
      </c>
    </row>
    <row r="166" spans="1:1" x14ac:dyDescent="0.25">
      <c r="A166" s="53" t="s">
        <v>3572</v>
      </c>
    </row>
    <row r="167" spans="1:1" x14ac:dyDescent="0.25">
      <c r="A167" s="53" t="s">
        <v>3597</v>
      </c>
    </row>
    <row r="168" spans="1:1" x14ac:dyDescent="0.25">
      <c r="A168" s="53" t="s">
        <v>3328</v>
      </c>
    </row>
    <row r="169" spans="1:1" x14ac:dyDescent="0.25">
      <c r="A169" s="53" t="s">
        <v>2772</v>
      </c>
    </row>
    <row r="170" spans="1:1" x14ac:dyDescent="0.25">
      <c r="A170" s="53" t="s">
        <v>2354</v>
      </c>
    </row>
    <row r="171" spans="1:1" x14ac:dyDescent="0.25">
      <c r="A171" s="53" t="s">
        <v>2354</v>
      </c>
    </row>
    <row r="172" spans="1:1" x14ac:dyDescent="0.25">
      <c r="A172" s="53" t="s">
        <v>1993</v>
      </c>
    </row>
    <row r="173" spans="1:1" x14ac:dyDescent="0.25">
      <c r="A173" s="53" t="s">
        <v>2996</v>
      </c>
    </row>
    <row r="174" spans="1:1" x14ac:dyDescent="0.25">
      <c r="A174" s="53" t="s">
        <v>2286</v>
      </c>
    </row>
    <row r="175" spans="1:1" x14ac:dyDescent="0.25">
      <c r="A175" s="53" t="s">
        <v>3258</v>
      </c>
    </row>
    <row r="176" spans="1:1" x14ac:dyDescent="0.25">
      <c r="A176" s="53" t="s">
        <v>1940</v>
      </c>
    </row>
    <row r="177" spans="1:1" x14ac:dyDescent="0.25">
      <c r="A177" s="53" t="s">
        <v>2883</v>
      </c>
    </row>
    <row r="178" spans="1:1" x14ac:dyDescent="0.25">
      <c r="A178" s="53" t="s">
        <v>3057</v>
      </c>
    </row>
    <row r="179" spans="1:1" x14ac:dyDescent="0.25">
      <c r="A179" s="53" t="s">
        <v>2777</v>
      </c>
    </row>
    <row r="180" spans="1:1" x14ac:dyDescent="0.25">
      <c r="A180" s="53" t="s">
        <v>2671</v>
      </c>
    </row>
    <row r="181" spans="1:1" x14ac:dyDescent="0.25">
      <c r="A181" s="53" t="s">
        <v>1892</v>
      </c>
    </row>
    <row r="182" spans="1:1" x14ac:dyDescent="0.25">
      <c r="A182" s="53" t="s">
        <v>2890</v>
      </c>
    </row>
    <row r="183" spans="1:1" x14ac:dyDescent="0.25">
      <c r="A183" s="53" t="s">
        <v>2680</v>
      </c>
    </row>
    <row r="184" spans="1:1" x14ac:dyDescent="0.25">
      <c r="A184" s="53" t="s">
        <v>2680</v>
      </c>
    </row>
    <row r="185" spans="1:1" x14ac:dyDescent="0.25">
      <c r="A185" s="53" t="s">
        <v>3035</v>
      </c>
    </row>
    <row r="186" spans="1:1" x14ac:dyDescent="0.25">
      <c r="A186" s="53" t="s">
        <v>3317</v>
      </c>
    </row>
    <row r="187" spans="1:1" x14ac:dyDescent="0.25">
      <c r="A187" s="53" t="s">
        <v>3317</v>
      </c>
    </row>
    <row r="188" spans="1:1" x14ac:dyDescent="0.25">
      <c r="A188" s="53" t="s">
        <v>2257</v>
      </c>
    </row>
    <row r="189" spans="1:1" x14ac:dyDescent="0.25">
      <c r="A189" s="53" t="s">
        <v>2257</v>
      </c>
    </row>
    <row r="190" spans="1:1" x14ac:dyDescent="0.25">
      <c r="A190" s="53" t="s">
        <v>3033</v>
      </c>
    </row>
    <row r="191" spans="1:1" x14ac:dyDescent="0.25">
      <c r="A191" s="53" t="s">
        <v>2472</v>
      </c>
    </row>
    <row r="192" spans="1:1" x14ac:dyDescent="0.25">
      <c r="A192" s="53" t="s">
        <v>2472</v>
      </c>
    </row>
    <row r="193" spans="1:1" x14ac:dyDescent="0.25">
      <c r="A193" s="53" t="s">
        <v>2858</v>
      </c>
    </row>
    <row r="194" spans="1:1" x14ac:dyDescent="0.25">
      <c r="A194" s="53" t="s">
        <v>3064</v>
      </c>
    </row>
    <row r="195" spans="1:1" x14ac:dyDescent="0.25">
      <c r="A195" s="53" t="s">
        <v>2046</v>
      </c>
    </row>
    <row r="196" spans="1:1" x14ac:dyDescent="0.25">
      <c r="A196" s="53" t="s">
        <v>2046</v>
      </c>
    </row>
    <row r="197" spans="1:1" x14ac:dyDescent="0.25">
      <c r="A197" s="53" t="s">
        <v>3394</v>
      </c>
    </row>
    <row r="198" spans="1:1" x14ac:dyDescent="0.25">
      <c r="A198" s="53" t="s">
        <v>3151</v>
      </c>
    </row>
    <row r="199" spans="1:1" x14ac:dyDescent="0.25">
      <c r="A199" s="53" t="s">
        <v>2872</v>
      </c>
    </row>
    <row r="200" spans="1:1" x14ac:dyDescent="0.25">
      <c r="A200" s="53" t="s">
        <v>2495</v>
      </c>
    </row>
    <row r="201" spans="1:1" x14ac:dyDescent="0.25">
      <c r="A201" s="53" t="s">
        <v>3482</v>
      </c>
    </row>
    <row r="202" spans="1:1" x14ac:dyDescent="0.25">
      <c r="A202" s="53" t="s">
        <v>3191</v>
      </c>
    </row>
    <row r="203" spans="1:1" x14ac:dyDescent="0.25">
      <c r="A203" s="53" t="s">
        <v>2744</v>
      </c>
    </row>
    <row r="204" spans="1:1" x14ac:dyDescent="0.25">
      <c r="A204" s="53" t="s">
        <v>3052</v>
      </c>
    </row>
    <row r="205" spans="1:1" x14ac:dyDescent="0.25">
      <c r="A205" s="53" t="s">
        <v>3275</v>
      </c>
    </row>
    <row r="206" spans="1:1" x14ac:dyDescent="0.25">
      <c r="A206" s="53" t="s">
        <v>3275</v>
      </c>
    </row>
    <row r="207" spans="1:1" x14ac:dyDescent="0.25">
      <c r="A207" s="53" t="s">
        <v>2775</v>
      </c>
    </row>
    <row r="208" spans="1:1" x14ac:dyDescent="0.25">
      <c r="A208" s="53" t="s">
        <v>2775</v>
      </c>
    </row>
    <row r="209" spans="1:1" x14ac:dyDescent="0.25">
      <c r="A209" s="53" t="s">
        <v>2784</v>
      </c>
    </row>
    <row r="210" spans="1:1" x14ac:dyDescent="0.25">
      <c r="A210" s="53" t="s">
        <v>3549</v>
      </c>
    </row>
    <row r="211" spans="1:1" x14ac:dyDescent="0.25">
      <c r="A211" s="53" t="s">
        <v>3401</v>
      </c>
    </row>
    <row r="212" spans="1:1" x14ac:dyDescent="0.25">
      <c r="A212" s="53" t="s">
        <v>3103</v>
      </c>
    </row>
    <row r="213" spans="1:1" x14ac:dyDescent="0.25">
      <c r="A213" s="53" t="s">
        <v>2167</v>
      </c>
    </row>
    <row r="214" spans="1:1" x14ac:dyDescent="0.25">
      <c r="A214" s="53" t="s">
        <v>3535</v>
      </c>
    </row>
    <row r="215" spans="1:1" x14ac:dyDescent="0.25">
      <c r="A215" s="53" t="s">
        <v>1982</v>
      </c>
    </row>
    <row r="216" spans="1:1" x14ac:dyDescent="0.25">
      <c r="A216" s="53" t="s">
        <v>2117</v>
      </c>
    </row>
    <row r="217" spans="1:1" x14ac:dyDescent="0.25">
      <c r="A217" s="53" t="s">
        <v>2117</v>
      </c>
    </row>
    <row r="218" spans="1:1" x14ac:dyDescent="0.25">
      <c r="A218" s="53" t="s">
        <v>3454</v>
      </c>
    </row>
    <row r="219" spans="1:1" x14ac:dyDescent="0.25">
      <c r="A219" s="53" t="s">
        <v>3454</v>
      </c>
    </row>
    <row r="220" spans="1:1" x14ac:dyDescent="0.25">
      <c r="A220" s="53" t="s">
        <v>3579</v>
      </c>
    </row>
    <row r="221" spans="1:1" x14ac:dyDescent="0.25">
      <c r="A221" s="53" t="s">
        <v>2715</v>
      </c>
    </row>
    <row r="222" spans="1:1" x14ac:dyDescent="0.25">
      <c r="A222" s="53" t="s">
        <v>3561</v>
      </c>
    </row>
    <row r="223" spans="1:1" x14ac:dyDescent="0.25">
      <c r="A223" s="53" t="s">
        <v>3319</v>
      </c>
    </row>
    <row r="224" spans="1:1" x14ac:dyDescent="0.25">
      <c r="A224" s="53" t="s">
        <v>2056</v>
      </c>
    </row>
    <row r="225" spans="1:1" x14ac:dyDescent="0.25">
      <c r="A225" s="53" t="s">
        <v>2056</v>
      </c>
    </row>
    <row r="226" spans="1:1" x14ac:dyDescent="0.25">
      <c r="A226" s="53" t="s">
        <v>2865</v>
      </c>
    </row>
    <row r="227" spans="1:1" x14ac:dyDescent="0.25">
      <c r="A227" s="53" t="s">
        <v>2865</v>
      </c>
    </row>
    <row r="228" spans="1:1" x14ac:dyDescent="0.25">
      <c r="A228" s="53" t="s">
        <v>3351</v>
      </c>
    </row>
    <row r="229" spans="1:1" x14ac:dyDescent="0.25">
      <c r="A229" s="53" t="s">
        <v>2685</v>
      </c>
    </row>
    <row r="230" spans="1:1" x14ac:dyDescent="0.25">
      <c r="A230" s="53" t="s">
        <v>2685</v>
      </c>
    </row>
    <row r="231" spans="1:1" x14ac:dyDescent="0.25">
      <c r="A231" s="53" t="s">
        <v>3127</v>
      </c>
    </row>
    <row r="232" spans="1:1" x14ac:dyDescent="0.25">
      <c r="A232" s="53" t="s">
        <v>2059</v>
      </c>
    </row>
    <row r="233" spans="1:1" x14ac:dyDescent="0.25">
      <c r="A233" s="53" t="s">
        <v>2059</v>
      </c>
    </row>
    <row r="234" spans="1:1" x14ac:dyDescent="0.25">
      <c r="A234" s="53" t="s">
        <v>1931</v>
      </c>
    </row>
    <row r="235" spans="1:1" x14ac:dyDescent="0.25">
      <c r="A235" s="53" t="s">
        <v>1931</v>
      </c>
    </row>
    <row r="236" spans="1:1" x14ac:dyDescent="0.25">
      <c r="A236" s="53" t="s">
        <v>3085</v>
      </c>
    </row>
    <row r="237" spans="1:1" x14ac:dyDescent="0.25">
      <c r="A237" s="53" t="s">
        <v>3085</v>
      </c>
    </row>
    <row r="238" spans="1:1" x14ac:dyDescent="0.25">
      <c r="A238" s="53" t="s">
        <v>2351</v>
      </c>
    </row>
    <row r="239" spans="1:1" x14ac:dyDescent="0.25">
      <c r="A239" s="53" t="s">
        <v>2331</v>
      </c>
    </row>
    <row r="240" spans="1:1" x14ac:dyDescent="0.25">
      <c r="A240" s="53" t="s">
        <v>3259</v>
      </c>
    </row>
    <row r="241" spans="1:1" x14ac:dyDescent="0.25">
      <c r="A241" s="53" t="s">
        <v>3073</v>
      </c>
    </row>
    <row r="242" spans="1:1" x14ac:dyDescent="0.25">
      <c r="A242" s="53" t="s">
        <v>3076</v>
      </c>
    </row>
    <row r="243" spans="1:1" x14ac:dyDescent="0.25">
      <c r="A243" s="53" t="s">
        <v>2895</v>
      </c>
    </row>
    <row r="244" spans="1:1" x14ac:dyDescent="0.25">
      <c r="A244" s="53" t="s">
        <v>3400</v>
      </c>
    </row>
    <row r="245" spans="1:1" x14ac:dyDescent="0.25">
      <c r="A245" s="53" t="s">
        <v>3347</v>
      </c>
    </row>
    <row r="246" spans="1:1" x14ac:dyDescent="0.25">
      <c r="A246" s="53" t="s">
        <v>3501</v>
      </c>
    </row>
    <row r="247" spans="1:1" x14ac:dyDescent="0.25">
      <c r="A247" s="53" t="s">
        <v>2908</v>
      </c>
    </row>
    <row r="248" spans="1:1" x14ac:dyDescent="0.25">
      <c r="A248" s="53" t="s">
        <v>2902</v>
      </c>
    </row>
    <row r="249" spans="1:1" x14ac:dyDescent="0.25">
      <c r="A249" s="53" t="s">
        <v>2413</v>
      </c>
    </row>
    <row r="250" spans="1:1" x14ac:dyDescent="0.25">
      <c r="A250" s="53" t="s">
        <v>2391</v>
      </c>
    </row>
    <row r="251" spans="1:1" x14ac:dyDescent="0.25">
      <c r="A251" s="53" t="s">
        <v>2445</v>
      </c>
    </row>
    <row r="252" spans="1:1" x14ac:dyDescent="0.25">
      <c r="A252" s="53" t="s">
        <v>3457</v>
      </c>
    </row>
    <row r="253" spans="1:1" x14ac:dyDescent="0.25">
      <c r="A253" s="53" t="s">
        <v>3015</v>
      </c>
    </row>
    <row r="254" spans="1:1" x14ac:dyDescent="0.25">
      <c r="A254" s="53" t="s">
        <v>2439</v>
      </c>
    </row>
    <row r="255" spans="1:1" x14ac:dyDescent="0.25">
      <c r="A255" s="53" t="s">
        <v>3286</v>
      </c>
    </row>
    <row r="256" spans="1:1" x14ac:dyDescent="0.25">
      <c r="A256" s="53" t="s">
        <v>3286</v>
      </c>
    </row>
    <row r="257" spans="1:1" x14ac:dyDescent="0.25">
      <c r="A257" s="53" t="s">
        <v>2180</v>
      </c>
    </row>
    <row r="258" spans="1:1" x14ac:dyDescent="0.25">
      <c r="A258" s="53" t="s">
        <v>2180</v>
      </c>
    </row>
    <row r="259" spans="1:1" x14ac:dyDescent="0.25">
      <c r="A259" s="53" t="s">
        <v>2035</v>
      </c>
    </row>
    <row r="260" spans="1:1" x14ac:dyDescent="0.25">
      <c r="A260" s="53" t="s">
        <v>2035</v>
      </c>
    </row>
    <row r="261" spans="1:1" x14ac:dyDescent="0.25">
      <c r="A261" s="53" t="s">
        <v>3320</v>
      </c>
    </row>
    <row r="262" spans="1:1" x14ac:dyDescent="0.25">
      <c r="A262" s="53" t="s">
        <v>3369</v>
      </c>
    </row>
    <row r="263" spans="1:1" x14ac:dyDescent="0.25">
      <c r="A263" s="53" t="s">
        <v>3369</v>
      </c>
    </row>
    <row r="264" spans="1:1" x14ac:dyDescent="0.25">
      <c r="A264" s="53" t="s">
        <v>2679</v>
      </c>
    </row>
    <row r="265" spans="1:1" x14ac:dyDescent="0.25">
      <c r="A265" s="53" t="s">
        <v>1996</v>
      </c>
    </row>
    <row r="266" spans="1:1" x14ac:dyDescent="0.25">
      <c r="A266" s="53" t="s">
        <v>2103</v>
      </c>
    </row>
    <row r="267" spans="1:1" x14ac:dyDescent="0.25">
      <c r="A267" s="53" t="s">
        <v>2103</v>
      </c>
    </row>
    <row r="268" spans="1:1" x14ac:dyDescent="0.25">
      <c r="A268" s="53" t="s">
        <v>2321</v>
      </c>
    </row>
    <row r="269" spans="1:1" x14ac:dyDescent="0.25">
      <c r="A269" s="53" t="s">
        <v>3185</v>
      </c>
    </row>
    <row r="270" spans="1:1" x14ac:dyDescent="0.25">
      <c r="A270" s="53" t="s">
        <v>2705</v>
      </c>
    </row>
    <row r="271" spans="1:1" x14ac:dyDescent="0.25">
      <c r="A271" s="53" t="s">
        <v>2812</v>
      </c>
    </row>
    <row r="272" spans="1:1" x14ac:dyDescent="0.25">
      <c r="A272" s="53" t="s">
        <v>3000</v>
      </c>
    </row>
    <row r="273" spans="1:1" x14ac:dyDescent="0.25">
      <c r="A273" s="53" t="s">
        <v>3621</v>
      </c>
    </row>
    <row r="274" spans="1:1" x14ac:dyDescent="0.25">
      <c r="A274" s="53" t="s">
        <v>3491</v>
      </c>
    </row>
    <row r="275" spans="1:1" x14ac:dyDescent="0.25">
      <c r="A275" s="53" t="s">
        <v>2138</v>
      </c>
    </row>
    <row r="276" spans="1:1" x14ac:dyDescent="0.25">
      <c r="A276" s="53" t="s">
        <v>2138</v>
      </c>
    </row>
    <row r="277" spans="1:1" x14ac:dyDescent="0.25">
      <c r="A277" s="53" t="s">
        <v>3171</v>
      </c>
    </row>
    <row r="278" spans="1:1" x14ac:dyDescent="0.25">
      <c r="A278" s="53" t="s">
        <v>2943</v>
      </c>
    </row>
    <row r="279" spans="1:1" x14ac:dyDescent="0.25">
      <c r="A279" s="53" t="s">
        <v>3042</v>
      </c>
    </row>
    <row r="280" spans="1:1" x14ac:dyDescent="0.25">
      <c r="A280" s="53" t="s">
        <v>3474</v>
      </c>
    </row>
    <row r="281" spans="1:1" x14ac:dyDescent="0.25">
      <c r="A281" s="53" t="s">
        <v>3474</v>
      </c>
    </row>
    <row r="282" spans="1:1" x14ac:dyDescent="0.25">
      <c r="A282" s="53" t="s">
        <v>2818</v>
      </c>
    </row>
    <row r="283" spans="1:1" x14ac:dyDescent="0.25">
      <c r="A283" s="53" t="s">
        <v>2728</v>
      </c>
    </row>
    <row r="284" spans="1:1" x14ac:dyDescent="0.25">
      <c r="A284" s="53" t="s">
        <v>2067</v>
      </c>
    </row>
    <row r="285" spans="1:1" x14ac:dyDescent="0.25">
      <c r="A285" s="53" t="s">
        <v>2067</v>
      </c>
    </row>
    <row r="286" spans="1:1" x14ac:dyDescent="0.25">
      <c r="A286" s="53" t="s">
        <v>1884</v>
      </c>
    </row>
    <row r="287" spans="1:1" x14ac:dyDescent="0.25">
      <c r="A287" s="53" t="s">
        <v>3139</v>
      </c>
    </row>
    <row r="288" spans="1:1" x14ac:dyDescent="0.25">
      <c r="A288" s="53" t="s">
        <v>3066</v>
      </c>
    </row>
    <row r="289" spans="1:1" x14ac:dyDescent="0.25">
      <c r="A289" s="53" t="s">
        <v>2043</v>
      </c>
    </row>
    <row r="290" spans="1:1" x14ac:dyDescent="0.25">
      <c r="A290" s="53" t="s">
        <v>2316</v>
      </c>
    </row>
    <row r="291" spans="1:1" x14ac:dyDescent="0.25">
      <c r="A291" s="53" t="s">
        <v>2940</v>
      </c>
    </row>
    <row r="292" spans="1:1" x14ac:dyDescent="0.25">
      <c r="A292" s="53" t="s">
        <v>3242</v>
      </c>
    </row>
    <row r="293" spans="1:1" x14ac:dyDescent="0.25">
      <c r="A293" s="53" t="s">
        <v>3242</v>
      </c>
    </row>
    <row r="294" spans="1:1" x14ac:dyDescent="0.25">
      <c r="A294" s="53" t="s">
        <v>3025</v>
      </c>
    </row>
    <row r="295" spans="1:1" x14ac:dyDescent="0.25">
      <c r="A295" s="53" t="s">
        <v>2783</v>
      </c>
    </row>
    <row r="296" spans="1:1" x14ac:dyDescent="0.25">
      <c r="A296" s="53" t="s">
        <v>3026</v>
      </c>
    </row>
    <row r="297" spans="1:1" x14ac:dyDescent="0.25">
      <c r="A297" s="53" t="s">
        <v>3026</v>
      </c>
    </row>
    <row r="298" spans="1:1" x14ac:dyDescent="0.25">
      <c r="A298" s="53" t="s">
        <v>3247</v>
      </c>
    </row>
    <row r="299" spans="1:1" x14ac:dyDescent="0.25">
      <c r="A299" s="53" t="s">
        <v>2185</v>
      </c>
    </row>
    <row r="300" spans="1:1" x14ac:dyDescent="0.25">
      <c r="A300" s="53" t="s">
        <v>2185</v>
      </c>
    </row>
    <row r="301" spans="1:1" x14ac:dyDescent="0.25">
      <c r="A301" s="53" t="s">
        <v>2062</v>
      </c>
    </row>
    <row r="302" spans="1:1" x14ac:dyDescent="0.25">
      <c r="A302" s="53" t="s">
        <v>2062</v>
      </c>
    </row>
    <row r="303" spans="1:1" x14ac:dyDescent="0.25">
      <c r="A303" s="53" t="s">
        <v>2806</v>
      </c>
    </row>
    <row r="304" spans="1:1" x14ac:dyDescent="0.25">
      <c r="A304" s="53" t="s">
        <v>2078</v>
      </c>
    </row>
    <row r="305" spans="1:1" x14ac:dyDescent="0.25">
      <c r="A305" s="53" t="s">
        <v>2078</v>
      </c>
    </row>
    <row r="306" spans="1:1" x14ac:dyDescent="0.25">
      <c r="A306" s="53" t="s">
        <v>3438</v>
      </c>
    </row>
    <row r="307" spans="1:1" x14ac:dyDescent="0.25">
      <c r="A307" s="53" t="s">
        <v>2514</v>
      </c>
    </row>
    <row r="308" spans="1:1" x14ac:dyDescent="0.25">
      <c r="A308" s="53" t="s">
        <v>3566</v>
      </c>
    </row>
    <row r="309" spans="1:1" x14ac:dyDescent="0.25">
      <c r="A309" s="53" t="s">
        <v>2821</v>
      </c>
    </row>
    <row r="310" spans="1:1" x14ac:dyDescent="0.25">
      <c r="A310" s="53" t="s">
        <v>3245</v>
      </c>
    </row>
    <row r="311" spans="1:1" x14ac:dyDescent="0.25">
      <c r="A311" s="53" t="s">
        <v>2733</v>
      </c>
    </row>
    <row r="312" spans="1:1" x14ac:dyDescent="0.25">
      <c r="A312" s="53" t="s">
        <v>2795</v>
      </c>
    </row>
    <row r="313" spans="1:1" x14ac:dyDescent="0.25">
      <c r="A313" s="53" t="s">
        <v>1942</v>
      </c>
    </row>
    <row r="314" spans="1:1" x14ac:dyDescent="0.25">
      <c r="A314" s="53" t="s">
        <v>3508</v>
      </c>
    </row>
    <row r="315" spans="1:1" x14ac:dyDescent="0.25">
      <c r="A315" s="53" t="s">
        <v>3508</v>
      </c>
    </row>
    <row r="316" spans="1:1" x14ac:dyDescent="0.25">
      <c r="A316" s="53" t="s">
        <v>2870</v>
      </c>
    </row>
    <row r="317" spans="1:1" x14ac:dyDescent="0.25">
      <c r="A317" s="53" t="s">
        <v>3284</v>
      </c>
    </row>
    <row r="318" spans="1:1" x14ac:dyDescent="0.25">
      <c r="A318" s="53" t="s">
        <v>3284</v>
      </c>
    </row>
    <row r="319" spans="1:1" x14ac:dyDescent="0.25">
      <c r="A319" s="53" t="s">
        <v>2598</v>
      </c>
    </row>
    <row r="320" spans="1:1" x14ac:dyDescent="0.25">
      <c r="A320" s="53" t="s">
        <v>2598</v>
      </c>
    </row>
    <row r="321" spans="1:1" x14ac:dyDescent="0.25">
      <c r="A321" s="53" t="s">
        <v>3577</v>
      </c>
    </row>
    <row r="322" spans="1:1" x14ac:dyDescent="0.25">
      <c r="A322" s="53" t="s">
        <v>3577</v>
      </c>
    </row>
    <row r="323" spans="1:1" x14ac:dyDescent="0.25">
      <c r="A323" s="53" t="s">
        <v>2219</v>
      </c>
    </row>
    <row r="324" spans="1:1" x14ac:dyDescent="0.25">
      <c r="A324" s="53" t="s">
        <v>2819</v>
      </c>
    </row>
    <row r="325" spans="1:1" x14ac:dyDescent="0.25">
      <c r="A325" s="53" t="s">
        <v>3424</v>
      </c>
    </row>
    <row r="326" spans="1:1" x14ac:dyDescent="0.25">
      <c r="A326" s="53" t="s">
        <v>3098</v>
      </c>
    </row>
    <row r="327" spans="1:1" x14ac:dyDescent="0.25">
      <c r="A327" s="53" t="s">
        <v>2033</v>
      </c>
    </row>
    <row r="328" spans="1:1" x14ac:dyDescent="0.25">
      <c r="A328" s="53" t="s">
        <v>2191</v>
      </c>
    </row>
    <row r="329" spans="1:1" x14ac:dyDescent="0.25">
      <c r="A329" s="53" t="s">
        <v>3093</v>
      </c>
    </row>
    <row r="330" spans="1:1" x14ac:dyDescent="0.25">
      <c r="A330" s="53" t="s">
        <v>2597</v>
      </c>
    </row>
    <row r="331" spans="1:1" x14ac:dyDescent="0.25">
      <c r="A331" s="53" t="s">
        <v>2597</v>
      </c>
    </row>
    <row r="332" spans="1:1" x14ac:dyDescent="0.25">
      <c r="A332" s="53" t="s">
        <v>2717</v>
      </c>
    </row>
    <row r="333" spans="1:1" x14ac:dyDescent="0.25">
      <c r="A333" s="53" t="s">
        <v>3136</v>
      </c>
    </row>
    <row r="334" spans="1:1" x14ac:dyDescent="0.25">
      <c r="A334" s="53" t="s">
        <v>3136</v>
      </c>
    </row>
    <row r="335" spans="1:1" x14ac:dyDescent="0.25">
      <c r="A335" s="53" t="s">
        <v>2602</v>
      </c>
    </row>
    <row r="336" spans="1:1" x14ac:dyDescent="0.25">
      <c r="A336" s="53" t="s">
        <v>2406</v>
      </c>
    </row>
    <row r="337" spans="1:1" x14ac:dyDescent="0.25">
      <c r="A337" s="53" t="s">
        <v>3380</v>
      </c>
    </row>
    <row r="338" spans="1:1" x14ac:dyDescent="0.25">
      <c r="A338" s="53" t="s">
        <v>3231</v>
      </c>
    </row>
    <row r="339" spans="1:1" x14ac:dyDescent="0.25">
      <c r="A339" s="53" t="s">
        <v>2905</v>
      </c>
    </row>
    <row r="340" spans="1:1" x14ac:dyDescent="0.25">
      <c r="A340" s="53" t="s">
        <v>2288</v>
      </c>
    </row>
    <row r="341" spans="1:1" x14ac:dyDescent="0.25">
      <c r="A341" s="53" t="s">
        <v>3146</v>
      </c>
    </row>
    <row r="342" spans="1:1" x14ac:dyDescent="0.25">
      <c r="A342" s="53" t="s">
        <v>2720</v>
      </c>
    </row>
    <row r="343" spans="1:1" x14ac:dyDescent="0.25">
      <c r="A343" s="53" t="s">
        <v>2720</v>
      </c>
    </row>
    <row r="344" spans="1:1" x14ac:dyDescent="0.25">
      <c r="A344" s="53" t="s">
        <v>3388</v>
      </c>
    </row>
    <row r="345" spans="1:1" x14ac:dyDescent="0.25">
      <c r="A345" s="53" t="s">
        <v>2864</v>
      </c>
    </row>
    <row r="346" spans="1:1" x14ac:dyDescent="0.25">
      <c r="A346" s="53" t="s">
        <v>2864</v>
      </c>
    </row>
    <row r="347" spans="1:1" x14ac:dyDescent="0.25">
      <c r="A347" s="53" t="s">
        <v>3408</v>
      </c>
    </row>
    <row r="348" spans="1:1" x14ac:dyDescent="0.25">
      <c r="A348" s="53" t="s">
        <v>2200</v>
      </c>
    </row>
    <row r="349" spans="1:1" x14ac:dyDescent="0.25">
      <c r="A349" s="53" t="s">
        <v>2724</v>
      </c>
    </row>
    <row r="350" spans="1:1" x14ac:dyDescent="0.25">
      <c r="A350" s="53" t="s">
        <v>3239</v>
      </c>
    </row>
    <row r="351" spans="1:1" x14ac:dyDescent="0.25">
      <c r="A351" s="53" t="s">
        <v>3239</v>
      </c>
    </row>
    <row r="352" spans="1:1" x14ac:dyDescent="0.25">
      <c r="A352" s="53" t="s">
        <v>3145</v>
      </c>
    </row>
    <row r="353" spans="1:1" x14ac:dyDescent="0.25">
      <c r="A353" s="53" t="s">
        <v>2425</v>
      </c>
    </row>
    <row r="354" spans="1:1" x14ac:dyDescent="0.25">
      <c r="A354" s="53" t="s">
        <v>2425</v>
      </c>
    </row>
    <row r="355" spans="1:1" x14ac:dyDescent="0.25">
      <c r="A355" s="53" t="s">
        <v>3390</v>
      </c>
    </row>
    <row r="356" spans="1:1" x14ac:dyDescent="0.25">
      <c r="A356" s="53" t="s">
        <v>2454</v>
      </c>
    </row>
    <row r="357" spans="1:1" x14ac:dyDescent="0.25">
      <c r="A357" s="53" t="s">
        <v>2829</v>
      </c>
    </row>
    <row r="358" spans="1:1" x14ac:dyDescent="0.25">
      <c r="A358" s="53" t="s">
        <v>2247</v>
      </c>
    </row>
    <row r="359" spans="1:1" x14ac:dyDescent="0.25">
      <c r="A359" s="53" t="s">
        <v>2097</v>
      </c>
    </row>
    <row r="360" spans="1:1" x14ac:dyDescent="0.25">
      <c r="A360" s="53" t="s">
        <v>2771</v>
      </c>
    </row>
    <row r="361" spans="1:1" x14ac:dyDescent="0.25">
      <c r="A361" s="53" t="s">
        <v>2586</v>
      </c>
    </row>
    <row r="362" spans="1:1" x14ac:dyDescent="0.25">
      <c r="A362" s="53" t="s">
        <v>2586</v>
      </c>
    </row>
    <row r="363" spans="1:1" x14ac:dyDescent="0.25">
      <c r="A363" s="53" t="s">
        <v>3445</v>
      </c>
    </row>
    <row r="364" spans="1:1" x14ac:dyDescent="0.25">
      <c r="A364" s="53" t="s">
        <v>2267</v>
      </c>
    </row>
    <row r="365" spans="1:1" x14ac:dyDescent="0.25">
      <c r="A365" s="53" t="s">
        <v>1921</v>
      </c>
    </row>
    <row r="366" spans="1:1" x14ac:dyDescent="0.25">
      <c r="A366" s="53" t="s">
        <v>3050</v>
      </c>
    </row>
    <row r="367" spans="1:1" x14ac:dyDescent="0.25">
      <c r="A367" s="53" t="s">
        <v>2826</v>
      </c>
    </row>
    <row r="368" spans="1:1" x14ac:dyDescent="0.25">
      <c r="A368" s="53" t="s">
        <v>3384</v>
      </c>
    </row>
    <row r="369" spans="1:1" x14ac:dyDescent="0.25">
      <c r="A369" s="53" t="s">
        <v>2910</v>
      </c>
    </row>
    <row r="370" spans="1:1" x14ac:dyDescent="0.25">
      <c r="A370" s="53" t="s">
        <v>2516</v>
      </c>
    </row>
    <row r="371" spans="1:1" x14ac:dyDescent="0.25">
      <c r="A371" s="53" t="s">
        <v>2516</v>
      </c>
    </row>
    <row r="372" spans="1:1" x14ac:dyDescent="0.25">
      <c r="A372" s="53" t="s">
        <v>3148</v>
      </c>
    </row>
    <row r="373" spans="1:1" x14ac:dyDescent="0.25">
      <c r="A373" s="53" t="s">
        <v>2238</v>
      </c>
    </row>
    <row r="374" spans="1:1" x14ac:dyDescent="0.25">
      <c r="A374" s="53" t="s">
        <v>2661</v>
      </c>
    </row>
    <row r="375" spans="1:1" x14ac:dyDescent="0.25">
      <c r="A375" s="53" t="s">
        <v>2893</v>
      </c>
    </row>
    <row r="376" spans="1:1" x14ac:dyDescent="0.25">
      <c r="A376" s="53" t="s">
        <v>3479</v>
      </c>
    </row>
    <row r="377" spans="1:1" x14ac:dyDescent="0.25">
      <c r="A377" s="53" t="s">
        <v>1928</v>
      </c>
    </row>
    <row r="378" spans="1:1" x14ac:dyDescent="0.25">
      <c r="A378" s="53" t="s">
        <v>3117</v>
      </c>
    </row>
    <row r="379" spans="1:1" x14ac:dyDescent="0.25">
      <c r="A379" s="53" t="s">
        <v>3334</v>
      </c>
    </row>
    <row r="380" spans="1:1" x14ac:dyDescent="0.25">
      <c r="A380" s="53" t="s">
        <v>3032</v>
      </c>
    </row>
    <row r="381" spans="1:1" x14ac:dyDescent="0.25">
      <c r="A381" s="53" t="s">
        <v>3037</v>
      </c>
    </row>
    <row r="382" spans="1:1" x14ac:dyDescent="0.25">
      <c r="A382" s="53" t="s">
        <v>1949</v>
      </c>
    </row>
    <row r="383" spans="1:1" x14ac:dyDescent="0.25">
      <c r="A383" s="53" t="s">
        <v>1949</v>
      </c>
    </row>
    <row r="384" spans="1:1" x14ac:dyDescent="0.25">
      <c r="A384" s="53" t="s">
        <v>3459</v>
      </c>
    </row>
    <row r="385" spans="1:1" x14ac:dyDescent="0.25">
      <c r="A385" s="53" t="s">
        <v>3459</v>
      </c>
    </row>
    <row r="386" spans="1:1" x14ac:dyDescent="0.25">
      <c r="A386" s="53" t="s">
        <v>2888</v>
      </c>
    </row>
    <row r="387" spans="1:1" x14ac:dyDescent="0.25">
      <c r="A387" s="53" t="s">
        <v>3091</v>
      </c>
    </row>
    <row r="388" spans="1:1" x14ac:dyDescent="0.25">
      <c r="A388" s="53" t="s">
        <v>3091</v>
      </c>
    </row>
    <row r="389" spans="1:1" x14ac:dyDescent="0.25">
      <c r="A389" s="53" t="s">
        <v>2620</v>
      </c>
    </row>
    <row r="390" spans="1:1" x14ac:dyDescent="0.25">
      <c r="A390" s="53" t="s">
        <v>2855</v>
      </c>
    </row>
    <row r="391" spans="1:1" x14ac:dyDescent="0.25">
      <c r="A391" s="53" t="s">
        <v>2465</v>
      </c>
    </row>
    <row r="392" spans="1:1" x14ac:dyDescent="0.25">
      <c r="A392" s="53" t="s">
        <v>2465</v>
      </c>
    </row>
    <row r="393" spans="1:1" x14ac:dyDescent="0.25">
      <c r="A393" s="53" t="s">
        <v>1933</v>
      </c>
    </row>
    <row r="394" spans="1:1" x14ac:dyDescent="0.25">
      <c r="A394" s="53" t="s">
        <v>3612</v>
      </c>
    </row>
    <row r="395" spans="1:1" x14ac:dyDescent="0.25">
      <c r="A395" s="53" t="s">
        <v>2958</v>
      </c>
    </row>
    <row r="396" spans="1:1" x14ac:dyDescent="0.25">
      <c r="A396" s="53" t="s">
        <v>2958</v>
      </c>
    </row>
    <row r="397" spans="1:1" x14ac:dyDescent="0.25">
      <c r="A397" s="53" t="s">
        <v>2118</v>
      </c>
    </row>
    <row r="398" spans="1:1" x14ac:dyDescent="0.25">
      <c r="A398" s="53" t="s">
        <v>2118</v>
      </c>
    </row>
    <row r="399" spans="1:1" x14ac:dyDescent="0.25">
      <c r="A399" s="53" t="s">
        <v>3252</v>
      </c>
    </row>
    <row r="400" spans="1:1" x14ac:dyDescent="0.25">
      <c r="A400" s="53" t="s">
        <v>3252</v>
      </c>
    </row>
    <row r="401" spans="1:1" x14ac:dyDescent="0.25">
      <c r="A401" s="53" t="s">
        <v>2073</v>
      </c>
    </row>
    <row r="402" spans="1:1" x14ac:dyDescent="0.25">
      <c r="A402" s="53" t="s">
        <v>2133</v>
      </c>
    </row>
    <row r="403" spans="1:1" x14ac:dyDescent="0.25">
      <c r="A403" s="53" t="s">
        <v>2133</v>
      </c>
    </row>
    <row r="404" spans="1:1" x14ac:dyDescent="0.25">
      <c r="A404" s="53" t="s">
        <v>3370</v>
      </c>
    </row>
    <row r="405" spans="1:1" x14ac:dyDescent="0.25">
      <c r="A405" s="53" t="s">
        <v>3411</v>
      </c>
    </row>
    <row r="406" spans="1:1" x14ac:dyDescent="0.25">
      <c r="A406" s="53" t="s">
        <v>3411</v>
      </c>
    </row>
    <row r="407" spans="1:1" x14ac:dyDescent="0.25">
      <c r="A407" s="53" t="s">
        <v>3072</v>
      </c>
    </row>
    <row r="408" spans="1:1" x14ac:dyDescent="0.25">
      <c r="A408" s="53" t="s">
        <v>3488</v>
      </c>
    </row>
    <row r="409" spans="1:1" x14ac:dyDescent="0.25">
      <c r="A409" s="53" t="s">
        <v>3616</v>
      </c>
    </row>
    <row r="410" spans="1:1" x14ac:dyDescent="0.25">
      <c r="A410" s="53" t="s">
        <v>3138</v>
      </c>
    </row>
    <row r="411" spans="1:1" x14ac:dyDescent="0.25">
      <c r="A411" s="53" t="s">
        <v>3010</v>
      </c>
    </row>
    <row r="412" spans="1:1" x14ac:dyDescent="0.25">
      <c r="A412" s="53" t="s">
        <v>3116</v>
      </c>
    </row>
    <row r="413" spans="1:1" x14ac:dyDescent="0.25">
      <c r="A413" s="53" t="s">
        <v>3503</v>
      </c>
    </row>
    <row r="414" spans="1:1" x14ac:dyDescent="0.25">
      <c r="A414" s="53" t="s">
        <v>3339</v>
      </c>
    </row>
    <row r="415" spans="1:1" x14ac:dyDescent="0.25">
      <c r="A415" s="53" t="s">
        <v>2764</v>
      </c>
    </row>
    <row r="416" spans="1:1" x14ac:dyDescent="0.25">
      <c r="A416" s="53" t="s">
        <v>2734</v>
      </c>
    </row>
    <row r="417" spans="1:1" x14ac:dyDescent="0.25">
      <c r="A417" s="53" t="s">
        <v>2656</v>
      </c>
    </row>
    <row r="418" spans="1:1" x14ac:dyDescent="0.25">
      <c r="A418" s="53" t="s">
        <v>3012</v>
      </c>
    </row>
    <row r="419" spans="1:1" x14ac:dyDescent="0.25">
      <c r="A419" s="53" t="s">
        <v>3413</v>
      </c>
    </row>
    <row r="420" spans="1:1" x14ac:dyDescent="0.25">
      <c r="A420" s="53" t="s">
        <v>2938</v>
      </c>
    </row>
    <row r="421" spans="1:1" x14ac:dyDescent="0.25">
      <c r="A421" s="53" t="s">
        <v>2231</v>
      </c>
    </row>
    <row r="422" spans="1:1" x14ac:dyDescent="0.25">
      <c r="A422" s="53" t="s">
        <v>2231</v>
      </c>
    </row>
    <row r="423" spans="1:1" x14ac:dyDescent="0.25">
      <c r="A423" s="53" t="s">
        <v>2684</v>
      </c>
    </row>
    <row r="424" spans="1:1" x14ac:dyDescent="0.25">
      <c r="A424" s="53" t="s">
        <v>3163</v>
      </c>
    </row>
    <row r="425" spans="1:1" x14ac:dyDescent="0.25">
      <c r="A425" s="53" t="s">
        <v>3079</v>
      </c>
    </row>
    <row r="426" spans="1:1" x14ac:dyDescent="0.25">
      <c r="A426" s="53" t="s">
        <v>3496</v>
      </c>
    </row>
    <row r="427" spans="1:1" x14ac:dyDescent="0.25">
      <c r="A427" s="53" t="s">
        <v>3496</v>
      </c>
    </row>
    <row r="428" spans="1:1" x14ac:dyDescent="0.25">
      <c r="A428" s="53" t="s">
        <v>3619</v>
      </c>
    </row>
    <row r="429" spans="1:1" x14ac:dyDescent="0.25">
      <c r="A429" s="53" t="s">
        <v>2660</v>
      </c>
    </row>
    <row r="430" spans="1:1" x14ac:dyDescent="0.25">
      <c r="A430" s="53" t="s">
        <v>2539</v>
      </c>
    </row>
    <row r="431" spans="1:1" x14ac:dyDescent="0.25">
      <c r="A431" s="53" t="s">
        <v>3340</v>
      </c>
    </row>
    <row r="432" spans="1:1" x14ac:dyDescent="0.25">
      <c r="A432" s="53" t="s">
        <v>2173</v>
      </c>
    </row>
    <row r="433" spans="1:1" x14ac:dyDescent="0.25">
      <c r="A433" s="53" t="s">
        <v>2926</v>
      </c>
    </row>
    <row r="434" spans="1:1" x14ac:dyDescent="0.25">
      <c r="A434" s="53" t="s">
        <v>2911</v>
      </c>
    </row>
    <row r="435" spans="1:1" x14ac:dyDescent="0.25">
      <c r="A435" s="53" t="s">
        <v>2911</v>
      </c>
    </row>
    <row r="436" spans="1:1" x14ac:dyDescent="0.25">
      <c r="A436" s="53" t="s">
        <v>3164</v>
      </c>
    </row>
    <row r="437" spans="1:1" x14ac:dyDescent="0.25">
      <c r="A437" s="53" t="s">
        <v>3374</v>
      </c>
    </row>
    <row r="438" spans="1:1" x14ac:dyDescent="0.25">
      <c r="A438" s="53" t="s">
        <v>2491</v>
      </c>
    </row>
    <row r="439" spans="1:1" x14ac:dyDescent="0.25">
      <c r="A439" s="53" t="s">
        <v>3426</v>
      </c>
    </row>
    <row r="440" spans="1:1" x14ac:dyDescent="0.25">
      <c r="A440" s="53" t="s">
        <v>2891</v>
      </c>
    </row>
    <row r="441" spans="1:1" x14ac:dyDescent="0.25">
      <c r="A441" s="53" t="s">
        <v>2181</v>
      </c>
    </row>
    <row r="442" spans="1:1" x14ac:dyDescent="0.25">
      <c r="A442" s="53" t="s">
        <v>2181</v>
      </c>
    </row>
    <row r="443" spans="1:1" x14ac:dyDescent="0.25">
      <c r="A443" s="53" t="s">
        <v>2190</v>
      </c>
    </row>
    <row r="444" spans="1:1" x14ac:dyDescent="0.25">
      <c r="A444" s="53" t="s">
        <v>2190</v>
      </c>
    </row>
    <row r="445" spans="1:1" x14ac:dyDescent="0.25">
      <c r="A445" s="53" t="s">
        <v>3144</v>
      </c>
    </row>
    <row r="446" spans="1:1" x14ac:dyDescent="0.25">
      <c r="A446" s="53" t="s">
        <v>3296</v>
      </c>
    </row>
    <row r="447" spans="1:1" x14ac:dyDescent="0.25">
      <c r="A447" s="53" t="s">
        <v>3296</v>
      </c>
    </row>
    <row r="448" spans="1:1" x14ac:dyDescent="0.25">
      <c r="A448" s="53" t="s">
        <v>3209</v>
      </c>
    </row>
    <row r="449" spans="1:1" x14ac:dyDescent="0.25">
      <c r="A449" s="53" t="s">
        <v>2081</v>
      </c>
    </row>
    <row r="450" spans="1:1" x14ac:dyDescent="0.25">
      <c r="A450" s="53" t="s">
        <v>2081</v>
      </c>
    </row>
    <row r="451" spans="1:1" x14ac:dyDescent="0.25">
      <c r="A451" s="53" t="s">
        <v>2360</v>
      </c>
    </row>
    <row r="452" spans="1:1" x14ac:dyDescent="0.25">
      <c r="A452" s="53" t="s">
        <v>2360</v>
      </c>
    </row>
    <row r="453" spans="1:1" x14ac:dyDescent="0.25">
      <c r="A453" s="53" t="s">
        <v>2889</v>
      </c>
    </row>
    <row r="454" spans="1:1" x14ac:dyDescent="0.25">
      <c r="A454" s="53" t="s">
        <v>2918</v>
      </c>
    </row>
    <row r="455" spans="1:1" x14ac:dyDescent="0.25">
      <c r="A455" s="53" t="s">
        <v>2918</v>
      </c>
    </row>
    <row r="456" spans="1:1" x14ac:dyDescent="0.25">
      <c r="A456" s="53" t="s">
        <v>2816</v>
      </c>
    </row>
    <row r="457" spans="1:1" x14ac:dyDescent="0.25">
      <c r="A457" s="53" t="s">
        <v>3367</v>
      </c>
    </row>
    <row r="458" spans="1:1" x14ac:dyDescent="0.25">
      <c r="A458" s="53" t="s">
        <v>2961</v>
      </c>
    </row>
    <row r="459" spans="1:1" x14ac:dyDescent="0.25">
      <c r="A459" s="53" t="s">
        <v>2961</v>
      </c>
    </row>
    <row r="460" spans="1:1" x14ac:dyDescent="0.25">
      <c r="A460" s="53" t="s">
        <v>1908</v>
      </c>
    </row>
    <row r="461" spans="1:1" x14ac:dyDescent="0.25">
      <c r="A461" s="53" t="s">
        <v>2302</v>
      </c>
    </row>
    <row r="462" spans="1:1" x14ac:dyDescent="0.25">
      <c r="A462" s="53" t="s">
        <v>3141</v>
      </c>
    </row>
    <row r="463" spans="1:1" x14ac:dyDescent="0.25">
      <c r="A463" s="53" t="s">
        <v>3363</v>
      </c>
    </row>
    <row r="464" spans="1:1" x14ac:dyDescent="0.25">
      <c r="A464" s="53" t="s">
        <v>2126</v>
      </c>
    </row>
    <row r="465" spans="1:1" x14ac:dyDescent="0.25">
      <c r="A465" s="53" t="s">
        <v>2921</v>
      </c>
    </row>
    <row r="466" spans="1:1" x14ac:dyDescent="0.25">
      <c r="A466" s="53" t="s">
        <v>2815</v>
      </c>
    </row>
    <row r="467" spans="1:1" x14ac:dyDescent="0.25">
      <c r="A467" s="53" t="s">
        <v>2815</v>
      </c>
    </row>
    <row r="468" spans="1:1" x14ac:dyDescent="0.25">
      <c r="A468" s="53" t="s">
        <v>3049</v>
      </c>
    </row>
    <row r="469" spans="1:1" x14ac:dyDescent="0.25">
      <c r="A469" s="53" t="s">
        <v>2338</v>
      </c>
    </row>
    <row r="470" spans="1:1" x14ac:dyDescent="0.25">
      <c r="A470" s="53" t="s">
        <v>3203</v>
      </c>
    </row>
    <row r="471" spans="1:1" x14ac:dyDescent="0.25">
      <c r="A471" s="53" t="s">
        <v>3094</v>
      </c>
    </row>
    <row r="472" spans="1:1" x14ac:dyDescent="0.25">
      <c r="A472" s="53" t="s">
        <v>3094</v>
      </c>
    </row>
    <row r="473" spans="1:1" x14ac:dyDescent="0.25">
      <c r="A473" s="53" t="s">
        <v>3001</v>
      </c>
    </row>
    <row r="474" spans="1:1" x14ac:dyDescent="0.25">
      <c r="A474" s="53" t="s">
        <v>2277</v>
      </c>
    </row>
    <row r="475" spans="1:1" x14ac:dyDescent="0.25">
      <c r="A475" s="53" t="s">
        <v>3011</v>
      </c>
    </row>
    <row r="476" spans="1:1" x14ac:dyDescent="0.25">
      <c r="A476" s="53" t="s">
        <v>2860</v>
      </c>
    </row>
    <row r="477" spans="1:1" x14ac:dyDescent="0.25">
      <c r="A477" s="53" t="s">
        <v>2122</v>
      </c>
    </row>
    <row r="478" spans="1:1" x14ac:dyDescent="0.25">
      <c r="A478" s="53" t="s">
        <v>3620</v>
      </c>
    </row>
    <row r="479" spans="1:1" x14ac:dyDescent="0.25">
      <c r="A479" s="53" t="s">
        <v>3620</v>
      </c>
    </row>
    <row r="480" spans="1:1" x14ac:dyDescent="0.25">
      <c r="A480" s="53" t="s">
        <v>3217</v>
      </c>
    </row>
    <row r="481" spans="1:1" x14ac:dyDescent="0.25">
      <c r="A481" s="53" t="s">
        <v>2593</v>
      </c>
    </row>
    <row r="482" spans="1:1" x14ac:dyDescent="0.25">
      <c r="A482" s="53" t="s">
        <v>2593</v>
      </c>
    </row>
    <row r="483" spans="1:1" x14ac:dyDescent="0.25">
      <c r="A483" s="53" t="s">
        <v>2474</v>
      </c>
    </row>
    <row r="484" spans="1:1" x14ac:dyDescent="0.25">
      <c r="A484" s="53" t="s">
        <v>2474</v>
      </c>
    </row>
    <row r="485" spans="1:1" x14ac:dyDescent="0.25">
      <c r="A485" s="53" t="s">
        <v>3263</v>
      </c>
    </row>
    <row r="486" spans="1:1" x14ac:dyDescent="0.25">
      <c r="A486" s="53" t="s">
        <v>3263</v>
      </c>
    </row>
    <row r="487" spans="1:1" x14ac:dyDescent="0.25">
      <c r="A487" s="53" t="s">
        <v>2769</v>
      </c>
    </row>
    <row r="488" spans="1:1" x14ac:dyDescent="0.25">
      <c r="A488" s="53" t="s">
        <v>3366</v>
      </c>
    </row>
    <row r="489" spans="1:1" x14ac:dyDescent="0.25">
      <c r="A489" s="53" t="s">
        <v>2042</v>
      </c>
    </row>
    <row r="490" spans="1:1" x14ac:dyDescent="0.25">
      <c r="A490" s="53" t="s">
        <v>3421</v>
      </c>
    </row>
    <row r="491" spans="1:1" x14ac:dyDescent="0.25">
      <c r="A491" s="53" t="s">
        <v>3099</v>
      </c>
    </row>
    <row r="492" spans="1:1" x14ac:dyDescent="0.25">
      <c r="A492" s="53" t="s">
        <v>1975</v>
      </c>
    </row>
    <row r="493" spans="1:1" x14ac:dyDescent="0.25">
      <c r="A493" s="53" t="s">
        <v>2610</v>
      </c>
    </row>
    <row r="494" spans="1:1" x14ac:dyDescent="0.25">
      <c r="A494" s="53" t="s">
        <v>3128</v>
      </c>
    </row>
    <row r="495" spans="1:1" x14ac:dyDescent="0.25">
      <c r="A495" s="53" t="s">
        <v>2802</v>
      </c>
    </row>
    <row r="496" spans="1:1" x14ac:dyDescent="0.25">
      <c r="A496" s="53" t="s">
        <v>3495</v>
      </c>
    </row>
    <row r="497" spans="1:1" x14ac:dyDescent="0.25">
      <c r="A497" s="53" t="s">
        <v>3495</v>
      </c>
    </row>
    <row r="498" spans="1:1" x14ac:dyDescent="0.25">
      <c r="A498" s="53" t="s">
        <v>2866</v>
      </c>
    </row>
    <row r="499" spans="1:1" x14ac:dyDescent="0.25">
      <c r="A499" s="53" t="s">
        <v>1981</v>
      </c>
    </row>
    <row r="500" spans="1:1" x14ac:dyDescent="0.25">
      <c r="A500" s="53" t="s">
        <v>1981</v>
      </c>
    </row>
    <row r="501" spans="1:1" x14ac:dyDescent="0.25">
      <c r="A501" s="53" t="s">
        <v>2350</v>
      </c>
    </row>
    <row r="502" spans="1:1" x14ac:dyDescent="0.25">
      <c r="A502" s="53" t="s">
        <v>2350</v>
      </c>
    </row>
    <row r="503" spans="1:1" x14ac:dyDescent="0.25">
      <c r="A503" s="53" t="s">
        <v>2605</v>
      </c>
    </row>
    <row r="504" spans="1:1" x14ac:dyDescent="0.25">
      <c r="A504" s="53" t="s">
        <v>2623</v>
      </c>
    </row>
    <row r="505" spans="1:1" x14ac:dyDescent="0.25">
      <c r="A505" s="53" t="s">
        <v>2991</v>
      </c>
    </row>
    <row r="506" spans="1:1" x14ac:dyDescent="0.25">
      <c r="A506" s="53" t="s">
        <v>3051</v>
      </c>
    </row>
    <row r="507" spans="1:1" x14ac:dyDescent="0.25">
      <c r="A507" s="53" t="s">
        <v>3480</v>
      </c>
    </row>
    <row r="508" spans="1:1" x14ac:dyDescent="0.25">
      <c r="A508" s="53" t="s">
        <v>3150</v>
      </c>
    </row>
    <row r="509" spans="1:1" x14ac:dyDescent="0.25">
      <c r="A509" s="53" t="s">
        <v>1997</v>
      </c>
    </row>
    <row r="510" spans="1:1" x14ac:dyDescent="0.25">
      <c r="A510" s="53" t="s">
        <v>3282</v>
      </c>
    </row>
    <row r="511" spans="1:1" x14ac:dyDescent="0.25">
      <c r="A511" s="53" t="s">
        <v>3282</v>
      </c>
    </row>
    <row r="512" spans="1:1" x14ac:dyDescent="0.25">
      <c r="A512" s="53" t="s">
        <v>2988</v>
      </c>
    </row>
    <row r="513" spans="1:1" x14ac:dyDescent="0.25">
      <c r="A513" s="53" t="s">
        <v>2675</v>
      </c>
    </row>
    <row r="514" spans="1:1" x14ac:dyDescent="0.25">
      <c r="A514" s="53" t="s">
        <v>1941</v>
      </c>
    </row>
    <row r="515" spans="1:1" x14ac:dyDescent="0.25">
      <c r="A515" s="53" t="s">
        <v>1941</v>
      </c>
    </row>
    <row r="516" spans="1:1" x14ac:dyDescent="0.25">
      <c r="A516" s="53" t="s">
        <v>3004</v>
      </c>
    </row>
    <row r="517" spans="1:1" x14ac:dyDescent="0.25">
      <c r="A517" s="53" t="s">
        <v>2004</v>
      </c>
    </row>
    <row r="518" spans="1:1" x14ac:dyDescent="0.25">
      <c r="A518" s="53" t="s">
        <v>2004</v>
      </c>
    </row>
    <row r="519" spans="1:1" x14ac:dyDescent="0.25">
      <c r="A519" s="53" t="s">
        <v>2002</v>
      </c>
    </row>
    <row r="520" spans="1:1" x14ac:dyDescent="0.25">
      <c r="A520" s="53" t="s">
        <v>2002</v>
      </c>
    </row>
    <row r="521" spans="1:1" x14ac:dyDescent="0.25">
      <c r="A521" s="53" t="s">
        <v>3589</v>
      </c>
    </row>
    <row r="522" spans="1:1" x14ac:dyDescent="0.25">
      <c r="A522" s="53" t="s">
        <v>2241</v>
      </c>
    </row>
    <row r="523" spans="1:1" x14ac:dyDescent="0.25">
      <c r="A523" s="53" t="s">
        <v>3583</v>
      </c>
    </row>
    <row r="524" spans="1:1" x14ac:dyDescent="0.25">
      <c r="A524" s="53" t="s">
        <v>3205</v>
      </c>
    </row>
    <row r="525" spans="1:1" x14ac:dyDescent="0.25">
      <c r="A525" s="53" t="s">
        <v>2849</v>
      </c>
    </row>
    <row r="526" spans="1:1" x14ac:dyDescent="0.25">
      <c r="A526" s="53" t="s">
        <v>2849</v>
      </c>
    </row>
    <row r="527" spans="1:1" x14ac:dyDescent="0.25">
      <c r="A527" s="53" t="s">
        <v>3464</v>
      </c>
    </row>
    <row r="528" spans="1:1" x14ac:dyDescent="0.25">
      <c r="A528" s="53" t="s">
        <v>3175</v>
      </c>
    </row>
    <row r="529" spans="1:1" x14ac:dyDescent="0.25">
      <c r="A529" s="53" t="s">
        <v>3175</v>
      </c>
    </row>
    <row r="530" spans="1:1" x14ac:dyDescent="0.25">
      <c r="A530" s="53" t="s">
        <v>2393</v>
      </c>
    </row>
    <row r="531" spans="1:1" x14ac:dyDescent="0.25">
      <c r="A531" s="53" t="s">
        <v>2393</v>
      </c>
    </row>
    <row r="532" spans="1:1" x14ac:dyDescent="0.25">
      <c r="A532" s="53" t="s">
        <v>3615</v>
      </c>
    </row>
    <row r="533" spans="1:1" x14ac:dyDescent="0.25">
      <c r="A533" s="53" t="s">
        <v>3192</v>
      </c>
    </row>
    <row r="534" spans="1:1" x14ac:dyDescent="0.25">
      <c r="A534" s="53" t="s">
        <v>3186</v>
      </c>
    </row>
    <row r="535" spans="1:1" x14ac:dyDescent="0.25">
      <c r="A535" s="53" t="s">
        <v>2517</v>
      </c>
    </row>
    <row r="536" spans="1:1" x14ac:dyDescent="0.25">
      <c r="A536" s="53" t="s">
        <v>2517</v>
      </c>
    </row>
    <row r="537" spans="1:1" x14ac:dyDescent="0.25">
      <c r="A537" s="53" t="s">
        <v>3377</v>
      </c>
    </row>
    <row r="538" spans="1:1" x14ac:dyDescent="0.25">
      <c r="A538" s="53" t="s">
        <v>3221</v>
      </c>
    </row>
    <row r="539" spans="1:1" x14ac:dyDescent="0.25">
      <c r="A539" s="53" t="s">
        <v>2792</v>
      </c>
    </row>
    <row r="540" spans="1:1" x14ac:dyDescent="0.25">
      <c r="A540" s="53" t="s">
        <v>3053</v>
      </c>
    </row>
    <row r="541" spans="1:1" x14ac:dyDescent="0.25">
      <c r="A541" s="53" t="s">
        <v>3494</v>
      </c>
    </row>
    <row r="542" spans="1:1" x14ac:dyDescent="0.25">
      <c r="A542" s="53" t="s">
        <v>2688</v>
      </c>
    </row>
    <row r="543" spans="1:1" x14ac:dyDescent="0.25">
      <c r="A543" s="53" t="s">
        <v>2880</v>
      </c>
    </row>
    <row r="544" spans="1:1" x14ac:dyDescent="0.25">
      <c r="A544" s="53" t="s">
        <v>2667</v>
      </c>
    </row>
    <row r="545" spans="1:1" x14ac:dyDescent="0.25">
      <c r="A545" s="53" t="s">
        <v>3321</v>
      </c>
    </row>
    <row r="546" spans="1:1" x14ac:dyDescent="0.25">
      <c r="A546" s="53" t="s">
        <v>3483</v>
      </c>
    </row>
    <row r="547" spans="1:1" x14ac:dyDescent="0.25">
      <c r="A547" s="53" t="s">
        <v>2371</v>
      </c>
    </row>
    <row r="548" spans="1:1" x14ac:dyDescent="0.25">
      <c r="A548" s="53" t="s">
        <v>2371</v>
      </c>
    </row>
    <row r="549" spans="1:1" x14ac:dyDescent="0.25">
      <c r="A549" s="53" t="s">
        <v>2929</v>
      </c>
    </row>
    <row r="550" spans="1:1" x14ac:dyDescent="0.25">
      <c r="A550" s="53" t="s">
        <v>1916</v>
      </c>
    </row>
    <row r="551" spans="1:1" x14ac:dyDescent="0.25">
      <c r="A551" s="53" t="s">
        <v>1916</v>
      </c>
    </row>
    <row r="552" spans="1:1" x14ac:dyDescent="0.25">
      <c r="A552" s="53" t="s">
        <v>2206</v>
      </c>
    </row>
    <row r="553" spans="1:1" x14ac:dyDescent="0.25">
      <c r="A553" s="53" t="s">
        <v>1920</v>
      </c>
    </row>
    <row r="554" spans="1:1" x14ac:dyDescent="0.25">
      <c r="A554" s="53" t="s">
        <v>2827</v>
      </c>
    </row>
    <row r="555" spans="1:1" x14ac:dyDescent="0.25">
      <c r="A555" s="53" t="s">
        <v>2827</v>
      </c>
    </row>
    <row r="556" spans="1:1" x14ac:dyDescent="0.25">
      <c r="A556" s="53" t="s">
        <v>2814</v>
      </c>
    </row>
    <row r="557" spans="1:1" x14ac:dyDescent="0.25">
      <c r="A557" s="53" t="s">
        <v>2814</v>
      </c>
    </row>
    <row r="558" spans="1:1" x14ac:dyDescent="0.25">
      <c r="A558" s="53" t="s">
        <v>3359</v>
      </c>
    </row>
    <row r="559" spans="1:1" x14ac:dyDescent="0.25">
      <c r="A559" s="53" t="s">
        <v>2725</v>
      </c>
    </row>
    <row r="560" spans="1:1" x14ac:dyDescent="0.25">
      <c r="A560" s="53" t="s">
        <v>3112</v>
      </c>
    </row>
    <row r="561" spans="1:1" x14ac:dyDescent="0.25">
      <c r="A561" s="53" t="s">
        <v>3112</v>
      </c>
    </row>
    <row r="562" spans="1:1" x14ac:dyDescent="0.25">
      <c r="A562" s="53" t="s">
        <v>2155</v>
      </c>
    </row>
    <row r="563" spans="1:1" x14ac:dyDescent="0.25">
      <c r="A563" s="53" t="s">
        <v>2155</v>
      </c>
    </row>
    <row r="564" spans="1:1" x14ac:dyDescent="0.25">
      <c r="A564" s="53" t="s">
        <v>3028</v>
      </c>
    </row>
    <row r="565" spans="1:1" x14ac:dyDescent="0.25">
      <c r="A565" s="53" t="s">
        <v>3313</v>
      </c>
    </row>
    <row r="566" spans="1:1" x14ac:dyDescent="0.25">
      <c r="A566" s="53" t="s">
        <v>2047</v>
      </c>
    </row>
    <row r="567" spans="1:1" x14ac:dyDescent="0.25">
      <c r="A567" s="53" t="s">
        <v>2800</v>
      </c>
    </row>
    <row r="568" spans="1:1" x14ac:dyDescent="0.25">
      <c r="A568" s="53" t="s">
        <v>2800</v>
      </c>
    </row>
    <row r="569" spans="1:1" x14ac:dyDescent="0.25">
      <c r="A569" s="53" t="s">
        <v>2535</v>
      </c>
    </row>
    <row r="570" spans="1:1" x14ac:dyDescent="0.25">
      <c r="A570" s="53" t="s">
        <v>2535</v>
      </c>
    </row>
    <row r="571" spans="1:1" x14ac:dyDescent="0.25">
      <c r="A571" s="53" t="s">
        <v>2438</v>
      </c>
    </row>
    <row r="572" spans="1:1" x14ac:dyDescent="0.25">
      <c r="A572" s="53" t="s">
        <v>2438</v>
      </c>
    </row>
    <row r="573" spans="1:1" x14ac:dyDescent="0.25">
      <c r="A573" s="53" t="s">
        <v>3260</v>
      </c>
    </row>
    <row r="574" spans="1:1" x14ac:dyDescent="0.25">
      <c r="A574" s="53" t="s">
        <v>2803</v>
      </c>
    </row>
    <row r="575" spans="1:1" x14ac:dyDescent="0.25">
      <c r="A575" s="53" t="s">
        <v>2803</v>
      </c>
    </row>
    <row r="576" spans="1:1" x14ac:dyDescent="0.25">
      <c r="A576" s="53" t="s">
        <v>3497</v>
      </c>
    </row>
    <row r="577" spans="1:1" x14ac:dyDescent="0.25">
      <c r="A577" s="53" t="s">
        <v>3034</v>
      </c>
    </row>
    <row r="578" spans="1:1" x14ac:dyDescent="0.25">
      <c r="A578" s="53" t="s">
        <v>3034</v>
      </c>
    </row>
    <row r="579" spans="1:1" x14ac:dyDescent="0.25">
      <c r="A579" s="53" t="s">
        <v>3378</v>
      </c>
    </row>
    <row r="580" spans="1:1" x14ac:dyDescent="0.25">
      <c r="A580" s="53" t="s">
        <v>2834</v>
      </c>
    </row>
    <row r="581" spans="1:1" x14ac:dyDescent="0.25">
      <c r="A581" s="53" t="s">
        <v>3425</v>
      </c>
    </row>
    <row r="582" spans="1:1" x14ac:dyDescent="0.25">
      <c r="A582" s="53" t="s">
        <v>2914</v>
      </c>
    </row>
    <row r="583" spans="1:1" x14ac:dyDescent="0.25">
      <c r="A583" s="53" t="s">
        <v>2127</v>
      </c>
    </row>
    <row r="584" spans="1:1" x14ac:dyDescent="0.25">
      <c r="A584" s="53" t="s">
        <v>2127</v>
      </c>
    </row>
    <row r="585" spans="1:1" x14ac:dyDescent="0.25">
      <c r="A585" s="53" t="s">
        <v>2149</v>
      </c>
    </row>
    <row r="586" spans="1:1" x14ac:dyDescent="0.25">
      <c r="A586" s="53" t="s">
        <v>2015</v>
      </c>
    </row>
    <row r="587" spans="1:1" x14ac:dyDescent="0.25">
      <c r="A587" s="53" t="s">
        <v>2015</v>
      </c>
    </row>
    <row r="588" spans="1:1" x14ac:dyDescent="0.25">
      <c r="A588" s="53" t="s">
        <v>2899</v>
      </c>
    </row>
    <row r="589" spans="1:1" x14ac:dyDescent="0.25">
      <c r="A589" s="53" t="s">
        <v>2899</v>
      </c>
    </row>
    <row r="590" spans="1:1" x14ac:dyDescent="0.25">
      <c r="A590" s="53" t="s">
        <v>3545</v>
      </c>
    </row>
    <row r="591" spans="1:1" x14ac:dyDescent="0.25">
      <c r="A591" s="53" t="s">
        <v>3181</v>
      </c>
    </row>
    <row r="592" spans="1:1" x14ac:dyDescent="0.25">
      <c r="A592" s="53" t="s">
        <v>3181</v>
      </c>
    </row>
    <row r="593" spans="1:1" x14ac:dyDescent="0.25">
      <c r="A593" s="53" t="s">
        <v>2750</v>
      </c>
    </row>
    <row r="594" spans="1:1" x14ac:dyDescent="0.25">
      <c r="A594" s="53" t="s">
        <v>3022</v>
      </c>
    </row>
    <row r="595" spans="1:1" x14ac:dyDescent="0.25">
      <c r="A595" s="53" t="s">
        <v>3022</v>
      </c>
    </row>
    <row r="596" spans="1:1" x14ac:dyDescent="0.25">
      <c r="A596" s="53" t="s">
        <v>3683</v>
      </c>
    </row>
    <row r="597" spans="1:1" x14ac:dyDescent="0.25">
      <c r="A597" s="53" t="s">
        <v>3683</v>
      </c>
    </row>
    <row r="598" spans="1:1" x14ac:dyDescent="0.25">
      <c r="A598" s="53" t="s">
        <v>3312</v>
      </c>
    </row>
    <row r="599" spans="1:1" x14ac:dyDescent="0.25">
      <c r="A599" s="53" t="s">
        <v>3312</v>
      </c>
    </row>
    <row r="600" spans="1:1" x14ac:dyDescent="0.25">
      <c r="A600" s="53" t="s">
        <v>2216</v>
      </c>
    </row>
    <row r="601" spans="1:1" x14ac:dyDescent="0.25">
      <c r="A601" s="53" t="s">
        <v>3475</v>
      </c>
    </row>
    <row r="602" spans="1:1" x14ac:dyDescent="0.25">
      <c r="A602" s="53" t="s">
        <v>3475</v>
      </c>
    </row>
    <row r="603" spans="1:1" x14ac:dyDescent="0.25">
      <c r="A603" s="53" t="s">
        <v>2014</v>
      </c>
    </row>
    <row r="604" spans="1:1" x14ac:dyDescent="0.25">
      <c r="A604" s="53" t="s">
        <v>2696</v>
      </c>
    </row>
    <row r="605" spans="1:1" x14ac:dyDescent="0.25">
      <c r="A605" s="53" t="s">
        <v>3403</v>
      </c>
    </row>
    <row r="606" spans="1:1" x14ac:dyDescent="0.25">
      <c r="A606" s="53" t="s">
        <v>3403</v>
      </c>
    </row>
    <row r="607" spans="1:1" x14ac:dyDescent="0.25">
      <c r="A607" s="53" t="s">
        <v>2309</v>
      </c>
    </row>
    <row r="608" spans="1:1" x14ac:dyDescent="0.25">
      <c r="A608" s="53" t="s">
        <v>1943</v>
      </c>
    </row>
    <row r="609" spans="1:1" x14ac:dyDescent="0.25">
      <c r="A609" s="53" t="s">
        <v>3155</v>
      </c>
    </row>
    <row r="610" spans="1:1" x14ac:dyDescent="0.25">
      <c r="A610" s="53" t="s">
        <v>3410</v>
      </c>
    </row>
    <row r="611" spans="1:1" x14ac:dyDescent="0.25">
      <c r="A611" s="53" t="s">
        <v>3410</v>
      </c>
    </row>
    <row r="612" spans="1:1" x14ac:dyDescent="0.25">
      <c r="A612" s="53" t="s">
        <v>2781</v>
      </c>
    </row>
    <row r="613" spans="1:1" x14ac:dyDescent="0.25">
      <c r="A613" s="53" t="s">
        <v>3232</v>
      </c>
    </row>
    <row r="614" spans="1:1" x14ac:dyDescent="0.25">
      <c r="A614" s="53" t="s">
        <v>2140</v>
      </c>
    </row>
    <row r="615" spans="1:1" x14ac:dyDescent="0.25">
      <c r="A615" s="53" t="s">
        <v>2140</v>
      </c>
    </row>
    <row r="616" spans="1:1" x14ac:dyDescent="0.25">
      <c r="A616" s="53" t="s">
        <v>2960</v>
      </c>
    </row>
    <row r="617" spans="1:1" x14ac:dyDescent="0.25">
      <c r="A617" s="53" t="s">
        <v>2960</v>
      </c>
    </row>
    <row r="618" spans="1:1" x14ac:dyDescent="0.25">
      <c r="A618" s="53" t="s">
        <v>2648</v>
      </c>
    </row>
    <row r="619" spans="1:1" x14ac:dyDescent="0.25">
      <c r="A619" s="53" t="s">
        <v>3195</v>
      </c>
    </row>
    <row r="620" spans="1:1" x14ac:dyDescent="0.25">
      <c r="A620" s="53" t="s">
        <v>3060</v>
      </c>
    </row>
    <row r="621" spans="1:1" x14ac:dyDescent="0.25">
      <c r="A621" s="53" t="s">
        <v>2673</v>
      </c>
    </row>
    <row r="622" spans="1:1" x14ac:dyDescent="0.25">
      <c r="A622" s="53" t="s">
        <v>2673</v>
      </c>
    </row>
    <row r="623" spans="1:1" x14ac:dyDescent="0.25">
      <c r="A623" s="53" t="s">
        <v>2142</v>
      </c>
    </row>
    <row r="624" spans="1:1" x14ac:dyDescent="0.25">
      <c r="A624" s="53" t="s">
        <v>2142</v>
      </c>
    </row>
    <row r="625" spans="1:1" x14ac:dyDescent="0.25">
      <c r="A625" s="53" t="s">
        <v>3118</v>
      </c>
    </row>
    <row r="626" spans="1:1" x14ac:dyDescent="0.25">
      <c r="A626" s="53" t="s">
        <v>3118</v>
      </c>
    </row>
    <row r="627" spans="1:1" x14ac:dyDescent="0.25">
      <c r="A627" s="53" t="s">
        <v>3444</v>
      </c>
    </row>
    <row r="628" spans="1:1" x14ac:dyDescent="0.25">
      <c r="A628" s="53" t="s">
        <v>2957</v>
      </c>
    </row>
    <row r="629" spans="1:1" x14ac:dyDescent="0.25">
      <c r="A629" s="53" t="s">
        <v>2957</v>
      </c>
    </row>
    <row r="630" spans="1:1" x14ac:dyDescent="0.25">
      <c r="A630" s="53" t="s">
        <v>3310</v>
      </c>
    </row>
    <row r="631" spans="1:1" x14ac:dyDescent="0.25">
      <c r="A631" s="53" t="s">
        <v>3310</v>
      </c>
    </row>
    <row r="632" spans="1:1" x14ac:dyDescent="0.25">
      <c r="A632" s="53" t="s">
        <v>3062</v>
      </c>
    </row>
    <row r="633" spans="1:1" x14ac:dyDescent="0.25">
      <c r="A633" s="53" t="s">
        <v>2851</v>
      </c>
    </row>
    <row r="634" spans="1:1" x14ac:dyDescent="0.25">
      <c r="A634" s="53" t="s">
        <v>2884</v>
      </c>
    </row>
    <row r="635" spans="1:1" x14ac:dyDescent="0.25">
      <c r="A635" s="53" t="s">
        <v>2785</v>
      </c>
    </row>
    <row r="636" spans="1:1" x14ac:dyDescent="0.25">
      <c r="A636" s="53" t="s">
        <v>1991</v>
      </c>
    </row>
    <row r="637" spans="1:1" x14ac:dyDescent="0.25">
      <c r="A637" s="53" t="s">
        <v>2948</v>
      </c>
    </row>
    <row r="638" spans="1:1" x14ac:dyDescent="0.25">
      <c r="A638" s="53" t="s">
        <v>2948</v>
      </c>
    </row>
    <row r="639" spans="1:1" x14ac:dyDescent="0.25">
      <c r="A639" s="53" t="s">
        <v>3214</v>
      </c>
    </row>
    <row r="640" spans="1:1" x14ac:dyDescent="0.25">
      <c r="A640" s="53" t="s">
        <v>2646</v>
      </c>
    </row>
    <row r="641" spans="1:1" x14ac:dyDescent="0.25">
      <c r="A641" s="53" t="s">
        <v>2106</v>
      </c>
    </row>
    <row r="642" spans="1:1" x14ac:dyDescent="0.25">
      <c r="A642" s="53" t="s">
        <v>2106</v>
      </c>
    </row>
    <row r="643" spans="1:1" x14ac:dyDescent="0.25">
      <c r="A643" s="53" t="s">
        <v>2268</v>
      </c>
    </row>
    <row r="644" spans="1:1" x14ac:dyDescent="0.25">
      <c r="A644" s="53" t="s">
        <v>1919</v>
      </c>
    </row>
    <row r="645" spans="1:1" x14ac:dyDescent="0.25">
      <c r="A645" s="53" t="s">
        <v>2475</v>
      </c>
    </row>
    <row r="646" spans="1:1" x14ac:dyDescent="0.25">
      <c r="A646" s="53" t="s">
        <v>3342</v>
      </c>
    </row>
    <row r="647" spans="1:1" x14ac:dyDescent="0.25">
      <c r="A647" s="53" t="s">
        <v>3246</v>
      </c>
    </row>
    <row r="648" spans="1:1" x14ac:dyDescent="0.25">
      <c r="A648" s="53" t="s">
        <v>3246</v>
      </c>
    </row>
    <row r="649" spans="1:1" x14ac:dyDescent="0.25">
      <c r="A649" s="53" t="s">
        <v>2471</v>
      </c>
    </row>
    <row r="650" spans="1:1" x14ac:dyDescent="0.25">
      <c r="A650" s="53" t="s">
        <v>2471</v>
      </c>
    </row>
    <row r="651" spans="1:1" x14ac:dyDescent="0.25">
      <c r="A651" s="53" t="s">
        <v>3018</v>
      </c>
    </row>
    <row r="652" spans="1:1" x14ac:dyDescent="0.25">
      <c r="A652" s="53" t="s">
        <v>3477</v>
      </c>
    </row>
    <row r="653" spans="1:1" x14ac:dyDescent="0.25">
      <c r="A653" s="53" t="s">
        <v>3515</v>
      </c>
    </row>
    <row r="654" spans="1:1" x14ac:dyDescent="0.25">
      <c r="A654" s="53" t="s">
        <v>3515</v>
      </c>
    </row>
    <row r="655" spans="1:1" x14ac:dyDescent="0.25">
      <c r="A655" s="53" t="s">
        <v>3068</v>
      </c>
    </row>
    <row r="656" spans="1:1" x14ac:dyDescent="0.25">
      <c r="A656" s="53" t="s">
        <v>3068</v>
      </c>
    </row>
    <row r="657" spans="1:1" x14ac:dyDescent="0.25">
      <c r="A657" s="53" t="s">
        <v>3353</v>
      </c>
    </row>
    <row r="658" spans="1:1" x14ac:dyDescent="0.25">
      <c r="A658" s="53" t="s">
        <v>2590</v>
      </c>
    </row>
    <row r="659" spans="1:1" x14ac:dyDescent="0.25">
      <c r="A659" s="53" t="s">
        <v>2152</v>
      </c>
    </row>
    <row r="660" spans="1:1" x14ac:dyDescent="0.25">
      <c r="A660" s="53" t="s">
        <v>1936</v>
      </c>
    </row>
    <row r="661" spans="1:1" x14ac:dyDescent="0.25">
      <c r="A661" s="53" t="s">
        <v>3122</v>
      </c>
    </row>
    <row r="662" spans="1:1" x14ac:dyDescent="0.25">
      <c r="A662" s="53" t="s">
        <v>3253</v>
      </c>
    </row>
    <row r="663" spans="1:1" x14ac:dyDescent="0.25">
      <c r="A663" s="53" t="s">
        <v>2221</v>
      </c>
    </row>
    <row r="664" spans="1:1" x14ac:dyDescent="0.25">
      <c r="A664" s="53" t="s">
        <v>3450</v>
      </c>
    </row>
    <row r="665" spans="1:1" x14ac:dyDescent="0.25">
      <c r="A665" s="53" t="s">
        <v>3450</v>
      </c>
    </row>
    <row r="666" spans="1:1" x14ac:dyDescent="0.25">
      <c r="A666" s="53" t="s">
        <v>3389</v>
      </c>
    </row>
    <row r="667" spans="1:1" x14ac:dyDescent="0.25">
      <c r="A667" s="53" t="s">
        <v>2801</v>
      </c>
    </row>
    <row r="668" spans="1:1" x14ac:dyDescent="0.25">
      <c r="A668" s="53" t="s">
        <v>3392</v>
      </c>
    </row>
    <row r="669" spans="1:1" x14ac:dyDescent="0.25">
      <c r="A669" s="53" t="s">
        <v>2947</v>
      </c>
    </row>
    <row r="670" spans="1:1" x14ac:dyDescent="0.25">
      <c r="A670" s="53" t="s">
        <v>2840</v>
      </c>
    </row>
    <row r="671" spans="1:1" x14ac:dyDescent="0.25">
      <c r="A671" s="53" t="s">
        <v>2796</v>
      </c>
    </row>
    <row r="672" spans="1:1" x14ac:dyDescent="0.25">
      <c r="A672" s="53" t="s">
        <v>2730</v>
      </c>
    </row>
    <row r="673" spans="1:1" x14ac:dyDescent="0.25">
      <c r="A673" s="53" t="s">
        <v>3580</v>
      </c>
    </row>
    <row r="674" spans="1:1" x14ac:dyDescent="0.25">
      <c r="A674" s="53" t="s">
        <v>2970</v>
      </c>
    </row>
    <row r="675" spans="1:1" x14ac:dyDescent="0.25">
      <c r="A675" s="53" t="s">
        <v>1985</v>
      </c>
    </row>
    <row r="676" spans="1:1" x14ac:dyDescent="0.25">
      <c r="A676" s="53" t="s">
        <v>1989</v>
      </c>
    </row>
    <row r="677" spans="1:1" x14ac:dyDescent="0.25">
      <c r="A677" s="53" t="s">
        <v>3393</v>
      </c>
    </row>
    <row r="678" spans="1:1" x14ac:dyDescent="0.25">
      <c r="A678" s="53" t="s">
        <v>3525</v>
      </c>
    </row>
    <row r="679" spans="1:1" x14ac:dyDescent="0.25">
      <c r="A679" s="53" t="s">
        <v>3525</v>
      </c>
    </row>
    <row r="680" spans="1:1" x14ac:dyDescent="0.25">
      <c r="A680" s="53" t="s">
        <v>3422</v>
      </c>
    </row>
    <row r="681" spans="1:1" x14ac:dyDescent="0.25">
      <c r="A681" s="53" t="s">
        <v>3422</v>
      </c>
    </row>
    <row r="682" spans="1:1" x14ac:dyDescent="0.25">
      <c r="A682" s="53" t="s">
        <v>3682</v>
      </c>
    </row>
    <row r="683" spans="1:1" x14ac:dyDescent="0.25">
      <c r="A683" s="53" t="s">
        <v>3682</v>
      </c>
    </row>
    <row r="684" spans="1:1" x14ac:dyDescent="0.25">
      <c r="A684" s="53" t="s">
        <v>2790</v>
      </c>
    </row>
    <row r="685" spans="1:1" x14ac:dyDescent="0.25">
      <c r="A685" s="53" t="s">
        <v>2999</v>
      </c>
    </row>
    <row r="686" spans="1:1" x14ac:dyDescent="0.25">
      <c r="A686" s="53" t="s">
        <v>2999</v>
      </c>
    </row>
    <row r="687" spans="1:1" x14ac:dyDescent="0.25">
      <c r="A687" s="53" t="s">
        <v>2019</v>
      </c>
    </row>
    <row r="688" spans="1:1" x14ac:dyDescent="0.25">
      <c r="A688" s="53" t="s">
        <v>2019</v>
      </c>
    </row>
    <row r="689" spans="1:1" x14ac:dyDescent="0.25">
      <c r="A689" s="53" t="s">
        <v>2838</v>
      </c>
    </row>
    <row r="690" spans="1:1" x14ac:dyDescent="0.25">
      <c r="A690" s="53" t="s">
        <v>3547</v>
      </c>
    </row>
    <row r="691" spans="1:1" x14ac:dyDescent="0.25">
      <c r="A691" s="53" t="s">
        <v>3158</v>
      </c>
    </row>
    <row r="692" spans="1:1" x14ac:dyDescent="0.25">
      <c r="A692" s="53" t="s">
        <v>2432</v>
      </c>
    </row>
    <row r="693" spans="1:1" x14ac:dyDescent="0.25">
      <c r="A693" s="53" t="s">
        <v>3498</v>
      </c>
    </row>
    <row r="694" spans="1:1" x14ac:dyDescent="0.25">
      <c r="A694" s="53" t="s">
        <v>3570</v>
      </c>
    </row>
    <row r="695" spans="1:1" x14ac:dyDescent="0.25">
      <c r="A695" s="53" t="s">
        <v>3570</v>
      </c>
    </row>
    <row r="696" spans="1:1" x14ac:dyDescent="0.25">
      <c r="A696" s="53" t="s">
        <v>3125</v>
      </c>
    </row>
    <row r="697" spans="1:1" x14ac:dyDescent="0.25">
      <c r="A697" s="53" t="s">
        <v>3125</v>
      </c>
    </row>
    <row r="698" spans="1:1" x14ac:dyDescent="0.25">
      <c r="A698" s="53" t="s">
        <v>2743</v>
      </c>
    </row>
    <row r="699" spans="1:1" x14ac:dyDescent="0.25">
      <c r="A699" s="53" t="s">
        <v>2743</v>
      </c>
    </row>
    <row r="700" spans="1:1" x14ac:dyDescent="0.25">
      <c r="A700" s="53" t="s">
        <v>2511</v>
      </c>
    </row>
    <row r="701" spans="1:1" x14ac:dyDescent="0.25">
      <c r="A701" s="53" t="s">
        <v>2511</v>
      </c>
    </row>
    <row r="702" spans="1:1" x14ac:dyDescent="0.25">
      <c r="A702" s="53" t="s">
        <v>2983</v>
      </c>
    </row>
    <row r="703" spans="1:1" x14ac:dyDescent="0.25">
      <c r="A703" s="53" t="s">
        <v>2442</v>
      </c>
    </row>
    <row r="704" spans="1:1" x14ac:dyDescent="0.25">
      <c r="A704" s="53" t="s">
        <v>2442</v>
      </c>
    </row>
    <row r="705" spans="1:1" x14ac:dyDescent="0.25">
      <c r="A705" s="53" t="s">
        <v>3202</v>
      </c>
    </row>
    <row r="706" spans="1:1" x14ac:dyDescent="0.25">
      <c r="A706" s="53" t="s">
        <v>2512</v>
      </c>
    </row>
    <row r="707" spans="1:1" x14ac:dyDescent="0.25">
      <c r="A707" s="53" t="s">
        <v>2225</v>
      </c>
    </row>
    <row r="708" spans="1:1" x14ac:dyDescent="0.25">
      <c r="A708" s="53" t="s">
        <v>3407</v>
      </c>
    </row>
    <row r="709" spans="1:1" x14ac:dyDescent="0.25">
      <c r="A709" s="53" t="s">
        <v>2853</v>
      </c>
    </row>
    <row r="710" spans="1:1" x14ac:dyDescent="0.25">
      <c r="A710" s="53" t="s">
        <v>2021</v>
      </c>
    </row>
    <row r="711" spans="1:1" x14ac:dyDescent="0.25">
      <c r="A711" s="53" t="s">
        <v>2021</v>
      </c>
    </row>
    <row r="712" spans="1:1" x14ac:dyDescent="0.25">
      <c r="A712" s="53" t="s">
        <v>2968</v>
      </c>
    </row>
    <row r="713" spans="1:1" x14ac:dyDescent="0.25">
      <c r="A713" s="53" t="s">
        <v>3502</v>
      </c>
    </row>
    <row r="714" spans="1:1" x14ac:dyDescent="0.25">
      <c r="A714" s="53" t="s">
        <v>3458</v>
      </c>
    </row>
    <row r="715" spans="1:1" x14ac:dyDescent="0.25">
      <c r="A715" s="53" t="s">
        <v>3147</v>
      </c>
    </row>
    <row r="716" spans="1:1" x14ac:dyDescent="0.25">
      <c r="A716" s="53" t="s">
        <v>3371</v>
      </c>
    </row>
    <row r="717" spans="1:1" x14ac:dyDescent="0.25">
      <c r="A717" s="53" t="s">
        <v>3168</v>
      </c>
    </row>
    <row r="718" spans="1:1" x14ac:dyDescent="0.25">
      <c r="A718" s="53" t="s">
        <v>3159</v>
      </c>
    </row>
    <row r="719" spans="1:1" x14ac:dyDescent="0.25">
      <c r="A719" s="53" t="s">
        <v>2976</v>
      </c>
    </row>
    <row r="720" spans="1:1" x14ac:dyDescent="0.25">
      <c r="A720" s="53" t="s">
        <v>3027</v>
      </c>
    </row>
    <row r="721" spans="1:1" x14ac:dyDescent="0.25">
      <c r="A721" s="53" t="s">
        <v>3243</v>
      </c>
    </row>
    <row r="722" spans="1:1" x14ac:dyDescent="0.25">
      <c r="A722" s="53" t="s">
        <v>3095</v>
      </c>
    </row>
    <row r="723" spans="1:1" x14ac:dyDescent="0.25">
      <c r="A723" s="53" t="s">
        <v>3095</v>
      </c>
    </row>
    <row r="724" spans="1:1" x14ac:dyDescent="0.25">
      <c r="A724" s="53" t="s">
        <v>2873</v>
      </c>
    </row>
    <row r="725" spans="1:1" x14ac:dyDescent="0.25">
      <c r="A725" s="53" t="s">
        <v>1922</v>
      </c>
    </row>
    <row r="726" spans="1:1" x14ac:dyDescent="0.25">
      <c r="A726" s="53" t="s">
        <v>2780</v>
      </c>
    </row>
    <row r="727" spans="1:1" x14ac:dyDescent="0.25">
      <c r="A727" s="53" t="s">
        <v>3573</v>
      </c>
    </row>
    <row r="728" spans="1:1" x14ac:dyDescent="0.25">
      <c r="A728" s="53" t="s">
        <v>3349</v>
      </c>
    </row>
    <row r="729" spans="1:1" x14ac:dyDescent="0.25">
      <c r="A729" s="53" t="s">
        <v>3357</v>
      </c>
    </row>
    <row r="730" spans="1:1" x14ac:dyDescent="0.25">
      <c r="A730" s="53" t="s">
        <v>2463</v>
      </c>
    </row>
    <row r="731" spans="1:1" x14ac:dyDescent="0.25">
      <c r="A731" s="53" t="s">
        <v>2994</v>
      </c>
    </row>
    <row r="732" spans="1:1" x14ac:dyDescent="0.25">
      <c r="A732" s="53" t="s">
        <v>2841</v>
      </c>
    </row>
    <row r="733" spans="1:1" x14ac:dyDescent="0.25">
      <c r="A733" s="53" t="s">
        <v>2515</v>
      </c>
    </row>
    <row r="734" spans="1:1" x14ac:dyDescent="0.25">
      <c r="A734" s="53" t="s">
        <v>2515</v>
      </c>
    </row>
    <row r="735" spans="1:1" x14ac:dyDescent="0.25">
      <c r="A735" s="53" t="s">
        <v>2622</v>
      </c>
    </row>
    <row r="736" spans="1:1" x14ac:dyDescent="0.25">
      <c r="A736" s="53" t="s">
        <v>2622</v>
      </c>
    </row>
    <row r="737" spans="1:1" x14ac:dyDescent="0.25">
      <c r="A737" s="53" t="s">
        <v>2745</v>
      </c>
    </row>
    <row r="738" spans="1:1" x14ac:dyDescent="0.25">
      <c r="A738" s="53" t="s">
        <v>2694</v>
      </c>
    </row>
    <row r="739" spans="1:1" x14ac:dyDescent="0.25">
      <c r="A739" s="53" t="s">
        <v>3560</v>
      </c>
    </row>
    <row r="740" spans="1:1" x14ac:dyDescent="0.25">
      <c r="A740" s="53" t="s">
        <v>2135</v>
      </c>
    </row>
    <row r="741" spans="1:1" x14ac:dyDescent="0.25">
      <c r="A741" s="53" t="s">
        <v>2135</v>
      </c>
    </row>
    <row r="742" spans="1:1" x14ac:dyDescent="0.25">
      <c r="A742" s="53" t="s">
        <v>2641</v>
      </c>
    </row>
    <row r="743" spans="1:1" x14ac:dyDescent="0.25">
      <c r="A743" s="53" t="s">
        <v>2689</v>
      </c>
    </row>
    <row r="744" spans="1:1" x14ac:dyDescent="0.25">
      <c r="A744" s="53" t="s">
        <v>2246</v>
      </c>
    </row>
    <row r="745" spans="1:1" x14ac:dyDescent="0.25">
      <c r="A745" s="53" t="s">
        <v>1974</v>
      </c>
    </row>
    <row r="746" spans="1:1" x14ac:dyDescent="0.25">
      <c r="A746" s="53" t="s">
        <v>3486</v>
      </c>
    </row>
    <row r="747" spans="1:1" x14ac:dyDescent="0.25">
      <c r="A747" s="53" t="s">
        <v>3571</v>
      </c>
    </row>
    <row r="748" spans="1:1" x14ac:dyDescent="0.25">
      <c r="A748" s="53" t="s">
        <v>2805</v>
      </c>
    </row>
    <row r="749" spans="1:1" x14ac:dyDescent="0.25">
      <c r="A749" s="53" t="s">
        <v>2626</v>
      </c>
    </row>
    <row r="750" spans="1:1" x14ac:dyDescent="0.25">
      <c r="A750" s="53" t="s">
        <v>3352</v>
      </c>
    </row>
    <row r="751" spans="1:1" x14ac:dyDescent="0.25">
      <c r="A751" s="53" t="s">
        <v>3484</v>
      </c>
    </row>
    <row r="752" spans="1:1" x14ac:dyDescent="0.25">
      <c r="A752" s="53" t="s">
        <v>3617</v>
      </c>
    </row>
    <row r="753" spans="1:1" x14ac:dyDescent="0.25">
      <c r="A753" s="53" t="s">
        <v>2952</v>
      </c>
    </row>
    <row r="754" spans="1:1" x14ac:dyDescent="0.25">
      <c r="A754" s="53" t="s">
        <v>2952</v>
      </c>
    </row>
    <row r="755" spans="1:1" x14ac:dyDescent="0.25">
      <c r="A755" s="53" t="s">
        <v>2644</v>
      </c>
    </row>
    <row r="756" spans="1:1" x14ac:dyDescent="0.25">
      <c r="A756" s="53" t="s">
        <v>2591</v>
      </c>
    </row>
    <row r="757" spans="1:1" x14ac:dyDescent="0.25">
      <c r="A757" s="53" t="s">
        <v>2591</v>
      </c>
    </row>
    <row r="758" spans="1:1" x14ac:dyDescent="0.25">
      <c r="A758" s="53" t="s">
        <v>3097</v>
      </c>
    </row>
    <row r="759" spans="1:1" x14ac:dyDescent="0.25">
      <c r="A759" s="53" t="s">
        <v>2023</v>
      </c>
    </row>
    <row r="760" spans="1:1" x14ac:dyDescent="0.25">
      <c r="A760" s="53" t="s">
        <v>2023</v>
      </c>
    </row>
    <row r="761" spans="1:1" x14ac:dyDescent="0.25">
      <c r="A761" s="53" t="s">
        <v>2861</v>
      </c>
    </row>
    <row r="762" spans="1:1" x14ac:dyDescent="0.25">
      <c r="A762" s="53" t="s">
        <v>2766</v>
      </c>
    </row>
    <row r="763" spans="1:1" x14ac:dyDescent="0.25">
      <c r="A763" s="53" t="s">
        <v>2766</v>
      </c>
    </row>
    <row r="764" spans="1:1" x14ac:dyDescent="0.25">
      <c r="A764" s="53" t="s">
        <v>3223</v>
      </c>
    </row>
    <row r="765" spans="1:1" x14ac:dyDescent="0.25">
      <c r="A765" s="53" t="s">
        <v>3223</v>
      </c>
    </row>
    <row r="766" spans="1:1" x14ac:dyDescent="0.25">
      <c r="A766" s="53" t="s">
        <v>3234</v>
      </c>
    </row>
    <row r="767" spans="1:1" x14ac:dyDescent="0.25">
      <c r="A767" s="53" t="s">
        <v>3229</v>
      </c>
    </row>
    <row r="768" spans="1:1" x14ac:dyDescent="0.25">
      <c r="A768" s="53" t="s">
        <v>2279</v>
      </c>
    </row>
    <row r="769" spans="1:1" x14ac:dyDescent="0.25">
      <c r="A769" s="53" t="s">
        <v>3452</v>
      </c>
    </row>
    <row r="770" spans="1:1" x14ac:dyDescent="0.25">
      <c r="A770" s="53" t="s">
        <v>2953</v>
      </c>
    </row>
    <row r="771" spans="1:1" x14ac:dyDescent="0.25">
      <c r="A771" s="53" t="s">
        <v>2953</v>
      </c>
    </row>
    <row r="772" spans="1:1" x14ac:dyDescent="0.25">
      <c r="A772" s="53" t="s">
        <v>2609</v>
      </c>
    </row>
    <row r="773" spans="1:1" x14ac:dyDescent="0.25">
      <c r="A773" s="53" t="s">
        <v>2982</v>
      </c>
    </row>
    <row r="774" spans="1:1" x14ac:dyDescent="0.25">
      <c r="A774" s="53" t="s">
        <v>1947</v>
      </c>
    </row>
    <row r="775" spans="1:1" x14ac:dyDescent="0.25">
      <c r="A775" s="53" t="s">
        <v>2896</v>
      </c>
    </row>
    <row r="776" spans="1:1" x14ac:dyDescent="0.25">
      <c r="A776" s="53" t="s">
        <v>2159</v>
      </c>
    </row>
    <row r="777" spans="1:1" x14ac:dyDescent="0.25">
      <c r="A777" s="53" t="s">
        <v>3140</v>
      </c>
    </row>
    <row r="778" spans="1:1" x14ac:dyDescent="0.25">
      <c r="A778" s="53" t="s">
        <v>3382</v>
      </c>
    </row>
    <row r="779" spans="1:1" x14ac:dyDescent="0.25">
      <c r="A779" s="53" t="s">
        <v>3226</v>
      </c>
    </row>
    <row r="780" spans="1:1" x14ac:dyDescent="0.25">
      <c r="A780" s="53" t="s">
        <v>2182</v>
      </c>
    </row>
    <row r="781" spans="1:1" x14ac:dyDescent="0.25">
      <c r="A781" s="53" t="s">
        <v>2182</v>
      </c>
    </row>
    <row r="782" spans="1:1" x14ac:dyDescent="0.25">
      <c r="A782" s="53" t="s">
        <v>2025</v>
      </c>
    </row>
    <row r="783" spans="1:1" x14ac:dyDescent="0.25">
      <c r="A783" s="53" t="s">
        <v>2612</v>
      </c>
    </row>
    <row r="784" spans="1:1" x14ac:dyDescent="0.25">
      <c r="A784" s="53" t="s">
        <v>2359</v>
      </c>
    </row>
    <row r="785" spans="1:1" x14ac:dyDescent="0.25">
      <c r="A785" s="53" t="s">
        <v>2359</v>
      </c>
    </row>
    <row r="786" spans="1:1" x14ac:dyDescent="0.25">
      <c r="A786" s="53" t="s">
        <v>3487</v>
      </c>
    </row>
    <row r="787" spans="1:1" x14ac:dyDescent="0.25">
      <c r="A787" s="53" t="s">
        <v>3207</v>
      </c>
    </row>
    <row r="788" spans="1:1" x14ac:dyDescent="0.25">
      <c r="A788" s="53" t="s">
        <v>3279</v>
      </c>
    </row>
    <row r="789" spans="1:1" x14ac:dyDescent="0.25">
      <c r="A789" s="53" t="s">
        <v>2592</v>
      </c>
    </row>
    <row r="790" spans="1:1" x14ac:dyDescent="0.25">
      <c r="A790" s="53" t="s">
        <v>2592</v>
      </c>
    </row>
    <row r="791" spans="1:1" x14ac:dyDescent="0.25">
      <c r="A791" s="53" t="s">
        <v>2985</v>
      </c>
    </row>
    <row r="792" spans="1:1" x14ac:dyDescent="0.25">
      <c r="A792" s="53" t="s">
        <v>1986</v>
      </c>
    </row>
    <row r="793" spans="1:1" x14ac:dyDescent="0.25">
      <c r="A793" s="53" t="s">
        <v>1986</v>
      </c>
    </row>
    <row r="794" spans="1:1" x14ac:dyDescent="0.25">
      <c r="A794" s="53" t="s">
        <v>3432</v>
      </c>
    </row>
    <row r="795" spans="1:1" x14ac:dyDescent="0.25">
      <c r="A795" s="53" t="s">
        <v>3432</v>
      </c>
    </row>
    <row r="796" spans="1:1" x14ac:dyDescent="0.25">
      <c r="A796" s="53" t="s">
        <v>1999</v>
      </c>
    </row>
    <row r="797" spans="1:1" x14ac:dyDescent="0.25">
      <c r="A797" s="53" t="s">
        <v>1999</v>
      </c>
    </row>
    <row r="798" spans="1:1" x14ac:dyDescent="0.25">
      <c r="A798" s="53" t="s">
        <v>2208</v>
      </c>
    </row>
    <row r="799" spans="1:1" x14ac:dyDescent="0.25">
      <c r="A799" s="53" t="s">
        <v>3110</v>
      </c>
    </row>
    <row r="800" spans="1:1" x14ac:dyDescent="0.25">
      <c r="A800" s="53" t="s">
        <v>1959</v>
      </c>
    </row>
    <row r="801" spans="1:1" x14ac:dyDescent="0.25">
      <c r="A801" s="53" t="s">
        <v>1959</v>
      </c>
    </row>
    <row r="802" spans="1:1" x14ac:dyDescent="0.25">
      <c r="A802" s="53" t="s">
        <v>2751</v>
      </c>
    </row>
    <row r="803" spans="1:1" x14ac:dyDescent="0.25">
      <c r="A803" s="53" t="s">
        <v>3436</v>
      </c>
    </row>
    <row r="804" spans="1:1" x14ac:dyDescent="0.25">
      <c r="A804" s="53" t="s">
        <v>2846</v>
      </c>
    </row>
    <row r="805" spans="1:1" x14ac:dyDescent="0.25">
      <c r="A805" s="53" t="s">
        <v>3007</v>
      </c>
    </row>
    <row r="806" spans="1:1" x14ac:dyDescent="0.25">
      <c r="A806" s="53" t="s">
        <v>2678</v>
      </c>
    </row>
    <row r="807" spans="1:1" x14ac:dyDescent="0.25">
      <c r="A807" s="53" t="s">
        <v>3355</v>
      </c>
    </row>
    <row r="808" spans="1:1" x14ac:dyDescent="0.25">
      <c r="A808" s="53" t="s">
        <v>3210</v>
      </c>
    </row>
    <row r="809" spans="1:1" x14ac:dyDescent="0.25">
      <c r="A809" s="53" t="s">
        <v>1935</v>
      </c>
    </row>
    <row r="810" spans="1:1" x14ac:dyDescent="0.25">
      <c r="A810" s="53" t="s">
        <v>3447</v>
      </c>
    </row>
    <row r="811" spans="1:1" x14ac:dyDescent="0.25">
      <c r="A811" s="53" t="s">
        <v>3447</v>
      </c>
    </row>
    <row r="812" spans="1:1" x14ac:dyDescent="0.25">
      <c r="A812" s="53" t="s">
        <v>2524</v>
      </c>
    </row>
    <row r="813" spans="1:1" x14ac:dyDescent="0.25">
      <c r="A813" s="53" t="s">
        <v>2695</v>
      </c>
    </row>
    <row r="814" spans="1:1" x14ac:dyDescent="0.25">
      <c r="A814" s="53" t="s">
        <v>3473</v>
      </c>
    </row>
    <row r="815" spans="1:1" x14ac:dyDescent="0.25">
      <c r="A815" s="53" t="s">
        <v>3385</v>
      </c>
    </row>
    <row r="816" spans="1:1" x14ac:dyDescent="0.25">
      <c r="A816" s="53" t="s">
        <v>2446</v>
      </c>
    </row>
    <row r="817" spans="1:1" x14ac:dyDescent="0.25">
      <c r="A817" s="53" t="s">
        <v>1904</v>
      </c>
    </row>
    <row r="818" spans="1:1" x14ac:dyDescent="0.25">
      <c r="A818" s="53" t="s">
        <v>1904</v>
      </c>
    </row>
    <row r="819" spans="1:1" x14ac:dyDescent="0.25">
      <c r="A819" s="53" t="s">
        <v>2057</v>
      </c>
    </row>
    <row r="820" spans="1:1" x14ac:dyDescent="0.25">
      <c r="A820" s="53" t="s">
        <v>3512</v>
      </c>
    </row>
    <row r="821" spans="1:1" x14ac:dyDescent="0.25">
      <c r="A821" s="53" t="s">
        <v>3512</v>
      </c>
    </row>
    <row r="822" spans="1:1" x14ac:dyDescent="0.25">
      <c r="A822" s="53" t="s">
        <v>2164</v>
      </c>
    </row>
    <row r="823" spans="1:1" x14ac:dyDescent="0.25">
      <c r="A823" s="53" t="s">
        <v>3021</v>
      </c>
    </row>
    <row r="824" spans="1:1" x14ac:dyDescent="0.25">
      <c r="A824" s="53" t="s">
        <v>3021</v>
      </c>
    </row>
    <row r="825" spans="1:1" x14ac:dyDescent="0.25">
      <c r="A825" s="53" t="s">
        <v>2663</v>
      </c>
    </row>
    <row r="826" spans="1:1" x14ac:dyDescent="0.25">
      <c r="A826" s="53" t="s">
        <v>2663</v>
      </c>
    </row>
    <row r="827" spans="1:1" x14ac:dyDescent="0.25">
      <c r="A827" s="53" t="s">
        <v>2441</v>
      </c>
    </row>
    <row r="828" spans="1:1" x14ac:dyDescent="0.25">
      <c r="A828" s="53" t="s">
        <v>3208</v>
      </c>
    </row>
    <row r="829" spans="1:1" x14ac:dyDescent="0.25">
      <c r="A829" s="53" t="s">
        <v>2939</v>
      </c>
    </row>
    <row r="830" spans="1:1" x14ac:dyDescent="0.25">
      <c r="A830" s="53" t="s">
        <v>3213</v>
      </c>
    </row>
    <row r="831" spans="1:1" x14ac:dyDescent="0.25">
      <c r="A831" s="53" t="s">
        <v>3067</v>
      </c>
    </row>
    <row r="832" spans="1:1" x14ac:dyDescent="0.25">
      <c r="A832" s="53" t="s">
        <v>3344</v>
      </c>
    </row>
    <row r="833" spans="1:1" x14ac:dyDescent="0.25">
      <c r="A833" s="53" t="s">
        <v>2898</v>
      </c>
    </row>
    <row r="834" spans="1:1" x14ac:dyDescent="0.25">
      <c r="A834" s="53" t="s">
        <v>2898</v>
      </c>
    </row>
    <row r="835" spans="1:1" x14ac:dyDescent="0.25">
      <c r="A835" s="53" t="s">
        <v>2668</v>
      </c>
    </row>
    <row r="836" spans="1:1" x14ac:dyDescent="0.25">
      <c r="A836" s="53" t="s">
        <v>3123</v>
      </c>
    </row>
    <row r="837" spans="1:1" x14ac:dyDescent="0.25">
      <c r="A837" s="53" t="s">
        <v>2912</v>
      </c>
    </row>
    <row r="838" spans="1:1" x14ac:dyDescent="0.25">
      <c r="A838" s="53" t="s">
        <v>3019</v>
      </c>
    </row>
    <row r="839" spans="1:1" x14ac:dyDescent="0.25">
      <c r="A839" s="53" t="s">
        <v>3019</v>
      </c>
    </row>
    <row r="840" spans="1:1" x14ac:dyDescent="0.25">
      <c r="A840" s="53" t="s">
        <v>3074</v>
      </c>
    </row>
    <row r="841" spans="1:1" x14ac:dyDescent="0.25">
      <c r="A841" s="53" t="s">
        <v>3074</v>
      </c>
    </row>
    <row r="842" spans="1:1" x14ac:dyDescent="0.25">
      <c r="A842" s="53" t="s">
        <v>3102</v>
      </c>
    </row>
    <row r="843" spans="1:1" x14ac:dyDescent="0.25">
      <c r="A843" s="53" t="s">
        <v>1927</v>
      </c>
    </row>
    <row r="844" spans="1:1" x14ac:dyDescent="0.25">
      <c r="A844" s="53" t="s">
        <v>3305</v>
      </c>
    </row>
    <row r="845" spans="1:1" x14ac:dyDescent="0.25">
      <c r="A845" s="53" t="s">
        <v>3305</v>
      </c>
    </row>
    <row r="846" spans="1:1" x14ac:dyDescent="0.25">
      <c r="A846" s="53" t="s">
        <v>2793</v>
      </c>
    </row>
    <row r="847" spans="1:1" x14ac:dyDescent="0.25">
      <c r="A847" s="53" t="s">
        <v>3565</v>
      </c>
    </row>
    <row r="848" spans="1:1" x14ac:dyDescent="0.25">
      <c r="A848" s="53" t="s">
        <v>3565</v>
      </c>
    </row>
    <row r="849" spans="1:1" x14ac:dyDescent="0.25">
      <c r="A849" s="53" t="s">
        <v>3356</v>
      </c>
    </row>
    <row r="850" spans="1:1" x14ac:dyDescent="0.25">
      <c r="A850" s="53" t="s">
        <v>3356</v>
      </c>
    </row>
    <row r="851" spans="1:1" x14ac:dyDescent="0.25">
      <c r="A851" s="53" t="s">
        <v>2729</v>
      </c>
    </row>
    <row r="852" spans="1:1" x14ac:dyDescent="0.25">
      <c r="A852" s="53" t="s">
        <v>1924</v>
      </c>
    </row>
    <row r="853" spans="1:1" x14ac:dyDescent="0.25">
      <c r="A853" s="53" t="s">
        <v>3228</v>
      </c>
    </row>
    <row r="854" spans="1:1" x14ac:dyDescent="0.25">
      <c r="A854" s="53" t="s">
        <v>3013</v>
      </c>
    </row>
    <row r="855" spans="1:1" x14ac:dyDescent="0.25">
      <c r="A855" s="53" t="s">
        <v>2903</v>
      </c>
    </row>
    <row r="856" spans="1:1" x14ac:dyDescent="0.25">
      <c r="A856" s="53" t="s">
        <v>2903</v>
      </c>
    </row>
    <row r="857" spans="1:1" x14ac:dyDescent="0.25">
      <c r="A857" s="53" t="s">
        <v>3142</v>
      </c>
    </row>
    <row r="858" spans="1:1" x14ac:dyDescent="0.25">
      <c r="A858" s="53" t="s">
        <v>2990</v>
      </c>
    </row>
    <row r="859" spans="1:1" x14ac:dyDescent="0.25">
      <c r="A859" s="53" t="s">
        <v>3618</v>
      </c>
    </row>
    <row r="860" spans="1:1" x14ac:dyDescent="0.25">
      <c r="A860" s="53" t="s">
        <v>2298</v>
      </c>
    </row>
    <row r="861" spans="1:1" x14ac:dyDescent="0.25">
      <c r="A861" s="53" t="s">
        <v>3227</v>
      </c>
    </row>
    <row r="862" spans="1:1" x14ac:dyDescent="0.25">
      <c r="A862" s="53" t="s">
        <v>3227</v>
      </c>
    </row>
    <row r="863" spans="1:1" x14ac:dyDescent="0.25">
      <c r="A863" s="53" t="s">
        <v>2716</v>
      </c>
    </row>
    <row r="864" spans="1:1" x14ac:dyDescent="0.25">
      <c r="A864" s="53" t="s">
        <v>2716</v>
      </c>
    </row>
    <row r="865" spans="1:1" x14ac:dyDescent="0.25">
      <c r="A865" s="53" t="s">
        <v>2989</v>
      </c>
    </row>
    <row r="866" spans="1:1" x14ac:dyDescent="0.25">
      <c r="A866" s="53" t="s">
        <v>2501</v>
      </c>
    </row>
    <row r="867" spans="1:1" x14ac:dyDescent="0.25">
      <c r="A867" s="53" t="s">
        <v>2437</v>
      </c>
    </row>
    <row r="868" spans="1:1" x14ac:dyDescent="0.25">
      <c r="A868" s="53" t="s">
        <v>3115</v>
      </c>
    </row>
    <row r="869" spans="1:1" x14ac:dyDescent="0.25">
      <c r="A869" s="53" t="s">
        <v>2966</v>
      </c>
    </row>
    <row r="870" spans="1:1" x14ac:dyDescent="0.25">
      <c r="A870" s="53" t="s">
        <v>3039</v>
      </c>
    </row>
    <row r="871" spans="1:1" x14ac:dyDescent="0.25">
      <c r="A871" s="53" t="s">
        <v>2732</v>
      </c>
    </row>
    <row r="872" spans="1:1" x14ac:dyDescent="0.25">
      <c r="A872" s="53" t="s">
        <v>3078</v>
      </c>
    </row>
    <row r="873" spans="1:1" x14ac:dyDescent="0.25">
      <c r="A873" s="53" t="s">
        <v>2906</v>
      </c>
    </row>
    <row r="874" spans="1:1" x14ac:dyDescent="0.25">
      <c r="A874" s="53" t="s">
        <v>2906</v>
      </c>
    </row>
    <row r="875" spans="1:1" x14ac:dyDescent="0.25">
      <c r="A875" s="53" t="s">
        <v>2595</v>
      </c>
    </row>
    <row r="876" spans="1:1" x14ac:dyDescent="0.25">
      <c r="A876" s="53" t="s">
        <v>1883</v>
      </c>
    </row>
    <row r="877" spans="1:1" x14ac:dyDescent="0.25">
      <c r="A877" s="53" t="s">
        <v>3199</v>
      </c>
    </row>
    <row r="878" spans="1:1" x14ac:dyDescent="0.25">
      <c r="A878" s="53" t="s">
        <v>2085</v>
      </c>
    </row>
    <row r="879" spans="1:1" x14ac:dyDescent="0.25">
      <c r="A879" s="53" t="s">
        <v>2085</v>
      </c>
    </row>
    <row r="880" spans="1:1" x14ac:dyDescent="0.25">
      <c r="A880" s="53" t="s">
        <v>3373</v>
      </c>
    </row>
    <row r="881" spans="1:1" x14ac:dyDescent="0.25">
      <c r="A881" s="53" t="s">
        <v>2157</v>
      </c>
    </row>
    <row r="882" spans="1:1" x14ac:dyDescent="0.25">
      <c r="A882" s="53" t="s">
        <v>2157</v>
      </c>
    </row>
    <row r="883" spans="1:1" x14ac:dyDescent="0.25">
      <c r="A883" s="53" t="s">
        <v>2955</v>
      </c>
    </row>
    <row r="884" spans="1:1" x14ac:dyDescent="0.25">
      <c r="A884" s="53" t="s">
        <v>2963</v>
      </c>
    </row>
    <row r="885" spans="1:1" x14ac:dyDescent="0.25">
      <c r="A885" s="53" t="s">
        <v>3165</v>
      </c>
    </row>
    <row r="886" spans="1:1" x14ac:dyDescent="0.25">
      <c r="A886" s="53" t="s">
        <v>3215</v>
      </c>
    </row>
    <row r="887" spans="1:1" x14ac:dyDescent="0.25">
      <c r="A887" s="53" t="s">
        <v>3096</v>
      </c>
    </row>
    <row r="888" spans="1:1" x14ac:dyDescent="0.25">
      <c r="A888" s="53" t="s">
        <v>2659</v>
      </c>
    </row>
    <row r="889" spans="1:1" x14ac:dyDescent="0.25">
      <c r="A889" s="53" t="s">
        <v>2659</v>
      </c>
    </row>
    <row r="890" spans="1:1" x14ac:dyDescent="0.25">
      <c r="A890" s="53" t="s">
        <v>2935</v>
      </c>
    </row>
    <row r="891" spans="1:1" x14ac:dyDescent="0.25">
      <c r="A891" s="53" t="s">
        <v>2920</v>
      </c>
    </row>
    <row r="892" spans="1:1" x14ac:dyDescent="0.25">
      <c r="A892" s="53" t="s">
        <v>3485</v>
      </c>
    </row>
    <row r="893" spans="1:1" x14ac:dyDescent="0.25">
      <c r="A893" s="53" t="s">
        <v>2831</v>
      </c>
    </row>
    <row r="894" spans="1:1" x14ac:dyDescent="0.25">
      <c r="A894" s="53" t="s">
        <v>3569</v>
      </c>
    </row>
    <row r="895" spans="1:1" x14ac:dyDescent="0.25">
      <c r="A895" s="53" t="s">
        <v>2589</v>
      </c>
    </row>
    <row r="896" spans="1:1" x14ac:dyDescent="0.25">
      <c r="A896" s="53" t="s">
        <v>2518</v>
      </c>
    </row>
    <row r="897" spans="1:1" x14ac:dyDescent="0.25">
      <c r="A897" s="53" t="s">
        <v>2061</v>
      </c>
    </row>
    <row r="898" spans="1:1" x14ac:dyDescent="0.25">
      <c r="A898" s="53" t="s">
        <v>2758</v>
      </c>
    </row>
    <row r="899" spans="1:1" x14ac:dyDescent="0.25">
      <c r="A899" s="53" t="s">
        <v>2871</v>
      </c>
    </row>
    <row r="900" spans="1:1" x14ac:dyDescent="0.25">
      <c r="A900" s="53" t="s">
        <v>3556</v>
      </c>
    </row>
    <row r="901" spans="1:1" x14ac:dyDescent="0.25">
      <c r="A901" s="53" t="s">
        <v>3439</v>
      </c>
    </row>
    <row r="902" spans="1:1" x14ac:dyDescent="0.25">
      <c r="A902" s="53" t="s">
        <v>2647</v>
      </c>
    </row>
    <row r="903" spans="1:1" x14ac:dyDescent="0.25">
      <c r="A903" s="53" t="s">
        <v>2147</v>
      </c>
    </row>
    <row r="904" spans="1:1" x14ac:dyDescent="0.25">
      <c r="A904" s="53" t="s">
        <v>2767</v>
      </c>
    </row>
    <row r="905" spans="1:1" x14ac:dyDescent="0.25">
      <c r="A905" s="53" t="s">
        <v>2767</v>
      </c>
    </row>
    <row r="906" spans="1:1" x14ac:dyDescent="0.25">
      <c r="A906" s="53" t="s">
        <v>2937</v>
      </c>
    </row>
    <row r="907" spans="1:1" x14ac:dyDescent="0.25">
      <c r="A907" s="53" t="s">
        <v>3493</v>
      </c>
    </row>
    <row r="908" spans="1:1" x14ac:dyDescent="0.25">
      <c r="A908" s="53" t="s">
        <v>2071</v>
      </c>
    </row>
    <row r="909" spans="1:1" x14ac:dyDescent="0.25">
      <c r="A909" s="53" t="s">
        <v>2071</v>
      </c>
    </row>
    <row r="910" spans="1:1" x14ac:dyDescent="0.25">
      <c r="A910" s="53" t="s">
        <v>3322</v>
      </c>
    </row>
    <row r="911" spans="1:1" x14ac:dyDescent="0.25">
      <c r="A911" s="53" t="s">
        <v>2635</v>
      </c>
    </row>
    <row r="912" spans="1:1" x14ac:dyDescent="0.25">
      <c r="A912" s="53" t="s">
        <v>3527</v>
      </c>
    </row>
    <row r="913" spans="1:1" x14ac:dyDescent="0.25">
      <c r="A913" s="53" t="s">
        <v>3574</v>
      </c>
    </row>
    <row r="914" spans="1:1" x14ac:dyDescent="0.25">
      <c r="A914" s="53" t="s">
        <v>3574</v>
      </c>
    </row>
    <row r="915" spans="1:1" x14ac:dyDescent="0.25">
      <c r="A915" s="53" t="s">
        <v>3315</v>
      </c>
    </row>
    <row r="916" spans="1:1" x14ac:dyDescent="0.25">
      <c r="A916" s="53" t="s">
        <v>3047</v>
      </c>
    </row>
    <row r="917" spans="1:1" x14ac:dyDescent="0.25">
      <c r="A917" s="53" t="s">
        <v>2199</v>
      </c>
    </row>
    <row r="918" spans="1:1" x14ac:dyDescent="0.25">
      <c r="A918" s="53" t="s">
        <v>2199</v>
      </c>
    </row>
    <row r="919" spans="1:1" x14ac:dyDescent="0.25">
      <c r="A919" s="53" t="s">
        <v>3184</v>
      </c>
    </row>
    <row r="920" spans="1:1" x14ac:dyDescent="0.25">
      <c r="A920" s="53" t="s">
        <v>1984</v>
      </c>
    </row>
    <row r="921" spans="1:1" x14ac:dyDescent="0.25">
      <c r="A921" s="53" t="s">
        <v>1984</v>
      </c>
    </row>
    <row r="922" spans="1:1" x14ac:dyDescent="0.25">
      <c r="A922" s="53" t="s">
        <v>2363</v>
      </c>
    </row>
    <row r="923" spans="1:1" x14ac:dyDescent="0.25">
      <c r="A923" s="53" t="s">
        <v>2363</v>
      </c>
    </row>
    <row r="924" spans="1:1" x14ac:dyDescent="0.25">
      <c r="A924" s="53" t="s">
        <v>3428</v>
      </c>
    </row>
    <row r="925" spans="1:1" x14ac:dyDescent="0.25">
      <c r="A925" s="53" t="s">
        <v>3423</v>
      </c>
    </row>
    <row r="926" spans="1:1" x14ac:dyDescent="0.25">
      <c r="A926" s="53" t="s">
        <v>3423</v>
      </c>
    </row>
    <row r="927" spans="1:1" x14ac:dyDescent="0.25">
      <c r="A927" s="53" t="s">
        <v>2981</v>
      </c>
    </row>
    <row r="928" spans="1:1" x14ac:dyDescent="0.25">
      <c r="A928" s="53" t="s">
        <v>2844</v>
      </c>
    </row>
    <row r="929" spans="1:1" x14ac:dyDescent="0.25">
      <c r="A929" s="53" t="s">
        <v>3254</v>
      </c>
    </row>
    <row r="930" spans="1:1" x14ac:dyDescent="0.25">
      <c r="A930" s="53" t="s">
        <v>3121</v>
      </c>
    </row>
    <row r="931" spans="1:1" x14ac:dyDescent="0.25">
      <c r="A931" s="53" t="s">
        <v>3338</v>
      </c>
    </row>
    <row r="932" spans="1:1" x14ac:dyDescent="0.25">
      <c r="A932" s="53" t="s">
        <v>2417</v>
      </c>
    </row>
    <row r="933" spans="1:1" x14ac:dyDescent="0.25">
      <c r="A933" s="53" t="s">
        <v>2417</v>
      </c>
    </row>
    <row r="934" spans="1:1" x14ac:dyDescent="0.25">
      <c r="A934" s="53" t="s">
        <v>3188</v>
      </c>
    </row>
    <row r="935" spans="1:1" x14ac:dyDescent="0.25">
      <c r="A935" s="53" t="s">
        <v>3311</v>
      </c>
    </row>
    <row r="936" spans="1:1" x14ac:dyDescent="0.25">
      <c r="A936" s="53" t="s">
        <v>3311</v>
      </c>
    </row>
    <row r="937" spans="1:1" x14ac:dyDescent="0.25">
      <c r="A937" s="53" t="s">
        <v>2249</v>
      </c>
    </row>
    <row r="938" spans="1:1" x14ac:dyDescent="0.25">
      <c r="A938" s="53" t="s">
        <v>2887</v>
      </c>
    </row>
    <row r="939" spans="1:1" x14ac:dyDescent="0.25">
      <c r="A939" s="53" t="s">
        <v>3087</v>
      </c>
    </row>
    <row r="940" spans="1:1" x14ac:dyDescent="0.25">
      <c r="A940" s="53" t="s">
        <v>2842</v>
      </c>
    </row>
    <row r="941" spans="1:1" x14ac:dyDescent="0.25">
      <c r="A941" s="53" t="s">
        <v>3059</v>
      </c>
    </row>
    <row r="942" spans="1:1" x14ac:dyDescent="0.25">
      <c r="A942" s="53" t="s">
        <v>2992</v>
      </c>
    </row>
    <row r="943" spans="1:1" x14ac:dyDescent="0.25">
      <c r="A943" s="53" t="s">
        <v>3048</v>
      </c>
    </row>
    <row r="944" spans="1:1" x14ac:dyDescent="0.25">
      <c r="A944" s="53" t="s">
        <v>2427</v>
      </c>
    </row>
    <row r="945" spans="1:1" x14ac:dyDescent="0.25">
      <c r="A945" s="53" t="s">
        <v>1881</v>
      </c>
    </row>
    <row r="946" spans="1:1" x14ac:dyDescent="0.25">
      <c r="A946" s="53" t="s">
        <v>2738</v>
      </c>
    </row>
    <row r="947" spans="1:1" x14ac:dyDescent="0.25">
      <c r="A947" s="53" t="s">
        <v>2533</v>
      </c>
    </row>
    <row r="948" spans="1:1" x14ac:dyDescent="0.25">
      <c r="A948" s="53" t="s">
        <v>2588</v>
      </c>
    </row>
    <row r="949" spans="1:1" x14ac:dyDescent="0.25">
      <c r="A949" s="53" t="s">
        <v>2588</v>
      </c>
    </row>
    <row r="950" spans="1:1" x14ac:dyDescent="0.25">
      <c r="A950" s="53" t="s">
        <v>2645</v>
      </c>
    </row>
    <row r="951" spans="1:1" x14ac:dyDescent="0.25">
      <c r="A951" s="53" t="s">
        <v>3201</v>
      </c>
    </row>
    <row r="952" spans="1:1" x14ac:dyDescent="0.25">
      <c r="A952" s="53" t="s">
        <v>3201</v>
      </c>
    </row>
    <row r="953" spans="1:1" x14ac:dyDescent="0.25">
      <c r="A953" s="53" t="s">
        <v>3481</v>
      </c>
    </row>
    <row r="954" spans="1:1" x14ac:dyDescent="0.25">
      <c r="A954" s="53" t="s">
        <v>2770</v>
      </c>
    </row>
    <row r="955" spans="1:1" x14ac:dyDescent="0.25">
      <c r="A955" s="53" t="s">
        <v>3500</v>
      </c>
    </row>
    <row r="956" spans="1:1" x14ac:dyDescent="0.25">
      <c r="A956" s="53" t="s">
        <v>2712</v>
      </c>
    </row>
    <row r="957" spans="1:1" x14ac:dyDescent="0.25">
      <c r="A957" s="53" t="s">
        <v>2986</v>
      </c>
    </row>
    <row r="958" spans="1:1" x14ac:dyDescent="0.25">
      <c r="A958" s="53" t="s">
        <v>2967</v>
      </c>
    </row>
    <row r="959" spans="1:1" x14ac:dyDescent="0.25">
      <c r="A959" s="53" t="s">
        <v>3044</v>
      </c>
    </row>
    <row r="960" spans="1:1" x14ac:dyDescent="0.25">
      <c r="A960" s="53" t="s">
        <v>2123</v>
      </c>
    </row>
    <row r="961" spans="1:1" x14ac:dyDescent="0.25">
      <c r="A961" s="53" t="s">
        <v>2123</v>
      </c>
    </row>
    <row r="962" spans="1:1" x14ac:dyDescent="0.25">
      <c r="A962" s="53" t="s">
        <v>2161</v>
      </c>
    </row>
    <row r="963" spans="1:1" x14ac:dyDescent="0.25">
      <c r="A963" s="53" t="s">
        <v>2657</v>
      </c>
    </row>
    <row r="964" spans="1:1" x14ac:dyDescent="0.25">
      <c r="A964" s="53" t="s">
        <v>1889</v>
      </c>
    </row>
    <row r="965" spans="1:1" x14ac:dyDescent="0.25">
      <c r="A965" s="53" t="s">
        <v>1925</v>
      </c>
    </row>
    <row r="966" spans="1:1" x14ac:dyDescent="0.25">
      <c r="A966" s="53" t="s">
        <v>3582</v>
      </c>
    </row>
    <row r="967" spans="1:1" x14ac:dyDescent="0.25">
      <c r="A967" s="53" t="s">
        <v>2799</v>
      </c>
    </row>
    <row r="968" spans="1:1" x14ac:dyDescent="0.25">
      <c r="A968" s="53" t="s">
        <v>2799</v>
      </c>
    </row>
    <row r="969" spans="1:1" x14ac:dyDescent="0.25">
      <c r="A969" s="53" t="s">
        <v>3065</v>
      </c>
    </row>
    <row r="970" spans="1:1" x14ac:dyDescent="0.25">
      <c r="A970" s="53" t="s">
        <v>3016</v>
      </c>
    </row>
    <row r="971" spans="1:1" x14ac:dyDescent="0.25">
      <c r="A971" s="53" t="s">
        <v>2494</v>
      </c>
    </row>
    <row r="972" spans="1:1" x14ac:dyDescent="0.25">
      <c r="A972" s="53" t="s">
        <v>2931</v>
      </c>
    </row>
    <row r="973" spans="1:1" x14ac:dyDescent="0.25">
      <c r="A973" s="53" t="s">
        <v>2760</v>
      </c>
    </row>
    <row r="974" spans="1:1" x14ac:dyDescent="0.25">
      <c r="A974" s="53" t="s">
        <v>2760</v>
      </c>
    </row>
    <row r="975" spans="1:1" x14ac:dyDescent="0.25">
      <c r="A975" s="53" t="s">
        <v>3379</v>
      </c>
    </row>
    <row r="976" spans="1:1" x14ac:dyDescent="0.25">
      <c r="A976" s="53" t="s">
        <v>3106</v>
      </c>
    </row>
    <row r="977" spans="1:1" x14ac:dyDescent="0.25">
      <c r="A977" s="53" t="s">
        <v>3316</v>
      </c>
    </row>
    <row r="978" spans="1:1" x14ac:dyDescent="0.25">
      <c r="A978" s="53" t="s">
        <v>2473</v>
      </c>
    </row>
    <row r="979" spans="1:1" x14ac:dyDescent="0.25">
      <c r="A979" s="53" t="s">
        <v>2473</v>
      </c>
    </row>
    <row r="980" spans="1:1" x14ac:dyDescent="0.25">
      <c r="A980" s="53" t="s">
        <v>3381</v>
      </c>
    </row>
    <row r="981" spans="1:1" x14ac:dyDescent="0.25">
      <c r="A981" s="53" t="s">
        <v>2749</v>
      </c>
    </row>
    <row r="982" spans="1:1" x14ac:dyDescent="0.25">
      <c r="A982" s="53" t="s">
        <v>3041</v>
      </c>
    </row>
    <row r="983" spans="1:1" x14ac:dyDescent="0.25">
      <c r="A983" s="53" t="s">
        <v>2262</v>
      </c>
    </row>
    <row r="984" spans="1:1" x14ac:dyDescent="0.25">
      <c r="A984" s="53" t="s">
        <v>2308</v>
      </c>
    </row>
    <row r="985" spans="1:1" x14ac:dyDescent="0.25">
      <c r="A985" s="53" t="s">
        <v>2308</v>
      </c>
    </row>
    <row r="986" spans="1:1" x14ac:dyDescent="0.25">
      <c r="A986" s="53" t="s">
        <v>2852</v>
      </c>
    </row>
    <row r="987" spans="1:1" x14ac:dyDescent="0.25">
      <c r="A987" s="53" t="s">
        <v>2852</v>
      </c>
    </row>
    <row r="988" spans="1:1" x14ac:dyDescent="0.25">
      <c r="A988" s="53" t="s">
        <v>3003</v>
      </c>
    </row>
    <row r="989" spans="1:1" x14ac:dyDescent="0.25">
      <c r="A989" s="53" t="s">
        <v>2862</v>
      </c>
    </row>
    <row r="990" spans="1:1" x14ac:dyDescent="0.25">
      <c r="A990" s="53" t="s">
        <v>2862</v>
      </c>
    </row>
    <row r="991" spans="1:1" x14ac:dyDescent="0.25">
      <c r="A991" s="53" t="s">
        <v>3235</v>
      </c>
    </row>
    <row r="992" spans="1:1" x14ac:dyDescent="0.25">
      <c r="A992" s="53" t="s">
        <v>3235</v>
      </c>
    </row>
    <row r="993" spans="1:1" x14ac:dyDescent="0.25">
      <c r="A993" s="53" t="s">
        <v>2421</v>
      </c>
    </row>
    <row r="994" spans="1:1" x14ac:dyDescent="0.25">
      <c r="A994" s="53" t="s">
        <v>2642</v>
      </c>
    </row>
    <row r="995" spans="1:1" x14ac:dyDescent="0.25">
      <c r="A995" s="53" t="s">
        <v>2629</v>
      </c>
    </row>
    <row r="996" spans="1:1" x14ac:dyDescent="0.25">
      <c r="A996" s="53" t="s">
        <v>2629</v>
      </c>
    </row>
    <row r="997" spans="1:1" x14ac:dyDescent="0.25">
      <c r="A997" s="53" t="s">
        <v>2798</v>
      </c>
    </row>
    <row r="998" spans="1:1" x14ac:dyDescent="0.25">
      <c r="A998" s="53" t="s">
        <v>2762</v>
      </c>
    </row>
    <row r="999" spans="1:1" x14ac:dyDescent="0.25">
      <c r="A999" s="53" t="s">
        <v>2089</v>
      </c>
    </row>
    <row r="1000" spans="1:1" x14ac:dyDescent="0.25">
      <c r="A1000" s="53" t="s">
        <v>3281</v>
      </c>
    </row>
    <row r="1001" spans="1:1" x14ac:dyDescent="0.25">
      <c r="A1001" s="53" t="s">
        <v>3281</v>
      </c>
    </row>
    <row r="1002" spans="1:1" x14ac:dyDescent="0.25">
      <c r="A1002" s="53" t="s">
        <v>2941</v>
      </c>
    </row>
    <row r="1003" spans="1:1" x14ac:dyDescent="0.25">
      <c r="A1003" s="53" t="s">
        <v>3174</v>
      </c>
    </row>
    <row r="1004" spans="1:1" x14ac:dyDescent="0.25">
      <c r="A1004" s="53" t="s">
        <v>2489</v>
      </c>
    </row>
    <row r="1005" spans="1:1" x14ac:dyDescent="0.25">
      <c r="A1005" s="53" t="s">
        <v>3069</v>
      </c>
    </row>
    <row r="1006" spans="1:1" x14ac:dyDescent="0.25">
      <c r="A1006" s="53" t="s">
        <v>2807</v>
      </c>
    </row>
    <row r="1007" spans="1:1" x14ac:dyDescent="0.25">
      <c r="A1007" s="53" t="s">
        <v>2807</v>
      </c>
    </row>
    <row r="1008" spans="1:1" x14ac:dyDescent="0.25">
      <c r="A1008" s="53" t="s">
        <v>2205</v>
      </c>
    </row>
    <row r="1009" spans="1:1" x14ac:dyDescent="0.25">
      <c r="A1009" s="53" t="s">
        <v>2205</v>
      </c>
    </row>
    <row r="1010" spans="1:1" x14ac:dyDescent="0.25">
      <c r="A1010" s="53" t="s">
        <v>3350</v>
      </c>
    </row>
    <row r="1011" spans="1:1" x14ac:dyDescent="0.25">
      <c r="A1011" s="53" t="s">
        <v>2850</v>
      </c>
    </row>
    <row r="1012" spans="1:1" x14ac:dyDescent="0.25">
      <c r="A1012" s="53" t="s">
        <v>2008</v>
      </c>
    </row>
    <row r="1013" spans="1:1" x14ac:dyDescent="0.25">
      <c r="A1013" s="53" t="s">
        <v>2008</v>
      </c>
    </row>
    <row r="1014" spans="1:1" x14ac:dyDescent="0.25">
      <c r="A1014" s="53" t="s">
        <v>3046</v>
      </c>
    </row>
    <row r="1015" spans="1:1" x14ac:dyDescent="0.25">
      <c r="A1015" s="53" t="s">
        <v>2010</v>
      </c>
    </row>
    <row r="1016" spans="1:1" x14ac:dyDescent="0.25">
      <c r="A1016" s="53" t="s">
        <v>2010</v>
      </c>
    </row>
    <row r="1017" spans="1:1" x14ac:dyDescent="0.25">
      <c r="A1017" s="53" t="s">
        <v>3276</v>
      </c>
    </row>
    <row r="1018" spans="1:1" x14ac:dyDescent="0.25">
      <c r="A1018" s="53" t="s">
        <v>1962</v>
      </c>
    </row>
    <row r="1019" spans="1:1" x14ac:dyDescent="0.25">
      <c r="A1019" s="53" t="s">
        <v>2444</v>
      </c>
    </row>
    <row r="1020" spans="1:1" x14ac:dyDescent="0.25">
      <c r="A1020" s="53" t="s">
        <v>2444</v>
      </c>
    </row>
    <row r="1021" spans="1:1" x14ac:dyDescent="0.25">
      <c r="A1021" s="53" t="s">
        <v>2909</v>
      </c>
    </row>
    <row r="1022" spans="1:1" x14ac:dyDescent="0.25">
      <c r="A1022" s="53" t="s">
        <v>3092</v>
      </c>
    </row>
    <row r="1023" spans="1:1" x14ac:dyDescent="0.25">
      <c r="A1023" s="53" t="s">
        <v>3092</v>
      </c>
    </row>
    <row r="1024" spans="1:1" x14ac:dyDescent="0.25">
      <c r="A1024" s="53" t="s">
        <v>3576</v>
      </c>
    </row>
    <row r="1025" spans="1:1" x14ac:dyDescent="0.25">
      <c r="A1025" s="53" t="s">
        <v>2869</v>
      </c>
    </row>
    <row r="1026" spans="1:1" x14ac:dyDescent="0.25">
      <c r="A1026" s="53" t="s">
        <v>3274</v>
      </c>
    </row>
    <row r="1027" spans="1:1" x14ac:dyDescent="0.25">
      <c r="A1027" s="53" t="s">
        <v>2978</v>
      </c>
    </row>
    <row r="1028" spans="1:1" x14ac:dyDescent="0.25">
      <c r="A1028" s="53" t="s">
        <v>2666</v>
      </c>
    </row>
    <row r="1029" spans="1:1" x14ac:dyDescent="0.25">
      <c r="A1029" s="53" t="s">
        <v>2666</v>
      </c>
    </row>
    <row r="1030" spans="1:1" x14ac:dyDescent="0.25">
      <c r="A1030" s="53" t="s">
        <v>2677</v>
      </c>
    </row>
    <row r="1031" spans="1:1" x14ac:dyDescent="0.25">
      <c r="A1031" s="53" t="s">
        <v>2886</v>
      </c>
    </row>
    <row r="1032" spans="1:1" x14ac:dyDescent="0.25">
      <c r="A1032" s="53" t="s">
        <v>2256</v>
      </c>
    </row>
    <row r="1033" spans="1:1" x14ac:dyDescent="0.25">
      <c r="A1033" s="53" t="s">
        <v>2447</v>
      </c>
    </row>
    <row r="1034" spans="1:1" x14ac:dyDescent="0.25">
      <c r="A1034" s="53" t="s">
        <v>1895</v>
      </c>
    </row>
    <row r="1035" spans="1:1" x14ac:dyDescent="0.25">
      <c r="A1035" s="53" t="s">
        <v>1913</v>
      </c>
    </row>
    <row r="1036" spans="1:1" x14ac:dyDescent="0.25">
      <c r="A1036" s="53" t="s">
        <v>1899</v>
      </c>
    </row>
    <row r="1037" spans="1:1" x14ac:dyDescent="0.25">
      <c r="A1037" s="53" t="s">
        <v>1899</v>
      </c>
    </row>
    <row r="1038" spans="1:1" x14ac:dyDescent="0.25">
      <c r="A1038" s="53" t="s">
        <v>1946</v>
      </c>
    </row>
    <row r="1039" spans="1:1" x14ac:dyDescent="0.25">
      <c r="A1039" s="53" t="s">
        <v>2016</v>
      </c>
    </row>
    <row r="1040" spans="1:1" x14ac:dyDescent="0.25">
      <c r="A1040" s="53" t="s">
        <v>2017</v>
      </c>
    </row>
    <row r="1041" spans="1:1" x14ac:dyDescent="0.25">
      <c r="A1041" s="53" t="s">
        <v>1901</v>
      </c>
    </row>
    <row r="1042" spans="1:1" x14ac:dyDescent="0.25">
      <c r="A1042" s="53" t="s">
        <v>2028</v>
      </c>
    </row>
    <row r="1043" spans="1:1" x14ac:dyDescent="0.25">
      <c r="A1043" s="53" t="s">
        <v>1912</v>
      </c>
    </row>
    <row r="1044" spans="1:1" x14ac:dyDescent="0.25">
      <c r="A1044" s="53" t="s">
        <v>1912</v>
      </c>
    </row>
    <row r="1045" spans="1:1" x14ac:dyDescent="0.25">
      <c r="A1045" s="53" t="s">
        <v>2603</v>
      </c>
    </row>
    <row r="1046" spans="1:1" x14ac:dyDescent="0.25">
      <c r="A1046" s="53" t="s">
        <v>2603</v>
      </c>
    </row>
    <row r="1047" spans="1:1" x14ac:dyDescent="0.25">
      <c r="A1047" s="53" t="s">
        <v>2053</v>
      </c>
    </row>
    <row r="1048" spans="1:1" x14ac:dyDescent="0.25">
      <c r="A1048" s="53" t="s">
        <v>1968</v>
      </c>
    </row>
    <row r="1049" spans="1:1" x14ac:dyDescent="0.25">
      <c r="A1049" s="53" t="s">
        <v>2131</v>
      </c>
    </row>
    <row r="1050" spans="1:1" x14ac:dyDescent="0.25">
      <c r="A1050" s="53" t="s">
        <v>2131</v>
      </c>
    </row>
    <row r="1051" spans="1:1" x14ac:dyDescent="0.25">
      <c r="A1051" s="53" t="s">
        <v>1903</v>
      </c>
    </row>
    <row r="1052" spans="1:1" x14ac:dyDescent="0.25">
      <c r="A1052" s="53" t="s">
        <v>1910</v>
      </c>
    </row>
    <row r="1053" spans="1:1" x14ac:dyDescent="0.25">
      <c r="A1053" s="53" t="s">
        <v>1910</v>
      </c>
    </row>
    <row r="1054" spans="1:1" x14ac:dyDescent="0.25">
      <c r="A1054" s="53" t="s">
        <v>1894</v>
      </c>
    </row>
    <row r="1055" spans="1:1" x14ac:dyDescent="0.25">
      <c r="A1055" s="53" t="s">
        <v>2012</v>
      </c>
    </row>
    <row r="1056" spans="1:1" x14ac:dyDescent="0.25">
      <c r="A1056" s="53" t="s">
        <v>2012</v>
      </c>
    </row>
    <row r="1057" spans="1:1" x14ac:dyDescent="0.25">
      <c r="A1057" s="53" t="s">
        <v>1898</v>
      </c>
    </row>
    <row r="1058" spans="1:1" x14ac:dyDescent="0.25">
      <c r="A1058" s="53" t="s">
        <v>1897</v>
      </c>
    </row>
    <row r="1059" spans="1:1" x14ac:dyDescent="0.25">
      <c r="A1059" s="53" t="s">
        <v>1957</v>
      </c>
    </row>
    <row r="1060" spans="1:1" x14ac:dyDescent="0.25">
      <c r="A1060" s="53" t="s">
        <v>2527</v>
      </c>
    </row>
    <row r="1061" spans="1:1" x14ac:dyDescent="0.25">
      <c r="A1061" s="53" t="s">
        <v>2526</v>
      </c>
    </row>
    <row r="1062" spans="1:1" x14ac:dyDescent="0.25">
      <c r="A1062" s="53" t="s">
        <v>1911</v>
      </c>
    </row>
    <row r="1063" spans="1:1" x14ac:dyDescent="0.25">
      <c r="A1063" s="53" t="s">
        <v>1911</v>
      </c>
    </row>
    <row r="1064" spans="1:1" x14ac:dyDescent="0.25">
      <c r="A1064" s="53" t="s">
        <v>1907</v>
      </c>
    </row>
    <row r="1065" spans="1:1" x14ac:dyDescent="0.25">
      <c r="A1065" s="53" t="s">
        <v>3689</v>
      </c>
    </row>
    <row r="1066" spans="1:1" x14ac:dyDescent="0.25">
      <c r="A1066" s="53" t="s">
        <v>3606</v>
      </c>
    </row>
    <row r="1067" spans="1:1" x14ac:dyDescent="0.25">
      <c r="A1067" s="53" t="s">
        <v>3417</v>
      </c>
    </row>
    <row r="1068" spans="1:1" x14ac:dyDescent="0.25">
      <c r="A1068" s="53" t="s">
        <v>1971</v>
      </c>
    </row>
    <row r="1069" spans="1:1" x14ac:dyDescent="0.25">
      <c r="A1069" s="53" t="s">
        <v>3604</v>
      </c>
    </row>
    <row r="1070" spans="1:1" x14ac:dyDescent="0.25">
      <c r="A1070" s="53" t="s">
        <v>2998</v>
      </c>
    </row>
    <row r="1071" spans="1:1" x14ac:dyDescent="0.25">
      <c r="A1071" s="53" t="s">
        <v>2808</v>
      </c>
    </row>
    <row r="1072" spans="1:1" x14ac:dyDescent="0.25">
      <c r="A1072" s="53" t="s">
        <v>2808</v>
      </c>
    </row>
    <row r="1073" spans="1:1" x14ac:dyDescent="0.25">
      <c r="A1073" s="53" t="s">
        <v>3737</v>
      </c>
    </row>
    <row r="1074" spans="1:1" x14ac:dyDescent="0.25">
      <c r="A1074" s="53" t="s">
        <v>2108</v>
      </c>
    </row>
    <row r="1075" spans="1:1" x14ac:dyDescent="0.25">
      <c r="A1075" s="53" t="s">
        <v>2108</v>
      </c>
    </row>
    <row r="1076" spans="1:1" x14ac:dyDescent="0.25">
      <c r="A1076" s="53" t="s">
        <v>3137</v>
      </c>
    </row>
    <row r="1077" spans="1:1" x14ac:dyDescent="0.25">
      <c r="A1077" s="53" t="s">
        <v>3108</v>
      </c>
    </row>
    <row r="1078" spans="1:1" x14ac:dyDescent="0.25">
      <c r="A1078" s="53" t="s">
        <v>2036</v>
      </c>
    </row>
    <row r="1079" spans="1:1" x14ac:dyDescent="0.25">
      <c r="A1079" s="53" t="s">
        <v>2587</v>
      </c>
    </row>
    <row r="1080" spans="1:1" x14ac:dyDescent="0.25">
      <c r="A1080" s="53" t="s">
        <v>3075</v>
      </c>
    </row>
    <row r="1081" spans="1:1" x14ac:dyDescent="0.25">
      <c r="A1081" s="53" t="s">
        <v>3611</v>
      </c>
    </row>
    <row r="1082" spans="1:1" x14ac:dyDescent="0.25">
      <c r="A1082" s="53" t="s">
        <v>2178</v>
      </c>
    </row>
    <row r="1083" spans="1:1" x14ac:dyDescent="0.25">
      <c r="A1083" s="53" t="s">
        <v>3406</v>
      </c>
    </row>
    <row r="1084" spans="1:1" x14ac:dyDescent="0.25">
      <c r="A1084" s="53" t="s">
        <v>3177</v>
      </c>
    </row>
    <row r="1085" spans="1:1" x14ac:dyDescent="0.25">
      <c r="A1085" s="53" t="s">
        <v>2162</v>
      </c>
    </row>
    <row r="1086" spans="1:1" x14ac:dyDescent="0.25">
      <c r="A1086" s="53" t="s">
        <v>2049</v>
      </c>
    </row>
    <row r="1087" spans="1:1" x14ac:dyDescent="0.25">
      <c r="A1087" s="53" t="s">
        <v>3680</v>
      </c>
    </row>
    <row r="1088" spans="1:1" x14ac:dyDescent="0.25">
      <c r="A1088" s="53" t="s">
        <v>2194</v>
      </c>
    </row>
    <row r="1089" spans="1:1" x14ac:dyDescent="0.25">
      <c r="A1089" s="53" t="s">
        <v>1963</v>
      </c>
    </row>
    <row r="1090" spans="1:1" x14ac:dyDescent="0.25">
      <c r="A1090" s="53" t="s">
        <v>2203</v>
      </c>
    </row>
    <row r="1091" spans="1:1" x14ac:dyDescent="0.25">
      <c r="A1091" s="53" t="s">
        <v>3434</v>
      </c>
    </row>
    <row r="1092" spans="1:1" x14ac:dyDescent="0.25">
      <c r="A1092" s="53" t="s">
        <v>2653</v>
      </c>
    </row>
    <row r="1093" spans="1:1" x14ac:dyDescent="0.25">
      <c r="A1093" s="53" t="s">
        <v>2041</v>
      </c>
    </row>
    <row r="1094" spans="1:1" x14ac:dyDescent="0.25">
      <c r="A1094" s="53" t="s">
        <v>2700</v>
      </c>
    </row>
    <row r="1095" spans="1:1" x14ac:dyDescent="0.25">
      <c r="A1095" s="53" t="s">
        <v>2700</v>
      </c>
    </row>
    <row r="1096" spans="1:1" x14ac:dyDescent="0.25">
      <c r="A1096" s="53" t="s">
        <v>3332</v>
      </c>
    </row>
    <row r="1097" spans="1:1" x14ac:dyDescent="0.25">
      <c r="A1097" s="53" t="s">
        <v>3610</v>
      </c>
    </row>
    <row r="1098" spans="1:1" x14ac:dyDescent="0.25">
      <c r="A1098" s="53" t="s">
        <v>3308</v>
      </c>
    </row>
    <row r="1099" spans="1:1" x14ac:dyDescent="0.25">
      <c r="A1099" s="53" t="s">
        <v>3308</v>
      </c>
    </row>
    <row r="1100" spans="1:1" x14ac:dyDescent="0.25">
      <c r="A1100" s="53" t="s">
        <v>3536</v>
      </c>
    </row>
    <row r="1101" spans="1:1" x14ac:dyDescent="0.25">
      <c r="A1101" s="53" t="s">
        <v>2357</v>
      </c>
    </row>
    <row r="1102" spans="1:1" x14ac:dyDescent="0.25">
      <c r="A1102" s="53" t="s">
        <v>2352</v>
      </c>
    </row>
    <row r="1103" spans="1:1" x14ac:dyDescent="0.25">
      <c r="A1103" s="53" t="s">
        <v>2174</v>
      </c>
    </row>
    <row r="1104" spans="1:1" x14ac:dyDescent="0.25">
      <c r="A1104" s="53" t="s">
        <v>3605</v>
      </c>
    </row>
    <row r="1105" spans="1:1" x14ac:dyDescent="0.25">
      <c r="A1105" s="53" t="s">
        <v>2965</v>
      </c>
    </row>
    <row r="1106" spans="1:1" x14ac:dyDescent="0.25">
      <c r="A1106" s="53" t="s">
        <v>2965</v>
      </c>
    </row>
    <row r="1107" spans="1:1" x14ac:dyDescent="0.25">
      <c r="A1107" s="53" t="s">
        <v>1930</v>
      </c>
    </row>
    <row r="1108" spans="1:1" x14ac:dyDescent="0.25">
      <c r="A1108" s="53" t="s">
        <v>2204</v>
      </c>
    </row>
    <row r="1109" spans="1:1" x14ac:dyDescent="0.25">
      <c r="A1109" s="53" t="s">
        <v>2196</v>
      </c>
    </row>
    <row r="1110" spans="1:1" x14ac:dyDescent="0.25">
      <c r="A1110" s="53" t="s">
        <v>2229</v>
      </c>
    </row>
    <row r="1111" spans="1:1" x14ac:dyDescent="0.25">
      <c r="A1111" s="53" t="s">
        <v>3456</v>
      </c>
    </row>
    <row r="1112" spans="1:1" x14ac:dyDescent="0.25">
      <c r="A1112" s="53" t="s">
        <v>3690</v>
      </c>
    </row>
    <row r="1113" spans="1:1" x14ac:dyDescent="0.25">
      <c r="A1113" s="53" t="s">
        <v>1937</v>
      </c>
    </row>
    <row r="1114" spans="1:1" x14ac:dyDescent="0.25">
      <c r="A1114" s="53" t="s">
        <v>1937</v>
      </c>
    </row>
    <row r="1115" spans="1:1" x14ac:dyDescent="0.25">
      <c r="A1115" s="53" t="s">
        <v>2630</v>
      </c>
    </row>
    <row r="1116" spans="1:1" x14ac:dyDescent="0.25">
      <c r="A1116" s="53" t="s">
        <v>3600</v>
      </c>
    </row>
    <row r="1117" spans="1:1" x14ac:dyDescent="0.25">
      <c r="A1117" s="53" t="s">
        <v>2146</v>
      </c>
    </row>
    <row r="1118" spans="1:1" x14ac:dyDescent="0.25">
      <c r="A1118" s="53" t="s">
        <v>2186</v>
      </c>
    </row>
    <row r="1119" spans="1:1" x14ac:dyDescent="0.25">
      <c r="A1119" s="53" t="s">
        <v>3613</v>
      </c>
    </row>
    <row r="1120" spans="1:1" x14ac:dyDescent="0.25">
      <c r="A1120" s="53" t="s">
        <v>1882</v>
      </c>
    </row>
    <row r="1121" spans="1:1" x14ac:dyDescent="0.25">
      <c r="A1121" s="53" t="s">
        <v>2274</v>
      </c>
    </row>
    <row r="1122" spans="1:1" x14ac:dyDescent="0.25">
      <c r="A1122" s="53" t="s">
        <v>3135</v>
      </c>
    </row>
    <row r="1123" spans="1:1" x14ac:dyDescent="0.25">
      <c r="A1123" s="53" t="s">
        <v>3290</v>
      </c>
    </row>
    <row r="1124" spans="1:1" x14ac:dyDescent="0.25">
      <c r="A1124" s="53" t="s">
        <v>3524</v>
      </c>
    </row>
    <row r="1125" spans="1:1" x14ac:dyDescent="0.25">
      <c r="A1125" s="53" t="s">
        <v>3509</v>
      </c>
    </row>
    <row r="1126" spans="1:1" x14ac:dyDescent="0.25">
      <c r="A1126" s="53" t="s">
        <v>3176</v>
      </c>
    </row>
    <row r="1127" spans="1:1" x14ac:dyDescent="0.25">
      <c r="A1127" s="53" t="s">
        <v>3478</v>
      </c>
    </row>
    <row r="1128" spans="1:1" x14ac:dyDescent="0.25">
      <c r="A1128" s="53" t="s">
        <v>3077</v>
      </c>
    </row>
    <row r="1129" spans="1:1" x14ac:dyDescent="0.25">
      <c r="A1129" s="53" t="s">
        <v>2753</v>
      </c>
    </row>
    <row r="1130" spans="1:1" x14ac:dyDescent="0.25">
      <c r="A1130" s="53" t="s">
        <v>3679</v>
      </c>
    </row>
    <row r="1131" spans="1:1" x14ac:dyDescent="0.25">
      <c r="A1131" s="53" t="s">
        <v>3595</v>
      </c>
    </row>
    <row r="1132" spans="1:1" x14ac:dyDescent="0.25">
      <c r="A1132" s="53" t="s">
        <v>2699</v>
      </c>
    </row>
    <row r="1133" spans="1:1" x14ac:dyDescent="0.25">
      <c r="A1133" s="53" t="s">
        <v>2255</v>
      </c>
    </row>
    <row r="1134" spans="1:1" x14ac:dyDescent="0.25">
      <c r="A1134" s="53" t="s">
        <v>3602</v>
      </c>
    </row>
    <row r="1135" spans="1:1" x14ac:dyDescent="0.25">
      <c r="A1135" s="53" t="s">
        <v>1909</v>
      </c>
    </row>
    <row r="1136" spans="1:1" x14ac:dyDescent="0.25">
      <c r="A1136" s="53" t="s">
        <v>3429</v>
      </c>
    </row>
    <row r="1137" spans="1:1" x14ac:dyDescent="0.25">
      <c r="A1137" s="53" t="s">
        <v>3429</v>
      </c>
    </row>
    <row r="1138" spans="1:1" x14ac:dyDescent="0.25">
      <c r="A1138" s="53" t="s">
        <v>3257</v>
      </c>
    </row>
    <row r="1139" spans="1:1" x14ac:dyDescent="0.25">
      <c r="A1139" s="53" t="s">
        <v>2536</v>
      </c>
    </row>
    <row r="1140" spans="1:1" x14ac:dyDescent="0.25">
      <c r="A1140" s="53" t="s">
        <v>1905</v>
      </c>
    </row>
    <row r="1141" spans="1:1" x14ac:dyDescent="0.25">
      <c r="A1141" s="53" t="s">
        <v>3220</v>
      </c>
    </row>
    <row r="1142" spans="1:1" x14ac:dyDescent="0.25">
      <c r="A1142" s="53" t="s">
        <v>3592</v>
      </c>
    </row>
    <row r="1143" spans="1:1" x14ac:dyDescent="0.25">
      <c r="A1143" s="53" t="s">
        <v>3405</v>
      </c>
    </row>
    <row r="1144" spans="1:1" x14ac:dyDescent="0.25">
      <c r="A1144" s="53" t="s">
        <v>3301</v>
      </c>
    </row>
    <row r="1145" spans="1:1" x14ac:dyDescent="0.25">
      <c r="A1145" s="53" t="s">
        <v>3024</v>
      </c>
    </row>
    <row r="1146" spans="1:1" x14ac:dyDescent="0.25">
      <c r="A1146" s="53" t="s">
        <v>2011</v>
      </c>
    </row>
    <row r="1147" spans="1:1" x14ac:dyDescent="0.25">
      <c r="A1147" s="53" t="s">
        <v>3513</v>
      </c>
    </row>
    <row r="1148" spans="1:1" x14ac:dyDescent="0.25">
      <c r="A1148" s="53" t="s">
        <v>3537</v>
      </c>
    </row>
    <row r="1149" spans="1:1" x14ac:dyDescent="0.25">
      <c r="A1149" s="53" t="s">
        <v>3211</v>
      </c>
    </row>
    <row r="1150" spans="1:1" x14ac:dyDescent="0.25">
      <c r="A1150" s="53" t="s">
        <v>2283</v>
      </c>
    </row>
    <row r="1151" spans="1:1" x14ac:dyDescent="0.25">
      <c r="A1151" s="53" t="s">
        <v>3256</v>
      </c>
    </row>
    <row r="1152" spans="1:1" x14ac:dyDescent="0.25">
      <c r="A1152" s="53" t="s">
        <v>3237</v>
      </c>
    </row>
    <row r="1153" spans="1:1" x14ac:dyDescent="0.25">
      <c r="A1153" s="53" t="s">
        <v>3237</v>
      </c>
    </row>
    <row r="1154" spans="1:1" x14ac:dyDescent="0.25">
      <c r="A1154" s="53" t="s">
        <v>2305</v>
      </c>
    </row>
    <row r="1155" spans="1:1" x14ac:dyDescent="0.25">
      <c r="A1155" s="53" t="s">
        <v>3238</v>
      </c>
    </row>
    <row r="1156" spans="1:1" x14ac:dyDescent="0.25">
      <c r="A1156" s="53" t="s">
        <v>3238</v>
      </c>
    </row>
    <row r="1157" spans="1:1" x14ac:dyDescent="0.25">
      <c r="A1157" s="53" t="s">
        <v>3732</v>
      </c>
    </row>
    <row r="1158" spans="1:1" x14ac:dyDescent="0.25">
      <c r="A1158" s="53" t="s">
        <v>3395</v>
      </c>
    </row>
    <row r="1159" spans="1:1" x14ac:dyDescent="0.25">
      <c r="A1159" s="53" t="s">
        <v>2927</v>
      </c>
    </row>
    <row r="1160" spans="1:1" x14ac:dyDescent="0.25">
      <c r="A1160" s="53" t="s">
        <v>3387</v>
      </c>
    </row>
    <row r="1161" spans="1:1" x14ac:dyDescent="0.25">
      <c r="A1161" s="53" t="s">
        <v>3387</v>
      </c>
    </row>
    <row r="1162" spans="1:1" x14ac:dyDescent="0.25">
      <c r="A1162" s="53" t="s">
        <v>2735</v>
      </c>
    </row>
    <row r="1163" spans="1:1" x14ac:dyDescent="0.25">
      <c r="A1163" s="53" t="s">
        <v>2538</v>
      </c>
    </row>
    <row r="1164" spans="1:1" x14ac:dyDescent="0.25">
      <c r="A1164" s="53" t="s">
        <v>2847</v>
      </c>
    </row>
    <row r="1165" spans="1:1" x14ac:dyDescent="0.25">
      <c r="A1165" s="53" t="s">
        <v>3030</v>
      </c>
    </row>
    <row r="1166" spans="1:1" x14ac:dyDescent="0.25">
      <c r="A1166" s="53" t="s">
        <v>3009</v>
      </c>
    </row>
    <row r="1167" spans="1:1" x14ac:dyDescent="0.25">
      <c r="A1167" s="53" t="s">
        <v>3358</v>
      </c>
    </row>
    <row r="1168" spans="1:1" x14ac:dyDescent="0.25">
      <c r="A1168" s="53" t="s">
        <v>3404</v>
      </c>
    </row>
    <row r="1169" spans="1:1" x14ac:dyDescent="0.25">
      <c r="A1169" s="53" t="s">
        <v>2531</v>
      </c>
    </row>
    <row r="1170" spans="1:1" x14ac:dyDescent="0.25">
      <c r="A1170" s="53" t="s">
        <v>2038</v>
      </c>
    </row>
    <row r="1171" spans="1:1" x14ac:dyDescent="0.25">
      <c r="A1171" s="53" t="s">
        <v>3435</v>
      </c>
    </row>
    <row r="1172" spans="1:1" x14ac:dyDescent="0.25">
      <c r="A1172" s="53" t="s">
        <v>3744</v>
      </c>
    </row>
    <row r="1173" spans="1:1" x14ac:dyDescent="0.25">
      <c r="A1173" s="53" t="s">
        <v>3551</v>
      </c>
    </row>
    <row r="1174" spans="1:1" x14ac:dyDescent="0.25">
      <c r="A1174" s="53" t="s">
        <v>3551</v>
      </c>
    </row>
    <row r="1175" spans="1:1" x14ac:dyDescent="0.25">
      <c r="A1175" s="53" t="s">
        <v>2594</v>
      </c>
    </row>
    <row r="1176" spans="1:1" x14ac:dyDescent="0.25">
      <c r="A1176" s="53" t="s">
        <v>3414</v>
      </c>
    </row>
    <row r="1177" spans="1:1" x14ac:dyDescent="0.25">
      <c r="A1177" s="53" t="s">
        <v>3414</v>
      </c>
    </row>
    <row r="1178" spans="1:1" x14ac:dyDescent="0.25">
      <c r="A1178" s="53" t="s">
        <v>2979</v>
      </c>
    </row>
    <row r="1179" spans="1:1" x14ac:dyDescent="0.25">
      <c r="A1179" s="53" t="s">
        <v>2979</v>
      </c>
    </row>
    <row r="1180" spans="1:1" x14ac:dyDescent="0.25">
      <c r="A1180" s="53" t="s">
        <v>3517</v>
      </c>
    </row>
    <row r="1181" spans="1:1" x14ac:dyDescent="0.25">
      <c r="A1181" s="53" t="s">
        <v>3557</v>
      </c>
    </row>
    <row r="1182" spans="1:1" x14ac:dyDescent="0.25">
      <c r="A1182" s="53" t="s">
        <v>3557</v>
      </c>
    </row>
    <row r="1183" spans="1:1" x14ac:dyDescent="0.25">
      <c r="A1183" s="53" t="s">
        <v>3591</v>
      </c>
    </row>
    <row r="1184" spans="1:1" x14ac:dyDescent="0.25">
      <c r="A1184" s="53" t="s">
        <v>2962</v>
      </c>
    </row>
    <row r="1185" spans="1:1" x14ac:dyDescent="0.25">
      <c r="A1185" s="53" t="s">
        <v>3178</v>
      </c>
    </row>
    <row r="1186" spans="1:1" x14ac:dyDescent="0.25">
      <c r="A1186" s="53" t="s">
        <v>2013</v>
      </c>
    </row>
    <row r="1187" spans="1:1" x14ac:dyDescent="0.25">
      <c r="A1187" s="53" t="s">
        <v>3375</v>
      </c>
    </row>
    <row r="1188" spans="1:1" x14ac:dyDescent="0.25">
      <c r="A1188" s="53" t="s">
        <v>1956</v>
      </c>
    </row>
    <row r="1189" spans="1:1" x14ac:dyDescent="0.25">
      <c r="A1189" s="53" t="s">
        <v>3419</v>
      </c>
    </row>
    <row r="1190" spans="1:1" x14ac:dyDescent="0.25">
      <c r="A1190" s="53" t="s">
        <v>3739</v>
      </c>
    </row>
    <row r="1191" spans="1:1" x14ac:dyDescent="0.25">
      <c r="A1191" s="53" t="s">
        <v>2835</v>
      </c>
    </row>
    <row r="1192" spans="1:1" x14ac:dyDescent="0.25">
      <c r="A1192" s="53" t="s">
        <v>3451</v>
      </c>
    </row>
    <row r="1193" spans="1:1" x14ac:dyDescent="0.25">
      <c r="A1193" s="53" t="s">
        <v>2486</v>
      </c>
    </row>
    <row r="1194" spans="1:1" x14ac:dyDescent="0.25">
      <c r="A1194" s="53" t="s">
        <v>3361</v>
      </c>
    </row>
    <row r="1195" spans="1:1" x14ac:dyDescent="0.25">
      <c r="A1195" s="53" t="s">
        <v>2867</v>
      </c>
    </row>
    <row r="1196" spans="1:1" x14ac:dyDescent="0.25">
      <c r="A1196" s="53" t="s">
        <v>2915</v>
      </c>
    </row>
    <row r="1197" spans="1:1" x14ac:dyDescent="0.25">
      <c r="A1197" s="53" t="s">
        <v>2915</v>
      </c>
    </row>
    <row r="1198" spans="1:1" x14ac:dyDescent="0.25">
      <c r="A1198" s="53" t="s">
        <v>2128</v>
      </c>
    </row>
    <row r="1199" spans="1:1" x14ac:dyDescent="0.25">
      <c r="A1199" s="53" t="s">
        <v>3330</v>
      </c>
    </row>
    <row r="1200" spans="1:1" x14ac:dyDescent="0.25">
      <c r="A1200" s="53" t="s">
        <v>3081</v>
      </c>
    </row>
    <row r="1201" spans="1:1" x14ac:dyDescent="0.25">
      <c r="A1201" s="53" t="s">
        <v>3462</v>
      </c>
    </row>
    <row r="1202" spans="1:1" x14ac:dyDescent="0.25">
      <c r="A1202" s="53" t="s">
        <v>3462</v>
      </c>
    </row>
    <row r="1203" spans="1:1" x14ac:dyDescent="0.25">
      <c r="A1203" s="53" t="s">
        <v>2923</v>
      </c>
    </row>
    <row r="1204" spans="1:1" x14ac:dyDescent="0.25">
      <c r="A1204" s="53" t="s">
        <v>2923</v>
      </c>
    </row>
    <row r="1205" spans="1:1" x14ac:dyDescent="0.25">
      <c r="A1205" s="53" t="s">
        <v>2137</v>
      </c>
    </row>
    <row r="1206" spans="1:1" x14ac:dyDescent="0.25">
      <c r="A1206" s="53" t="s">
        <v>2698</v>
      </c>
    </row>
    <row r="1207" spans="1:1" x14ac:dyDescent="0.25">
      <c r="A1207" s="53" t="s">
        <v>2706</v>
      </c>
    </row>
    <row r="1208" spans="1:1" x14ac:dyDescent="0.25">
      <c r="A1208" s="53" t="s">
        <v>2530</v>
      </c>
    </row>
    <row r="1209" spans="1:1" x14ac:dyDescent="0.25">
      <c r="A1209" s="53" t="s">
        <v>3345</v>
      </c>
    </row>
    <row r="1210" spans="1:1" x14ac:dyDescent="0.25">
      <c r="A1210" s="53" t="s">
        <v>3365</v>
      </c>
    </row>
    <row r="1211" spans="1:1" x14ac:dyDescent="0.25">
      <c r="A1211" s="53" t="s">
        <v>3306</v>
      </c>
    </row>
    <row r="1212" spans="1:1" x14ac:dyDescent="0.25">
      <c r="A1212" s="53" t="s">
        <v>3240</v>
      </c>
    </row>
    <row r="1213" spans="1:1" x14ac:dyDescent="0.25">
      <c r="A1213" s="53" t="s">
        <v>2669</v>
      </c>
    </row>
    <row r="1214" spans="1:1" x14ac:dyDescent="0.25">
      <c r="A1214" s="53" t="s">
        <v>1976</v>
      </c>
    </row>
    <row r="1215" spans="1:1" x14ac:dyDescent="0.25">
      <c r="A1215" s="53" t="s">
        <v>2786</v>
      </c>
    </row>
    <row r="1216" spans="1:1" x14ac:dyDescent="0.25">
      <c r="A1216" s="53" t="s">
        <v>2786</v>
      </c>
    </row>
    <row r="1217" spans="1:1" x14ac:dyDescent="0.25">
      <c r="A1217" s="53" t="s">
        <v>2692</v>
      </c>
    </row>
    <row r="1218" spans="1:1" x14ac:dyDescent="0.25">
      <c r="A1218" s="53" t="s">
        <v>2692</v>
      </c>
    </row>
    <row r="1219" spans="1:1" x14ac:dyDescent="0.25">
      <c r="A1219" s="53" t="s">
        <v>3626</v>
      </c>
    </row>
    <row r="1220" spans="1:1" x14ac:dyDescent="0.25">
      <c r="A1220" s="53" t="s">
        <v>1973</v>
      </c>
    </row>
    <row r="1221" spans="1:1" x14ac:dyDescent="0.25">
      <c r="A1221" s="53" t="s">
        <v>2163</v>
      </c>
    </row>
    <row r="1222" spans="1:1" x14ac:dyDescent="0.25">
      <c r="A1222" s="53" t="s">
        <v>3443</v>
      </c>
    </row>
    <row r="1223" spans="1:1" x14ac:dyDescent="0.25">
      <c r="A1223" s="53" t="s">
        <v>3540</v>
      </c>
    </row>
    <row r="1224" spans="1:1" x14ac:dyDescent="0.25">
      <c r="A1224" s="53" t="s">
        <v>3440</v>
      </c>
    </row>
    <row r="1225" spans="1:1" x14ac:dyDescent="0.25">
      <c r="A1225" s="53" t="s">
        <v>2768</v>
      </c>
    </row>
    <row r="1226" spans="1:1" x14ac:dyDescent="0.25">
      <c r="A1226" s="53" t="s">
        <v>2836</v>
      </c>
    </row>
    <row r="1227" spans="1:1" x14ac:dyDescent="0.25">
      <c r="A1227" s="53" t="s">
        <v>2917</v>
      </c>
    </row>
    <row r="1228" spans="1:1" x14ac:dyDescent="0.25">
      <c r="A1228" s="53" t="s">
        <v>3088</v>
      </c>
    </row>
    <row r="1229" spans="1:1" x14ac:dyDescent="0.25">
      <c r="A1229" s="53" t="s">
        <v>2863</v>
      </c>
    </row>
    <row r="1230" spans="1:1" x14ac:dyDescent="0.25">
      <c r="A1230" s="53" t="s">
        <v>2022</v>
      </c>
    </row>
    <row r="1231" spans="1:1" x14ac:dyDescent="0.25">
      <c r="A1231" s="53" t="s">
        <v>3187</v>
      </c>
    </row>
    <row r="1232" spans="1:1" x14ac:dyDescent="0.25">
      <c r="A1232" s="53" t="s">
        <v>2690</v>
      </c>
    </row>
    <row r="1233" spans="1:1" x14ac:dyDescent="0.25">
      <c r="A1233" s="53" t="s">
        <v>2690</v>
      </c>
    </row>
    <row r="1234" spans="1:1" x14ac:dyDescent="0.25">
      <c r="A1234" s="53" t="s">
        <v>2726</v>
      </c>
    </row>
    <row r="1235" spans="1:1" x14ac:dyDescent="0.25">
      <c r="A1235" s="53" t="s">
        <v>2195</v>
      </c>
    </row>
    <row r="1236" spans="1:1" x14ac:dyDescent="0.25">
      <c r="A1236" s="53" t="s">
        <v>2197</v>
      </c>
    </row>
    <row r="1237" spans="1:1" x14ac:dyDescent="0.25">
      <c r="A1237" s="53" t="s">
        <v>2857</v>
      </c>
    </row>
    <row r="1238" spans="1:1" x14ac:dyDescent="0.25">
      <c r="A1238" s="53" t="s">
        <v>2370</v>
      </c>
    </row>
    <row r="1239" spans="1:1" x14ac:dyDescent="0.25">
      <c r="A1239" s="53" t="s">
        <v>3490</v>
      </c>
    </row>
    <row r="1240" spans="1:1" x14ac:dyDescent="0.25">
      <c r="A1240" s="53" t="s">
        <v>2740</v>
      </c>
    </row>
    <row r="1241" spans="1:1" x14ac:dyDescent="0.25">
      <c r="A1241" s="53" t="s">
        <v>3467</v>
      </c>
    </row>
    <row r="1242" spans="1:1" x14ac:dyDescent="0.25">
      <c r="A1242" s="53" t="s">
        <v>3341</v>
      </c>
    </row>
    <row r="1243" spans="1:1" x14ac:dyDescent="0.25">
      <c r="A1243" s="53" t="s">
        <v>3470</v>
      </c>
    </row>
    <row r="1244" spans="1:1" x14ac:dyDescent="0.25">
      <c r="A1244" s="53" t="s">
        <v>3090</v>
      </c>
    </row>
    <row r="1245" spans="1:1" x14ac:dyDescent="0.25">
      <c r="A1245" s="53" t="s">
        <v>2722</v>
      </c>
    </row>
    <row r="1246" spans="1:1" x14ac:dyDescent="0.25">
      <c r="A1246" s="53" t="s">
        <v>1987</v>
      </c>
    </row>
    <row r="1247" spans="1:1" x14ac:dyDescent="0.25">
      <c r="A1247" s="53" t="s">
        <v>1987</v>
      </c>
    </row>
    <row r="1248" spans="1:1" x14ac:dyDescent="0.25">
      <c r="A1248" s="53" t="s">
        <v>3558</v>
      </c>
    </row>
    <row r="1249" spans="1:1" x14ac:dyDescent="0.25">
      <c r="A1249" s="53" t="s">
        <v>2086</v>
      </c>
    </row>
    <row r="1250" spans="1:1" x14ac:dyDescent="0.25">
      <c r="A1250" s="53" t="s">
        <v>2925</v>
      </c>
    </row>
    <row r="1251" spans="1:1" x14ac:dyDescent="0.25">
      <c r="A1251" s="53" t="s">
        <v>2652</v>
      </c>
    </row>
    <row r="1252" spans="1:1" x14ac:dyDescent="0.25">
      <c r="A1252" s="53" t="s">
        <v>2687</v>
      </c>
    </row>
    <row r="1253" spans="1:1" x14ac:dyDescent="0.25">
      <c r="A1253" s="53" t="s">
        <v>1891</v>
      </c>
    </row>
    <row r="1254" spans="1:1" x14ac:dyDescent="0.25">
      <c r="A1254" s="53" t="s">
        <v>2959</v>
      </c>
    </row>
    <row r="1255" spans="1:1" x14ac:dyDescent="0.25">
      <c r="A1255" s="53" t="s">
        <v>2747</v>
      </c>
    </row>
    <row r="1256" spans="1:1" x14ac:dyDescent="0.25">
      <c r="A1256" s="53" t="s">
        <v>3179</v>
      </c>
    </row>
    <row r="1257" spans="1:1" x14ac:dyDescent="0.25">
      <c r="A1257" s="53" t="s">
        <v>3179</v>
      </c>
    </row>
    <row r="1258" spans="1:1" x14ac:dyDescent="0.25">
      <c r="A1258" s="53" t="s">
        <v>2703</v>
      </c>
    </row>
    <row r="1259" spans="1:1" x14ac:dyDescent="0.25">
      <c r="A1259" s="53" t="s">
        <v>2703</v>
      </c>
    </row>
    <row r="1260" spans="1:1" x14ac:dyDescent="0.25">
      <c r="A1260" s="53" t="s">
        <v>2995</v>
      </c>
    </row>
    <row r="1261" spans="1:1" x14ac:dyDescent="0.25">
      <c r="A1261" s="53" t="s">
        <v>2115</v>
      </c>
    </row>
    <row r="1262" spans="1:1" x14ac:dyDescent="0.25">
      <c r="A1262" s="53" t="s">
        <v>2794</v>
      </c>
    </row>
    <row r="1263" spans="1:1" x14ac:dyDescent="0.25">
      <c r="A1263" s="53" t="s">
        <v>3101</v>
      </c>
    </row>
    <row r="1264" spans="1:1" x14ac:dyDescent="0.25">
      <c r="A1264" s="53" t="s">
        <v>3544</v>
      </c>
    </row>
    <row r="1265" spans="1:1" x14ac:dyDescent="0.25">
      <c r="A1265" s="53" t="s">
        <v>2825</v>
      </c>
    </row>
    <row r="1266" spans="1:1" x14ac:dyDescent="0.25">
      <c r="A1266" s="53" t="s">
        <v>1970</v>
      </c>
    </row>
    <row r="1267" spans="1:1" x14ac:dyDescent="0.25">
      <c r="A1267" s="53" t="s">
        <v>1970</v>
      </c>
    </row>
    <row r="1268" spans="1:1" x14ac:dyDescent="0.25">
      <c r="A1268" s="53" t="s">
        <v>2293</v>
      </c>
    </row>
    <row r="1269" spans="1:1" x14ac:dyDescent="0.25">
      <c r="A1269" s="53" t="s">
        <v>3599</v>
      </c>
    </row>
    <row r="1270" spans="1:1" x14ac:dyDescent="0.25">
      <c r="A1270" s="53" t="s">
        <v>3020</v>
      </c>
    </row>
    <row r="1271" spans="1:1" x14ac:dyDescent="0.25">
      <c r="A1271" s="53" t="s">
        <v>3302</v>
      </c>
    </row>
    <row r="1272" spans="1:1" x14ac:dyDescent="0.25">
      <c r="A1272" s="53" t="s">
        <v>3194</v>
      </c>
    </row>
    <row r="1273" spans="1:1" x14ac:dyDescent="0.25">
      <c r="A1273" s="53" t="s">
        <v>3194</v>
      </c>
    </row>
    <row r="1274" spans="1:1" x14ac:dyDescent="0.25">
      <c r="A1274" s="53" t="s">
        <v>3564</v>
      </c>
    </row>
    <row r="1275" spans="1:1" x14ac:dyDescent="0.25">
      <c r="A1275" s="53" t="s">
        <v>3269</v>
      </c>
    </row>
    <row r="1276" spans="1:1" x14ac:dyDescent="0.25">
      <c r="A1276" s="53" t="s">
        <v>3269</v>
      </c>
    </row>
    <row r="1277" spans="1:1" x14ac:dyDescent="0.25">
      <c r="A1277" s="53" t="s">
        <v>3553</v>
      </c>
    </row>
    <row r="1278" spans="1:1" x14ac:dyDescent="0.25">
      <c r="A1278" s="53" t="s">
        <v>3731</v>
      </c>
    </row>
    <row r="1279" spans="1:1" x14ac:dyDescent="0.25">
      <c r="A1279" s="53" t="s">
        <v>2856</v>
      </c>
    </row>
    <row r="1280" spans="1:1" x14ac:dyDescent="0.25">
      <c r="A1280" s="53" t="s">
        <v>2691</v>
      </c>
    </row>
    <row r="1281" spans="1:1" x14ac:dyDescent="0.25">
      <c r="A1281" s="53" t="s">
        <v>3156</v>
      </c>
    </row>
    <row r="1282" spans="1:1" x14ac:dyDescent="0.25">
      <c r="A1282" s="53" t="s">
        <v>2045</v>
      </c>
    </row>
    <row r="1283" spans="1:1" x14ac:dyDescent="0.25">
      <c r="A1283" s="53" t="s">
        <v>3593</v>
      </c>
    </row>
    <row r="1284" spans="1:1" x14ac:dyDescent="0.25">
      <c r="A1284" s="53" t="s">
        <v>3337</v>
      </c>
    </row>
    <row r="1285" spans="1:1" x14ac:dyDescent="0.25">
      <c r="A1285" s="53" t="s">
        <v>3337</v>
      </c>
    </row>
    <row r="1286" spans="1:1" x14ac:dyDescent="0.25">
      <c r="A1286" s="53" t="s">
        <v>2198</v>
      </c>
    </row>
    <row r="1287" spans="1:1" x14ac:dyDescent="0.25">
      <c r="A1287" s="53" t="s">
        <v>3741</v>
      </c>
    </row>
    <row r="1288" spans="1:1" x14ac:dyDescent="0.25">
      <c r="A1288" s="53" t="s">
        <v>3167</v>
      </c>
    </row>
    <row r="1289" spans="1:1" x14ac:dyDescent="0.25">
      <c r="A1289" s="53" t="s">
        <v>2778</v>
      </c>
    </row>
    <row r="1290" spans="1:1" x14ac:dyDescent="0.25">
      <c r="A1290" s="53" t="s">
        <v>3391</v>
      </c>
    </row>
    <row r="1291" spans="1:1" x14ac:dyDescent="0.25">
      <c r="A1291" s="53" t="s">
        <v>3180</v>
      </c>
    </row>
    <row r="1292" spans="1:1" x14ac:dyDescent="0.25">
      <c r="A1292" s="53" t="s">
        <v>2158</v>
      </c>
    </row>
    <row r="1293" spans="1:1" x14ac:dyDescent="0.25">
      <c r="A1293" s="53" t="s">
        <v>2134</v>
      </c>
    </row>
    <row r="1294" spans="1:1" x14ac:dyDescent="0.25">
      <c r="A1294" s="53" t="s">
        <v>2707</v>
      </c>
    </row>
    <row r="1295" spans="1:1" x14ac:dyDescent="0.25">
      <c r="A1295" s="53" t="s">
        <v>2707</v>
      </c>
    </row>
    <row r="1296" spans="1:1" x14ac:dyDescent="0.25">
      <c r="A1296" s="53" t="s">
        <v>3740</v>
      </c>
    </row>
    <row r="1297" spans="1:1" x14ac:dyDescent="0.25">
      <c r="A1297" s="53" t="s">
        <v>3736</v>
      </c>
    </row>
    <row r="1298" spans="1:1" x14ac:dyDescent="0.25">
      <c r="A1298" s="53" t="s">
        <v>3523</v>
      </c>
    </row>
    <row r="1299" spans="1:1" x14ac:dyDescent="0.25">
      <c r="A1299" s="53" t="s">
        <v>3120</v>
      </c>
    </row>
    <row r="1300" spans="1:1" x14ac:dyDescent="0.25">
      <c r="A1300" s="53" t="s">
        <v>2997</v>
      </c>
    </row>
    <row r="1301" spans="1:1" x14ac:dyDescent="0.25">
      <c r="A1301" s="53" t="s">
        <v>3255</v>
      </c>
    </row>
    <row r="1302" spans="1:1" x14ac:dyDescent="0.25">
      <c r="A1302" s="53" t="s">
        <v>2972</v>
      </c>
    </row>
    <row r="1303" spans="1:1" x14ac:dyDescent="0.25">
      <c r="A1303" s="53" t="s">
        <v>2951</v>
      </c>
    </row>
    <row r="1304" spans="1:1" x14ac:dyDescent="0.25">
      <c r="A1304" s="53" t="s">
        <v>2662</v>
      </c>
    </row>
    <row r="1305" spans="1:1" x14ac:dyDescent="0.25">
      <c r="A1305" s="53" t="s">
        <v>2662</v>
      </c>
    </row>
    <row r="1306" spans="1:1" x14ac:dyDescent="0.25">
      <c r="A1306" s="53" t="s">
        <v>3416</v>
      </c>
    </row>
    <row r="1307" spans="1:1" x14ac:dyDescent="0.25">
      <c r="A1307" s="53" t="s">
        <v>3416</v>
      </c>
    </row>
    <row r="1308" spans="1:1" x14ac:dyDescent="0.25">
      <c r="A1308" s="53" t="s">
        <v>2916</v>
      </c>
    </row>
    <row r="1309" spans="1:1" x14ac:dyDescent="0.25">
      <c r="A1309" s="53" t="s">
        <v>2916</v>
      </c>
    </row>
    <row r="1310" spans="1:1" x14ac:dyDescent="0.25">
      <c r="A1310" s="53" t="s">
        <v>2788</v>
      </c>
    </row>
    <row r="1311" spans="1:1" x14ac:dyDescent="0.25">
      <c r="A1311" s="53" t="s">
        <v>2788</v>
      </c>
    </row>
    <row r="1312" spans="1:1" x14ac:dyDescent="0.25">
      <c r="A1312" s="53" t="s">
        <v>2820</v>
      </c>
    </row>
    <row r="1313" spans="1:1" x14ac:dyDescent="0.25">
      <c r="A1313" s="53" t="s">
        <v>2820</v>
      </c>
    </row>
    <row r="1314" spans="1:1" x14ac:dyDescent="0.25">
      <c r="A1314" s="53" t="s">
        <v>1906</v>
      </c>
    </row>
    <row r="1315" spans="1:1" x14ac:dyDescent="0.25">
      <c r="A1315" s="53" t="s">
        <v>1906</v>
      </c>
    </row>
    <row r="1316" spans="1:1" x14ac:dyDescent="0.25">
      <c r="A1316" s="53" t="s">
        <v>3528</v>
      </c>
    </row>
    <row r="1317" spans="1:1" x14ac:dyDescent="0.25">
      <c r="A1317" s="53" t="s">
        <v>3453</v>
      </c>
    </row>
    <row r="1318" spans="1:1" x14ac:dyDescent="0.25">
      <c r="A1318" s="53" t="s">
        <v>3453</v>
      </c>
    </row>
    <row r="1319" spans="1:1" x14ac:dyDescent="0.25">
      <c r="A1319" s="53" t="s">
        <v>3327</v>
      </c>
    </row>
    <row r="1320" spans="1:1" x14ac:dyDescent="0.25">
      <c r="A1320" s="53" t="s">
        <v>2933</v>
      </c>
    </row>
    <row r="1321" spans="1:1" x14ac:dyDescent="0.25">
      <c r="A1321" s="53" t="s">
        <v>3225</v>
      </c>
    </row>
    <row r="1322" spans="1:1" x14ac:dyDescent="0.25">
      <c r="A1322" s="53" t="s">
        <v>3530</v>
      </c>
    </row>
    <row r="1323" spans="1:1" x14ac:dyDescent="0.25">
      <c r="A1323" s="53" t="s">
        <v>2031</v>
      </c>
    </row>
    <row r="1324" spans="1:1" x14ac:dyDescent="0.25">
      <c r="A1324" s="53" t="s">
        <v>2031</v>
      </c>
    </row>
    <row r="1325" spans="1:1" x14ac:dyDescent="0.25">
      <c r="A1325" s="53" t="s">
        <v>2614</v>
      </c>
    </row>
    <row r="1326" spans="1:1" x14ac:dyDescent="0.25">
      <c r="A1326" s="53" t="s">
        <v>1886</v>
      </c>
    </row>
    <row r="1327" spans="1:1" x14ac:dyDescent="0.25">
      <c r="A1327" s="53" t="s">
        <v>3562</v>
      </c>
    </row>
    <row r="1328" spans="1:1" x14ac:dyDescent="0.25">
      <c r="A1328" s="53" t="s">
        <v>2113</v>
      </c>
    </row>
    <row r="1329" spans="1:1" x14ac:dyDescent="0.25">
      <c r="A1329" s="53" t="s">
        <v>3399</v>
      </c>
    </row>
    <row r="1330" spans="1:1" x14ac:dyDescent="0.25">
      <c r="A1330" s="53" t="s">
        <v>2068</v>
      </c>
    </row>
    <row r="1331" spans="1:1" x14ac:dyDescent="0.25">
      <c r="A1331" s="53" t="s">
        <v>3043</v>
      </c>
    </row>
    <row r="1332" spans="1:1" x14ac:dyDescent="0.25">
      <c r="A1332" s="53" t="s">
        <v>3442</v>
      </c>
    </row>
    <row r="1333" spans="1:1" x14ac:dyDescent="0.25">
      <c r="A1333" s="53" t="s">
        <v>2736</v>
      </c>
    </row>
    <row r="1334" spans="1:1" x14ac:dyDescent="0.25">
      <c r="A1334" s="53" t="s">
        <v>3190</v>
      </c>
    </row>
    <row r="1335" spans="1:1" x14ac:dyDescent="0.25">
      <c r="A1335" s="53" t="s">
        <v>3190</v>
      </c>
    </row>
    <row r="1336" spans="1:1" x14ac:dyDescent="0.25">
      <c r="A1336" s="53" t="s">
        <v>2171</v>
      </c>
    </row>
    <row r="1337" spans="1:1" x14ac:dyDescent="0.25">
      <c r="A1337" s="53" t="s">
        <v>3183</v>
      </c>
    </row>
    <row r="1338" spans="1:1" x14ac:dyDescent="0.25">
      <c r="A1338" s="53" t="s">
        <v>2897</v>
      </c>
    </row>
    <row r="1339" spans="1:1" x14ac:dyDescent="0.25">
      <c r="A1339" s="53" t="s">
        <v>2901</v>
      </c>
    </row>
    <row r="1340" spans="1:1" x14ac:dyDescent="0.25">
      <c r="A1340" s="53" t="s">
        <v>2901</v>
      </c>
    </row>
    <row r="1341" spans="1:1" x14ac:dyDescent="0.25">
      <c r="A1341" s="53" t="s">
        <v>1902</v>
      </c>
    </row>
    <row r="1342" spans="1:1" x14ac:dyDescent="0.25">
      <c r="A1342" s="53" t="s">
        <v>2143</v>
      </c>
    </row>
    <row r="1343" spans="1:1" x14ac:dyDescent="0.25">
      <c r="A1343" s="53" t="s">
        <v>2787</v>
      </c>
    </row>
    <row r="1344" spans="1:1" x14ac:dyDescent="0.25">
      <c r="A1344" s="53" t="s">
        <v>2787</v>
      </c>
    </row>
    <row r="1345" spans="1:1" x14ac:dyDescent="0.25">
      <c r="A1345" s="53" t="s">
        <v>3542</v>
      </c>
    </row>
    <row r="1346" spans="1:1" x14ac:dyDescent="0.25">
      <c r="A1346" s="53" t="s">
        <v>3216</v>
      </c>
    </row>
    <row r="1347" spans="1:1" x14ac:dyDescent="0.25">
      <c r="A1347" s="53" t="s">
        <v>3196</v>
      </c>
    </row>
    <row r="1348" spans="1:1" x14ac:dyDescent="0.25">
      <c r="A1348" s="53" t="s">
        <v>3441</v>
      </c>
    </row>
    <row r="1349" spans="1:1" x14ac:dyDescent="0.25">
      <c r="A1349" s="53" t="s">
        <v>2936</v>
      </c>
    </row>
    <row r="1350" spans="1:1" x14ac:dyDescent="0.25">
      <c r="A1350" s="53" t="s">
        <v>3555</v>
      </c>
    </row>
    <row r="1351" spans="1:1" x14ac:dyDescent="0.25">
      <c r="A1351" s="53" t="s">
        <v>3343</v>
      </c>
    </row>
    <row r="1352" spans="1:1" x14ac:dyDescent="0.25">
      <c r="A1352" s="53" t="s">
        <v>2789</v>
      </c>
    </row>
    <row r="1353" spans="1:1" x14ac:dyDescent="0.25">
      <c r="A1353" s="53" t="s">
        <v>2468</v>
      </c>
    </row>
    <row r="1354" spans="1:1" x14ac:dyDescent="0.25">
      <c r="A1354" s="53" t="s">
        <v>2468</v>
      </c>
    </row>
    <row r="1355" spans="1:1" x14ac:dyDescent="0.25">
      <c r="A1355" s="53" t="s">
        <v>2934</v>
      </c>
    </row>
    <row r="1356" spans="1:1" x14ac:dyDescent="0.25">
      <c r="A1356" s="53" t="s">
        <v>2791</v>
      </c>
    </row>
    <row r="1357" spans="1:1" x14ac:dyDescent="0.25">
      <c r="A1357" s="53" t="s">
        <v>2718</v>
      </c>
    </row>
    <row r="1358" spans="1:1" x14ac:dyDescent="0.25">
      <c r="A1358" s="53" t="s">
        <v>2030</v>
      </c>
    </row>
    <row r="1359" spans="1:1" x14ac:dyDescent="0.25">
      <c r="A1359" s="53" t="s">
        <v>2030</v>
      </c>
    </row>
    <row r="1360" spans="1:1" x14ac:dyDescent="0.25">
      <c r="A1360" s="53" t="s">
        <v>2946</v>
      </c>
    </row>
    <row r="1361" spans="1:1" x14ac:dyDescent="0.25">
      <c r="A1361" s="53" t="s">
        <v>2634</v>
      </c>
    </row>
    <row r="1362" spans="1:1" x14ac:dyDescent="0.25">
      <c r="A1362" s="53" t="s">
        <v>3526</v>
      </c>
    </row>
    <row r="1363" spans="1:1" x14ac:dyDescent="0.25">
      <c r="A1363" s="53" t="s">
        <v>3526</v>
      </c>
    </row>
    <row r="1364" spans="1:1" x14ac:dyDescent="0.25">
      <c r="A1364" s="53" t="s">
        <v>3376</v>
      </c>
    </row>
    <row r="1365" spans="1:1" x14ac:dyDescent="0.25">
      <c r="A1365" s="53" t="s">
        <v>2752</v>
      </c>
    </row>
    <row r="1366" spans="1:1" x14ac:dyDescent="0.25">
      <c r="A1366" s="53" t="s">
        <v>2752</v>
      </c>
    </row>
    <row r="1367" spans="1:1" x14ac:dyDescent="0.25">
      <c r="A1367" s="53" t="s">
        <v>2950</v>
      </c>
    </row>
    <row r="1368" spans="1:1" x14ac:dyDescent="0.25">
      <c r="A1368" s="53" t="s">
        <v>3362</v>
      </c>
    </row>
    <row r="1369" spans="1:1" x14ac:dyDescent="0.25">
      <c r="A1369" s="53" t="s">
        <v>3362</v>
      </c>
    </row>
    <row r="1370" spans="1:1" x14ac:dyDescent="0.25">
      <c r="A1370" s="53" t="s">
        <v>1958</v>
      </c>
    </row>
    <row r="1371" spans="1:1" x14ac:dyDescent="0.25">
      <c r="A1371" s="53" t="s">
        <v>1958</v>
      </c>
    </row>
    <row r="1372" spans="1:1" x14ac:dyDescent="0.25">
      <c r="A1372" s="53" t="s">
        <v>2303</v>
      </c>
    </row>
    <row r="1373" spans="1:1" x14ac:dyDescent="0.25">
      <c r="A1373" s="53" t="s">
        <v>2063</v>
      </c>
    </row>
    <row r="1374" spans="1:1" x14ac:dyDescent="0.25">
      <c r="A1374" s="53" t="s">
        <v>2618</v>
      </c>
    </row>
    <row r="1375" spans="1:1" x14ac:dyDescent="0.25">
      <c r="A1375" s="53" t="s">
        <v>3506</v>
      </c>
    </row>
    <row r="1376" spans="1:1" x14ac:dyDescent="0.25">
      <c r="A1376" s="53" t="s">
        <v>3533</v>
      </c>
    </row>
    <row r="1377" spans="1:1" x14ac:dyDescent="0.25">
      <c r="A1377" s="53" t="s">
        <v>3055</v>
      </c>
    </row>
    <row r="1378" spans="1:1" x14ac:dyDescent="0.25">
      <c r="A1378" s="53" t="s">
        <v>3055</v>
      </c>
    </row>
    <row r="1379" spans="1:1" x14ac:dyDescent="0.25">
      <c r="A1379" s="53" t="s">
        <v>2625</v>
      </c>
    </row>
    <row r="1380" spans="1:1" x14ac:dyDescent="0.25">
      <c r="A1380" s="53" t="s">
        <v>3325</v>
      </c>
    </row>
    <row r="1381" spans="1:1" x14ac:dyDescent="0.25">
      <c r="A1381" s="53" t="s">
        <v>3469</v>
      </c>
    </row>
    <row r="1382" spans="1:1" x14ac:dyDescent="0.25">
      <c r="A1382" s="53" t="s">
        <v>2681</v>
      </c>
    </row>
    <row r="1383" spans="1:1" x14ac:dyDescent="0.25">
      <c r="A1383" s="53" t="s">
        <v>2192</v>
      </c>
    </row>
    <row r="1384" spans="1:1" x14ac:dyDescent="0.25">
      <c r="A1384" s="53" t="s">
        <v>2104</v>
      </c>
    </row>
    <row r="1385" spans="1:1" x14ac:dyDescent="0.25">
      <c r="A1385" s="53" t="s">
        <v>2177</v>
      </c>
    </row>
    <row r="1386" spans="1:1" x14ac:dyDescent="0.25">
      <c r="A1386" s="53" t="s">
        <v>2177</v>
      </c>
    </row>
    <row r="1387" spans="1:1" x14ac:dyDescent="0.25">
      <c r="A1387" s="53" t="s">
        <v>2532</v>
      </c>
    </row>
    <row r="1388" spans="1:1" x14ac:dyDescent="0.25">
      <c r="A1388" s="53" t="s">
        <v>2532</v>
      </c>
    </row>
    <row r="1389" spans="1:1" x14ac:dyDescent="0.25">
      <c r="A1389" s="53" t="s">
        <v>2828</v>
      </c>
    </row>
    <row r="1390" spans="1:1" x14ac:dyDescent="0.25">
      <c r="A1390" s="53" t="s">
        <v>3197</v>
      </c>
    </row>
    <row r="1391" spans="1:1" x14ac:dyDescent="0.25">
      <c r="A1391" s="53" t="s">
        <v>2776</v>
      </c>
    </row>
    <row r="1392" spans="1:1" x14ac:dyDescent="0.25">
      <c r="A1392" s="53" t="s">
        <v>2843</v>
      </c>
    </row>
    <row r="1393" spans="1:1" x14ac:dyDescent="0.25">
      <c r="A1393" s="53" t="s">
        <v>2843</v>
      </c>
    </row>
    <row r="1394" spans="1:1" x14ac:dyDescent="0.25">
      <c r="A1394" s="53" t="s">
        <v>3189</v>
      </c>
    </row>
    <row r="1395" spans="1:1" x14ac:dyDescent="0.25">
      <c r="A1395" s="53" t="s">
        <v>2264</v>
      </c>
    </row>
    <row r="1396" spans="1:1" x14ac:dyDescent="0.25">
      <c r="A1396" s="53" t="s">
        <v>3241</v>
      </c>
    </row>
    <row r="1397" spans="1:1" x14ac:dyDescent="0.25">
      <c r="A1397" s="53" t="s">
        <v>3241</v>
      </c>
    </row>
    <row r="1398" spans="1:1" x14ac:dyDescent="0.25">
      <c r="A1398" s="53" t="s">
        <v>2823</v>
      </c>
    </row>
    <row r="1399" spans="1:1" x14ac:dyDescent="0.25">
      <c r="A1399" s="53" t="s">
        <v>3297</v>
      </c>
    </row>
    <row r="1400" spans="1:1" x14ac:dyDescent="0.25">
      <c r="A1400" s="53" t="s">
        <v>3297</v>
      </c>
    </row>
    <row r="1401" spans="1:1" x14ac:dyDescent="0.25">
      <c r="A1401" s="53" t="s">
        <v>2810</v>
      </c>
    </row>
    <row r="1402" spans="1:1" x14ac:dyDescent="0.25">
      <c r="A1402" s="53" t="s">
        <v>3581</v>
      </c>
    </row>
    <row r="1403" spans="1:1" x14ac:dyDescent="0.25">
      <c r="A1403" s="53" t="s">
        <v>2600</v>
      </c>
    </row>
    <row r="1404" spans="1:1" x14ac:dyDescent="0.25">
      <c r="A1404" s="53" t="s">
        <v>2713</v>
      </c>
    </row>
    <row r="1405" spans="1:1" x14ac:dyDescent="0.25">
      <c r="A1405" s="53" t="s">
        <v>3499</v>
      </c>
    </row>
    <row r="1406" spans="1:1" x14ac:dyDescent="0.25">
      <c r="A1406" s="53" t="s">
        <v>2779</v>
      </c>
    </row>
    <row r="1407" spans="1:1" x14ac:dyDescent="0.25">
      <c r="A1407" s="53" t="s">
        <v>3173</v>
      </c>
    </row>
    <row r="1408" spans="1:1" x14ac:dyDescent="0.25">
      <c r="A1408" s="53" t="s">
        <v>3173</v>
      </c>
    </row>
    <row r="1409" spans="1:1" x14ac:dyDescent="0.25">
      <c r="A1409" s="53" t="s">
        <v>2742</v>
      </c>
    </row>
    <row r="1410" spans="1:1" x14ac:dyDescent="0.25">
      <c r="A1410" s="53" t="s">
        <v>2676</v>
      </c>
    </row>
    <row r="1411" spans="1:1" x14ac:dyDescent="0.25">
      <c r="A1411" s="53" t="s">
        <v>3409</v>
      </c>
    </row>
    <row r="1412" spans="1:1" x14ac:dyDescent="0.25">
      <c r="A1412" s="53" t="s">
        <v>3045</v>
      </c>
    </row>
    <row r="1413" spans="1:1" x14ac:dyDescent="0.25">
      <c r="A1413" s="53" t="s">
        <v>3455</v>
      </c>
    </row>
    <row r="1414" spans="1:1" x14ac:dyDescent="0.25">
      <c r="A1414" s="53" t="s">
        <v>3455</v>
      </c>
    </row>
    <row r="1415" spans="1:1" x14ac:dyDescent="0.25">
      <c r="A1415" s="53" t="s">
        <v>2242</v>
      </c>
    </row>
    <row r="1416" spans="1:1" x14ac:dyDescent="0.25">
      <c r="A1416" s="53" t="s">
        <v>3298</v>
      </c>
    </row>
    <row r="1417" spans="1:1" x14ac:dyDescent="0.25">
      <c r="A1417" s="53" t="s">
        <v>3298</v>
      </c>
    </row>
    <row r="1418" spans="1:1" x14ac:dyDescent="0.25">
      <c r="A1418" s="53" t="s">
        <v>3567</v>
      </c>
    </row>
    <row r="1419" spans="1:1" x14ac:dyDescent="0.25">
      <c r="A1419" s="53" t="s">
        <v>3567</v>
      </c>
    </row>
    <row r="1420" spans="1:1" x14ac:dyDescent="0.25">
      <c r="A1420" s="53" t="s">
        <v>3005</v>
      </c>
    </row>
    <row r="1421" spans="1:1" x14ac:dyDescent="0.25">
      <c r="A1421" s="53" t="s">
        <v>3420</v>
      </c>
    </row>
    <row r="1422" spans="1:1" x14ac:dyDescent="0.25">
      <c r="A1422" s="53" t="s">
        <v>2333</v>
      </c>
    </row>
    <row r="1423" spans="1:1" x14ac:dyDescent="0.25">
      <c r="A1423" s="53" t="s">
        <v>2710</v>
      </c>
    </row>
    <row r="1424" spans="1:1" x14ac:dyDescent="0.25">
      <c r="A1424" s="53" t="s">
        <v>2949</v>
      </c>
    </row>
    <row r="1425" spans="1:1" x14ac:dyDescent="0.25">
      <c r="A1425" s="53" t="s">
        <v>3054</v>
      </c>
    </row>
    <row r="1426" spans="1:1" x14ac:dyDescent="0.25">
      <c r="A1426" s="53" t="s">
        <v>3119</v>
      </c>
    </row>
    <row r="1427" spans="1:1" x14ac:dyDescent="0.25">
      <c r="A1427" s="53" t="s">
        <v>2003</v>
      </c>
    </row>
    <row r="1428" spans="1:1" x14ac:dyDescent="0.25">
      <c r="A1428" s="53" t="s">
        <v>2003</v>
      </c>
    </row>
    <row r="1429" spans="1:1" x14ac:dyDescent="0.25">
      <c r="A1429" s="53" t="s">
        <v>3433</v>
      </c>
    </row>
    <row r="1430" spans="1:1" x14ac:dyDescent="0.25">
      <c r="A1430" s="53" t="s">
        <v>3433</v>
      </c>
    </row>
    <row r="1431" spans="1:1" x14ac:dyDescent="0.25">
      <c r="A1431" s="53" t="s">
        <v>2096</v>
      </c>
    </row>
    <row r="1432" spans="1:1" x14ac:dyDescent="0.25">
      <c r="A1432" s="53" t="s">
        <v>2599</v>
      </c>
    </row>
    <row r="1433" spans="1:1" x14ac:dyDescent="0.25">
      <c r="A1433" s="53" t="s">
        <v>2599</v>
      </c>
    </row>
    <row r="1434" spans="1:1" x14ac:dyDescent="0.25">
      <c r="A1434" s="53" t="s">
        <v>2731</v>
      </c>
    </row>
    <row r="1435" spans="1:1" x14ac:dyDescent="0.25">
      <c r="A1435" s="53" t="s">
        <v>2874</v>
      </c>
    </row>
    <row r="1436" spans="1:1" x14ac:dyDescent="0.25">
      <c r="A1436" s="53" t="s">
        <v>2537</v>
      </c>
    </row>
    <row r="1437" spans="1:1" x14ac:dyDescent="0.25">
      <c r="A1437" s="53" t="s">
        <v>2537</v>
      </c>
    </row>
    <row r="1438" spans="1:1" x14ac:dyDescent="0.25">
      <c r="A1438" s="53" t="s">
        <v>3070</v>
      </c>
    </row>
    <row r="1439" spans="1:1" x14ac:dyDescent="0.25">
      <c r="A1439" s="53" t="s">
        <v>3070</v>
      </c>
    </row>
    <row r="1440" spans="1:1" x14ac:dyDescent="0.25">
      <c r="A1440" s="53" t="s">
        <v>2824</v>
      </c>
    </row>
    <row r="1441" spans="1:1" x14ac:dyDescent="0.25">
      <c r="A1441" s="53" t="s">
        <v>3309</v>
      </c>
    </row>
    <row r="1442" spans="1:1" x14ac:dyDescent="0.25">
      <c r="A1442" s="53" t="s">
        <v>3082</v>
      </c>
    </row>
    <row r="1443" spans="1:1" x14ac:dyDescent="0.25">
      <c r="A1443" s="53" t="s">
        <v>3552</v>
      </c>
    </row>
    <row r="1444" spans="1:1" x14ac:dyDescent="0.25">
      <c r="A1444" s="53" t="s">
        <v>2797</v>
      </c>
    </row>
    <row r="1445" spans="1:1" x14ac:dyDescent="0.25">
      <c r="A1445" s="53" t="s">
        <v>3300</v>
      </c>
    </row>
    <row r="1446" spans="1:1" x14ac:dyDescent="0.25">
      <c r="A1446" s="53" t="s">
        <v>3061</v>
      </c>
    </row>
    <row r="1447" spans="1:1" x14ac:dyDescent="0.25">
      <c r="A1447" s="53" t="s">
        <v>3061</v>
      </c>
    </row>
    <row r="1448" spans="1:1" x14ac:dyDescent="0.25">
      <c r="A1448" s="53" t="s">
        <v>2655</v>
      </c>
    </row>
    <row r="1449" spans="1:1" x14ac:dyDescent="0.25">
      <c r="A1449" s="53" t="s">
        <v>2980</v>
      </c>
    </row>
    <row r="1450" spans="1:1" x14ac:dyDescent="0.25">
      <c r="A1450" s="53" t="s">
        <v>2156</v>
      </c>
    </row>
    <row r="1451" spans="1:1" x14ac:dyDescent="0.25">
      <c r="A1451" s="53" t="s">
        <v>2156</v>
      </c>
    </row>
    <row r="1452" spans="1:1" x14ac:dyDescent="0.25">
      <c r="A1452" s="53" t="s">
        <v>2176</v>
      </c>
    </row>
    <row r="1453" spans="1:1" x14ac:dyDescent="0.25">
      <c r="A1453" s="53" t="s">
        <v>2176</v>
      </c>
    </row>
    <row r="1454" spans="1:1" x14ac:dyDescent="0.25">
      <c r="A1454" s="53" t="s">
        <v>2596</v>
      </c>
    </row>
    <row r="1455" spans="1:1" x14ac:dyDescent="0.25">
      <c r="A1455" s="53" t="s">
        <v>2596</v>
      </c>
    </row>
    <row r="1456" spans="1:1" x14ac:dyDescent="0.25">
      <c r="A1456" s="53" t="s">
        <v>3386</v>
      </c>
    </row>
    <row r="1457" spans="1:1" x14ac:dyDescent="0.25">
      <c r="A1457" s="53" t="s">
        <v>3437</v>
      </c>
    </row>
    <row r="1458" spans="1:1" x14ac:dyDescent="0.25">
      <c r="A1458" s="53" t="s">
        <v>2774</v>
      </c>
    </row>
    <row r="1459" spans="1:1" x14ac:dyDescent="0.25">
      <c r="A1459" s="53" t="s">
        <v>3448</v>
      </c>
    </row>
    <row r="1460" spans="1:1" x14ac:dyDescent="0.25">
      <c r="A1460" s="53" t="s">
        <v>3448</v>
      </c>
    </row>
    <row r="1461" spans="1:1" x14ac:dyDescent="0.25">
      <c r="A1461" s="53" t="s">
        <v>3331</v>
      </c>
    </row>
    <row r="1462" spans="1:1" x14ac:dyDescent="0.25">
      <c r="A1462" s="53" t="s">
        <v>3331</v>
      </c>
    </row>
    <row r="1463" spans="1:1" x14ac:dyDescent="0.25">
      <c r="A1463" s="53" t="s">
        <v>2969</v>
      </c>
    </row>
    <row r="1464" spans="1:1" x14ac:dyDescent="0.25">
      <c r="A1464" s="53" t="s">
        <v>3017</v>
      </c>
    </row>
    <row r="1465" spans="1:1" x14ac:dyDescent="0.25">
      <c r="A1465" s="53" t="s">
        <v>3017</v>
      </c>
    </row>
    <row r="1466" spans="1:1" x14ac:dyDescent="0.25">
      <c r="A1466" s="53" t="s">
        <v>2877</v>
      </c>
    </row>
    <row r="1467" spans="1:1" x14ac:dyDescent="0.25">
      <c r="A1467" s="53" t="s">
        <v>2877</v>
      </c>
    </row>
    <row r="1468" spans="1:1" x14ac:dyDescent="0.25">
      <c r="A1468" s="53" t="s">
        <v>3336</v>
      </c>
    </row>
    <row r="1469" spans="1:1" x14ac:dyDescent="0.25">
      <c r="A1469" s="53" t="s">
        <v>3336</v>
      </c>
    </row>
    <row r="1470" spans="1:1" x14ac:dyDescent="0.25">
      <c r="A1470" s="53" t="s">
        <v>2977</v>
      </c>
    </row>
    <row r="1471" spans="1:1" x14ac:dyDescent="0.25">
      <c r="A1471" s="53" t="s">
        <v>2879</v>
      </c>
    </row>
    <row r="1472" spans="1:1" x14ac:dyDescent="0.25">
      <c r="A1472" s="53" t="s">
        <v>2484</v>
      </c>
    </row>
    <row r="1473" spans="1:1" x14ac:dyDescent="0.25">
      <c r="A1473" s="53" t="s">
        <v>2709</v>
      </c>
    </row>
    <row r="1474" spans="1:1" x14ac:dyDescent="0.25">
      <c r="A1474" s="53" t="s">
        <v>2709</v>
      </c>
    </row>
    <row r="1475" spans="1:1" x14ac:dyDescent="0.25">
      <c r="A1475" s="53" t="s">
        <v>2945</v>
      </c>
    </row>
    <row r="1476" spans="1:1" x14ac:dyDescent="0.25">
      <c r="A1476" s="53" t="s">
        <v>3335</v>
      </c>
    </row>
    <row r="1477" spans="1:1" x14ac:dyDescent="0.25">
      <c r="A1477" s="53" t="s">
        <v>3541</v>
      </c>
    </row>
    <row r="1478" spans="1:1" x14ac:dyDescent="0.25">
      <c r="A1478" s="53" t="s">
        <v>3543</v>
      </c>
    </row>
    <row r="1479" spans="1:1" x14ac:dyDescent="0.25">
      <c r="A1479" s="53" t="s">
        <v>2833</v>
      </c>
    </row>
    <row r="1480" spans="1:1" x14ac:dyDescent="0.25">
      <c r="A1480" s="53" t="s">
        <v>2830</v>
      </c>
    </row>
    <row r="1481" spans="1:1" x14ac:dyDescent="0.25">
      <c r="A1481" s="53" t="s">
        <v>3522</v>
      </c>
    </row>
    <row r="1482" spans="1:1" x14ac:dyDescent="0.25">
      <c r="A1482" s="53" t="s">
        <v>2076</v>
      </c>
    </row>
    <row r="1483" spans="1:1" x14ac:dyDescent="0.25">
      <c r="A1483" s="53" t="s">
        <v>2076</v>
      </c>
    </row>
    <row r="1484" spans="1:1" x14ac:dyDescent="0.25">
      <c r="A1484" s="53" t="s">
        <v>3346</v>
      </c>
    </row>
    <row r="1485" spans="1:1" x14ac:dyDescent="0.25">
      <c r="A1485" s="53" t="s">
        <v>3507</v>
      </c>
    </row>
    <row r="1486" spans="1:1" x14ac:dyDescent="0.25">
      <c r="A1486" s="53" t="s">
        <v>2711</v>
      </c>
    </row>
    <row r="1487" spans="1:1" x14ac:dyDescent="0.25">
      <c r="A1487" s="53" t="s">
        <v>2711</v>
      </c>
    </row>
    <row r="1488" spans="1:1" x14ac:dyDescent="0.25">
      <c r="A1488" s="53" t="s">
        <v>3472</v>
      </c>
    </row>
    <row r="1489" spans="1:1" x14ac:dyDescent="0.25">
      <c r="A1489" s="53" t="s">
        <v>2913</v>
      </c>
    </row>
    <row r="1490" spans="1:1" x14ac:dyDescent="0.25">
      <c r="A1490" s="53" t="s">
        <v>3130</v>
      </c>
    </row>
    <row r="1491" spans="1:1" x14ac:dyDescent="0.25">
      <c r="A1491" s="53" t="s">
        <v>1885</v>
      </c>
    </row>
    <row r="1492" spans="1:1" x14ac:dyDescent="0.25">
      <c r="A1492" s="53" t="s">
        <v>3418</v>
      </c>
    </row>
    <row r="1493" spans="1:1" x14ac:dyDescent="0.25">
      <c r="A1493" s="53" t="s">
        <v>3418</v>
      </c>
    </row>
    <row r="1494" spans="1:1" x14ac:dyDescent="0.25">
      <c r="A1494" s="53" t="s">
        <v>3427</v>
      </c>
    </row>
    <row r="1495" spans="1:1" x14ac:dyDescent="0.25">
      <c r="A1495" s="53" t="s">
        <v>2809</v>
      </c>
    </row>
    <row r="1496" spans="1:1" x14ac:dyDescent="0.25">
      <c r="A1496" s="53" t="s">
        <v>3415</v>
      </c>
    </row>
    <row r="1497" spans="1:1" x14ac:dyDescent="0.25">
      <c r="A1497" s="53" t="s">
        <v>3415</v>
      </c>
    </row>
    <row r="1498" spans="1:1" x14ac:dyDescent="0.25">
      <c r="A1498" s="53" t="s">
        <v>2973</v>
      </c>
    </row>
    <row r="1499" spans="1:1" x14ac:dyDescent="0.25">
      <c r="A1499" s="53" t="s">
        <v>3466</v>
      </c>
    </row>
    <row r="1500" spans="1:1" x14ac:dyDescent="0.25">
      <c r="A1500" s="53" t="s">
        <v>2658</v>
      </c>
    </row>
    <row r="1501" spans="1:1" x14ac:dyDescent="0.25">
      <c r="A1501" s="53" t="s">
        <v>2121</v>
      </c>
    </row>
    <row r="1502" spans="1:1" x14ac:dyDescent="0.25">
      <c r="A1502" s="53" t="s">
        <v>2924</v>
      </c>
    </row>
    <row r="1503" spans="1:1" x14ac:dyDescent="0.25">
      <c r="A1503" s="53" t="s">
        <v>2366</v>
      </c>
    </row>
    <row r="1504" spans="1:1" x14ac:dyDescent="0.25">
      <c r="A1504" s="53" t="s">
        <v>1887</v>
      </c>
    </row>
    <row r="1505" spans="1:1" x14ac:dyDescent="0.25">
      <c r="A1505" s="53" t="s">
        <v>2848</v>
      </c>
    </row>
    <row r="1506" spans="1:1" x14ac:dyDescent="0.25">
      <c r="A1506" s="53" t="s">
        <v>2848</v>
      </c>
    </row>
    <row r="1507" spans="1:1" x14ac:dyDescent="0.25">
      <c r="A1507" s="53" t="s">
        <v>2974</v>
      </c>
    </row>
    <row r="1508" spans="1:1" x14ac:dyDescent="0.25">
      <c r="A1508" s="53" t="s">
        <v>2974</v>
      </c>
    </row>
    <row r="1509" spans="1:1" x14ac:dyDescent="0.25">
      <c r="A1509" s="53" t="s">
        <v>3468</v>
      </c>
    </row>
    <row r="1510" spans="1:1" x14ac:dyDescent="0.25">
      <c r="A1510" s="53" t="s">
        <v>3014</v>
      </c>
    </row>
    <row r="1511" spans="1:1" x14ac:dyDescent="0.25">
      <c r="A1511" s="53" t="s">
        <v>3529</v>
      </c>
    </row>
    <row r="1512" spans="1:1" x14ac:dyDescent="0.25">
      <c r="A1512" s="53" t="s">
        <v>3529</v>
      </c>
    </row>
    <row r="1513" spans="1:1" x14ac:dyDescent="0.25">
      <c r="A1513" s="53" t="s">
        <v>1900</v>
      </c>
    </row>
    <row r="1514" spans="1:1" x14ac:dyDescent="0.25">
      <c r="A1514" s="53" t="s">
        <v>1900</v>
      </c>
    </row>
    <row r="1515" spans="1:1" x14ac:dyDescent="0.25">
      <c r="A1515" s="53" t="s">
        <v>3262</v>
      </c>
    </row>
    <row r="1516" spans="1:1" x14ac:dyDescent="0.25">
      <c r="A1516" s="53" t="s">
        <v>3521</v>
      </c>
    </row>
    <row r="1517" spans="1:1" x14ac:dyDescent="0.25">
      <c r="A1517" s="53" t="s">
        <v>2746</v>
      </c>
    </row>
    <row r="1518" spans="1:1" x14ac:dyDescent="0.25">
      <c r="A1518" s="53" t="s">
        <v>3329</v>
      </c>
    </row>
    <row r="1519" spans="1:1" x14ac:dyDescent="0.25">
      <c r="A1519" s="53" t="s">
        <v>2932</v>
      </c>
    </row>
    <row r="1520" spans="1:1" x14ac:dyDescent="0.25">
      <c r="A1520" s="53" t="s">
        <v>3299</v>
      </c>
    </row>
    <row r="1521" spans="1:1" x14ac:dyDescent="0.25">
      <c r="A1521" s="53" t="s">
        <v>2261</v>
      </c>
    </row>
    <row r="1522" spans="1:1" x14ac:dyDescent="0.25">
      <c r="A1522" s="53" t="s">
        <v>2261</v>
      </c>
    </row>
    <row r="1523" spans="1:1" x14ac:dyDescent="0.25">
      <c r="A1523" s="53" t="s">
        <v>3031</v>
      </c>
    </row>
    <row r="1524" spans="1:1" x14ac:dyDescent="0.25">
      <c r="A1524" s="53" t="s">
        <v>2150</v>
      </c>
    </row>
    <row r="1525" spans="1:1" x14ac:dyDescent="0.25">
      <c r="A1525" s="53" t="s">
        <v>2150</v>
      </c>
    </row>
    <row r="1526" spans="1:1" x14ac:dyDescent="0.25">
      <c r="A1526" s="53" t="s">
        <v>2845</v>
      </c>
    </row>
    <row r="1527" spans="1:1" x14ac:dyDescent="0.25">
      <c r="A1527" s="53" t="s">
        <v>2289</v>
      </c>
    </row>
    <row r="1528" spans="1:1" x14ac:dyDescent="0.25">
      <c r="A1528" s="53" t="s">
        <v>1890</v>
      </c>
    </row>
    <row r="1529" spans="1:1" x14ac:dyDescent="0.25">
      <c r="A1529" s="53" t="s">
        <v>1890</v>
      </c>
    </row>
    <row r="1530" spans="1:1" x14ac:dyDescent="0.25">
      <c r="A1530" s="53" t="s">
        <v>3251</v>
      </c>
    </row>
    <row r="1531" spans="1:1" x14ac:dyDescent="0.25">
      <c r="A1531" s="53" t="s">
        <v>2415</v>
      </c>
    </row>
    <row r="1532" spans="1:1" x14ac:dyDescent="0.25">
      <c r="A1532" s="53" t="s">
        <v>3396</v>
      </c>
    </row>
    <row r="1533" spans="1:1" x14ac:dyDescent="0.25">
      <c r="A1533" s="53" t="s">
        <v>3518</v>
      </c>
    </row>
    <row r="1534" spans="1:1" x14ac:dyDescent="0.25">
      <c r="A1534" s="53" t="s">
        <v>3518</v>
      </c>
    </row>
    <row r="1535" spans="1:1" x14ac:dyDescent="0.25">
      <c r="A1535" s="53" t="s">
        <v>2116</v>
      </c>
    </row>
    <row r="1536" spans="1:1" x14ac:dyDescent="0.25">
      <c r="A1536" s="53" t="s">
        <v>2116</v>
      </c>
    </row>
    <row r="1537" spans="1:1" x14ac:dyDescent="0.25">
      <c r="A1537" s="53" t="s">
        <v>3489</v>
      </c>
    </row>
    <row r="1538" spans="1:1" x14ac:dyDescent="0.25">
      <c r="A1538" s="53" t="s">
        <v>3461</v>
      </c>
    </row>
    <row r="1539" spans="1:1" x14ac:dyDescent="0.25">
      <c r="A1539" s="53" t="s">
        <v>2837</v>
      </c>
    </row>
    <row r="1540" spans="1:1" x14ac:dyDescent="0.25">
      <c r="A1540" s="53" t="s">
        <v>2837</v>
      </c>
    </row>
    <row r="1541" spans="1:1" x14ac:dyDescent="0.25">
      <c r="A1541" s="53" t="s">
        <v>3278</v>
      </c>
    </row>
    <row r="1542" spans="1:1" x14ac:dyDescent="0.25">
      <c r="A1542" s="53" t="s">
        <v>2201</v>
      </c>
    </row>
    <row r="1543" spans="1:1" x14ac:dyDescent="0.25">
      <c r="A1543" s="53" t="s">
        <v>2201</v>
      </c>
    </row>
    <row r="1544" spans="1:1" x14ac:dyDescent="0.25">
      <c r="A1544" s="53" t="s">
        <v>3354</v>
      </c>
    </row>
    <row r="1545" spans="1:1" x14ac:dyDescent="0.25">
      <c r="A1545" s="53" t="s">
        <v>3531</v>
      </c>
    </row>
    <row r="1546" spans="1:1" x14ac:dyDescent="0.25">
      <c r="A1546" s="53" t="s">
        <v>2971</v>
      </c>
    </row>
    <row r="1547" spans="1:1" x14ac:dyDescent="0.25">
      <c r="A1547" s="53" t="s">
        <v>2971</v>
      </c>
    </row>
    <row r="1548" spans="1:1" x14ac:dyDescent="0.25">
      <c r="A1548" s="53" t="s">
        <v>2430</v>
      </c>
    </row>
    <row r="1549" spans="1:1" x14ac:dyDescent="0.25">
      <c r="A1549" s="53" t="s">
        <v>2654</v>
      </c>
    </row>
    <row r="1550" spans="1:1" x14ac:dyDescent="0.25">
      <c r="A1550" s="53" t="s">
        <v>3534</v>
      </c>
    </row>
    <row r="1551" spans="1:1" x14ac:dyDescent="0.25">
      <c r="A1551" s="53" t="s">
        <v>1893</v>
      </c>
    </row>
    <row r="1552" spans="1:1" x14ac:dyDescent="0.25">
      <c r="A1552" s="53" t="s">
        <v>3219</v>
      </c>
    </row>
    <row r="1553" spans="1:1" x14ac:dyDescent="0.25">
      <c r="A1553" s="53" t="s">
        <v>2875</v>
      </c>
    </row>
    <row r="1554" spans="1:1" x14ac:dyDescent="0.25">
      <c r="A1554" s="53" t="s">
        <v>3295</v>
      </c>
    </row>
    <row r="1555" spans="1:1" x14ac:dyDescent="0.25">
      <c r="A1555" s="53" t="s">
        <v>3295</v>
      </c>
    </row>
    <row r="1556" spans="1:1" x14ac:dyDescent="0.25">
      <c r="A1556" s="53" t="s">
        <v>3550</v>
      </c>
    </row>
    <row r="1557" spans="1:1" x14ac:dyDescent="0.25">
      <c r="A1557" s="53" t="s">
        <v>2822</v>
      </c>
    </row>
    <row r="1558" spans="1:1" x14ac:dyDescent="0.25">
      <c r="A1558" s="53" t="s">
        <v>3476</v>
      </c>
    </row>
    <row r="1559" spans="1:1" x14ac:dyDescent="0.25">
      <c r="A1559" s="53" t="s">
        <v>3348</v>
      </c>
    </row>
    <row r="1560" spans="1:1" x14ac:dyDescent="0.25">
      <c r="A1560" s="53" t="s">
        <v>2670</v>
      </c>
    </row>
    <row r="1561" spans="1:1" x14ac:dyDescent="0.25">
      <c r="A1561" s="53" t="s">
        <v>3224</v>
      </c>
    </row>
    <row r="1562" spans="1:1" x14ac:dyDescent="0.25">
      <c r="A1562" s="53" t="s">
        <v>3519</v>
      </c>
    </row>
    <row r="1563" spans="1:1" x14ac:dyDescent="0.25">
      <c r="A1563" s="53" t="s">
        <v>2885</v>
      </c>
    </row>
    <row r="1564" spans="1:1" x14ac:dyDescent="0.25">
      <c r="A1564" s="53" t="s">
        <v>2993</v>
      </c>
    </row>
    <row r="1565" spans="1:1" x14ac:dyDescent="0.25">
      <c r="A1565" s="53" t="s">
        <v>3546</v>
      </c>
    </row>
    <row r="1566" spans="1:1" x14ac:dyDescent="0.25">
      <c r="A1566" s="53" t="s">
        <v>3006</v>
      </c>
    </row>
    <row r="1567" spans="1:1" x14ac:dyDescent="0.25">
      <c r="A1567" s="53" t="s">
        <v>2839</v>
      </c>
    </row>
    <row r="1568" spans="1:1" x14ac:dyDescent="0.25">
      <c r="A1568" s="53" t="s">
        <v>3397</v>
      </c>
    </row>
    <row r="1569" spans="1:1" x14ac:dyDescent="0.25">
      <c r="A1569" s="53" t="s">
        <v>2701</v>
      </c>
    </row>
    <row r="1570" spans="1:1" x14ac:dyDescent="0.25">
      <c r="A1570" s="53" t="s">
        <v>2723</v>
      </c>
    </row>
    <row r="1571" spans="1:1" x14ac:dyDescent="0.25">
      <c r="A1571" s="53" t="s">
        <v>3505</v>
      </c>
    </row>
    <row r="1572" spans="1:1" x14ac:dyDescent="0.25">
      <c r="A1572" s="53" t="s">
        <v>2665</v>
      </c>
    </row>
    <row r="1573" spans="1:1" x14ac:dyDescent="0.25">
      <c r="A1573" s="53" t="s">
        <v>2665</v>
      </c>
    </row>
    <row r="1574" spans="1:1" x14ac:dyDescent="0.25">
      <c r="A1574" s="53" t="s">
        <v>3261</v>
      </c>
    </row>
    <row r="1575" spans="1:1" x14ac:dyDescent="0.25">
      <c r="A1575" s="53" t="s">
        <v>3261</v>
      </c>
    </row>
    <row r="1576" spans="1:1" x14ac:dyDescent="0.25">
      <c r="A1576" s="53" t="s">
        <v>2188</v>
      </c>
    </row>
    <row r="1577" spans="1:1" x14ac:dyDescent="0.25">
      <c r="A1577" s="53" t="s">
        <v>2188</v>
      </c>
    </row>
    <row r="1578" spans="1:1" x14ac:dyDescent="0.25">
      <c r="A1578" s="53" t="s">
        <v>3516</v>
      </c>
    </row>
    <row r="1579" spans="1:1" x14ac:dyDescent="0.25">
      <c r="A1579" s="53" t="s">
        <v>3516</v>
      </c>
    </row>
    <row r="1580" spans="1:1" x14ac:dyDescent="0.25">
      <c r="A1580" s="53" t="s">
        <v>3559</v>
      </c>
    </row>
    <row r="1581" spans="1:1" x14ac:dyDescent="0.25">
      <c r="A1581" s="53" t="s">
        <v>3559</v>
      </c>
    </row>
    <row r="1582" spans="1:1" x14ac:dyDescent="0.25">
      <c r="A1582" s="53" t="s">
        <v>3206</v>
      </c>
    </row>
    <row r="1583" spans="1:1" x14ac:dyDescent="0.25">
      <c r="A1583" s="53" t="s">
        <v>2987</v>
      </c>
    </row>
    <row r="1584" spans="1:1" x14ac:dyDescent="0.25">
      <c r="A1584" s="53" t="s">
        <v>2904</v>
      </c>
    </row>
    <row r="1585" spans="1:1" x14ac:dyDescent="0.25">
      <c r="A1585" s="53" t="s">
        <v>1953</v>
      </c>
    </row>
    <row r="1586" spans="1:1" x14ac:dyDescent="0.25">
      <c r="A1586" s="53" t="s">
        <v>2169</v>
      </c>
    </row>
    <row r="1587" spans="1:1" x14ac:dyDescent="0.25">
      <c r="A1587" s="53" t="s">
        <v>2169</v>
      </c>
    </row>
    <row r="1588" spans="1:1" x14ac:dyDescent="0.25">
      <c r="A1588" s="53" t="s">
        <v>2739</v>
      </c>
    </row>
    <row r="1589" spans="1:1" x14ac:dyDescent="0.25">
      <c r="A1589" s="53" t="s">
        <v>2739</v>
      </c>
    </row>
    <row r="1590" spans="1:1" x14ac:dyDescent="0.25">
      <c r="A1590" s="53" t="s">
        <v>2956</v>
      </c>
    </row>
    <row r="1591" spans="1:1" x14ac:dyDescent="0.25">
      <c r="A1591" s="53" t="s">
        <v>3105</v>
      </c>
    </row>
    <row r="1592" spans="1:1" x14ac:dyDescent="0.25">
      <c r="A1592" s="53" t="s">
        <v>3105</v>
      </c>
    </row>
    <row r="1593" spans="1:1" x14ac:dyDescent="0.25">
      <c r="A1593" s="53" t="s">
        <v>3318</v>
      </c>
    </row>
    <row r="1594" spans="1:1" x14ac:dyDescent="0.25">
      <c r="A1594" s="53" t="s">
        <v>1923</v>
      </c>
    </row>
    <row r="1595" spans="1:1" x14ac:dyDescent="0.25">
      <c r="A1595" s="53" t="s">
        <v>3222</v>
      </c>
    </row>
    <row r="1596" spans="1:1" x14ac:dyDescent="0.25">
      <c r="A1596" s="53" t="s">
        <v>2396</v>
      </c>
    </row>
    <row r="1597" spans="1:1" x14ac:dyDescent="0.25">
      <c r="A1597" s="53" t="s">
        <v>2396</v>
      </c>
    </row>
    <row r="1598" spans="1:1" x14ac:dyDescent="0.25">
      <c r="A1598" s="53" t="s">
        <v>3685</v>
      </c>
    </row>
    <row r="1599" spans="1:1" x14ac:dyDescent="0.25">
      <c r="A1599" s="53" t="s">
        <v>3685</v>
      </c>
    </row>
    <row r="1600" spans="1:1" x14ac:dyDescent="0.25">
      <c r="A1600" s="53" t="s">
        <v>2697</v>
      </c>
    </row>
    <row r="1601" spans="1:1" x14ac:dyDescent="0.25">
      <c r="A1601" s="53" t="s">
        <v>3514</v>
      </c>
    </row>
    <row r="1602" spans="1:1" x14ac:dyDescent="0.25">
      <c r="A1602" s="53" t="s">
        <v>3514</v>
      </c>
    </row>
    <row r="1603" spans="1:1" x14ac:dyDescent="0.25">
      <c r="A1603" s="53" t="s">
        <v>3277</v>
      </c>
    </row>
    <row r="1604" spans="1:1" x14ac:dyDescent="0.25">
      <c r="A1604" s="53" t="s">
        <v>1888</v>
      </c>
    </row>
    <row r="1605" spans="1:1" x14ac:dyDescent="0.25">
      <c r="A1605" s="53" t="s">
        <v>3071</v>
      </c>
    </row>
    <row r="1606" spans="1:1" x14ac:dyDescent="0.25">
      <c r="A1606" s="53" t="s">
        <v>3071</v>
      </c>
    </row>
    <row r="1607" spans="1:1" x14ac:dyDescent="0.25">
      <c r="A1607" s="53" t="s">
        <v>2984</v>
      </c>
    </row>
    <row r="1608" spans="1:1" x14ac:dyDescent="0.25">
      <c r="A1608" s="53" t="s">
        <v>2984</v>
      </c>
    </row>
    <row r="1609" spans="1:1" x14ac:dyDescent="0.25">
      <c r="A1609" s="53" t="s">
        <v>3360</v>
      </c>
    </row>
    <row r="1610" spans="1:1" x14ac:dyDescent="0.25">
      <c r="A1610" s="53" t="s">
        <v>2765</v>
      </c>
    </row>
    <row r="1611" spans="1:1" x14ac:dyDescent="0.25">
      <c r="A1611" s="53" t="s">
        <v>2674</v>
      </c>
    </row>
    <row r="1612" spans="1:1" x14ac:dyDescent="0.25">
      <c r="A1612" s="53" t="s">
        <v>2476</v>
      </c>
    </row>
    <row r="1613" spans="1:1" x14ac:dyDescent="0.25">
      <c r="A1613" s="53" t="s">
        <v>2476</v>
      </c>
    </row>
    <row r="1614" spans="1:1" x14ac:dyDescent="0.25">
      <c r="A1614" s="53" t="s">
        <v>3131</v>
      </c>
    </row>
    <row r="1615" spans="1:1" x14ac:dyDescent="0.25">
      <c r="A1615" s="53" t="s">
        <v>2094</v>
      </c>
    </row>
    <row r="1616" spans="1:1" x14ac:dyDescent="0.25">
      <c r="A1616" s="53" t="s">
        <v>3058</v>
      </c>
    </row>
    <row r="1617" spans="1:1" x14ac:dyDescent="0.25">
      <c r="A1617" s="53" t="s">
        <v>1918</v>
      </c>
    </row>
    <row r="1618" spans="1:1" x14ac:dyDescent="0.25">
      <c r="A1618" s="53" t="s">
        <v>3268</v>
      </c>
    </row>
    <row r="1619" spans="1:1" x14ac:dyDescent="0.25">
      <c r="A1619" s="53" t="s">
        <v>2420</v>
      </c>
    </row>
    <row r="1620" spans="1:1" x14ac:dyDescent="0.25">
      <c r="A1620" s="53" t="s">
        <v>2761</v>
      </c>
    </row>
    <row r="1621" spans="1:1" x14ac:dyDescent="0.25">
      <c r="A1621" s="53" t="s">
        <v>2763</v>
      </c>
    </row>
    <row r="1622" spans="1:1" x14ac:dyDescent="0.25">
      <c r="A1622" s="53" t="s">
        <v>2223</v>
      </c>
    </row>
    <row r="1623" spans="1:1" x14ac:dyDescent="0.25">
      <c r="A1623" s="53" t="s">
        <v>2223</v>
      </c>
    </row>
    <row r="1624" spans="1:1" x14ac:dyDescent="0.25">
      <c r="A1624" s="53" t="s">
        <v>2964</v>
      </c>
    </row>
    <row r="1625" spans="1:1" x14ac:dyDescent="0.25">
      <c r="A1625" s="53" t="s">
        <v>2964</v>
      </c>
    </row>
    <row r="1626" spans="1:1" x14ac:dyDescent="0.25">
      <c r="A1626" s="53" t="s">
        <v>2876</v>
      </c>
    </row>
    <row r="1627" spans="1:1" x14ac:dyDescent="0.25">
      <c r="A1627" s="53" t="s">
        <v>2467</v>
      </c>
    </row>
    <row r="1628" spans="1:1" x14ac:dyDescent="0.25">
      <c r="A1628" s="53" t="s">
        <v>3114</v>
      </c>
    </row>
    <row r="1629" spans="1:1" x14ac:dyDescent="0.25">
      <c r="A1629" s="53" t="s">
        <v>3134</v>
      </c>
    </row>
    <row r="1630" spans="1:1" x14ac:dyDescent="0.25">
      <c r="A1630" s="53" t="s">
        <v>3134</v>
      </c>
    </row>
    <row r="1631" spans="1:1" x14ac:dyDescent="0.25">
      <c r="A1631" s="53" t="s">
        <v>3364</v>
      </c>
    </row>
    <row r="1632" spans="1:1" x14ac:dyDescent="0.25">
      <c r="A1632" s="53" t="s">
        <v>3154</v>
      </c>
    </row>
    <row r="1633" spans="1:1" x14ac:dyDescent="0.25">
      <c r="A1633" s="53" t="s">
        <v>2754</v>
      </c>
    </row>
    <row r="1634" spans="1:1" x14ac:dyDescent="0.25">
      <c r="A1634" s="53" t="s">
        <v>2215</v>
      </c>
    </row>
    <row r="1635" spans="1:1" x14ac:dyDescent="0.25">
      <c r="A1635" s="53" t="s">
        <v>3100</v>
      </c>
    </row>
    <row r="1636" spans="1:1" x14ac:dyDescent="0.25">
      <c r="A1636" s="53" t="s">
        <v>2804</v>
      </c>
    </row>
    <row r="1637" spans="1:1" x14ac:dyDescent="0.25">
      <c r="A1637" s="53" t="s">
        <v>2601</v>
      </c>
    </row>
    <row r="1638" spans="1:1" x14ac:dyDescent="0.25">
      <c r="A1638" s="53" t="s">
        <v>3554</v>
      </c>
    </row>
    <row r="1639" spans="1:1" x14ac:dyDescent="0.25">
      <c r="A1639" s="53" t="s">
        <v>2954</v>
      </c>
    </row>
    <row r="1640" spans="1:1" x14ac:dyDescent="0.25">
      <c r="A1640" s="53" t="s">
        <v>2954</v>
      </c>
    </row>
    <row r="1641" spans="1:1" x14ac:dyDescent="0.25">
      <c r="A1641" s="53" t="s">
        <v>2611</v>
      </c>
    </row>
    <row r="1642" spans="1:1" x14ac:dyDescent="0.25">
      <c r="A1642" s="53" t="s">
        <v>2611</v>
      </c>
    </row>
    <row r="1643" spans="1:1" x14ac:dyDescent="0.25">
      <c r="A1643" s="53" t="s">
        <v>2882</v>
      </c>
    </row>
    <row r="1644" spans="1:1" x14ac:dyDescent="0.25">
      <c r="A1644" s="53" t="s">
        <v>2664</v>
      </c>
    </row>
    <row r="1645" spans="1:1" x14ac:dyDescent="0.25">
      <c r="A1645" s="53" t="s">
        <v>2664</v>
      </c>
    </row>
    <row r="1646" spans="1:1" x14ac:dyDescent="0.25">
      <c r="A1646" s="53" t="s">
        <v>1934</v>
      </c>
    </row>
    <row r="1647" spans="1:1" x14ac:dyDescent="0.25">
      <c r="A1647" s="53" t="s">
        <v>1934</v>
      </c>
    </row>
    <row r="1648" spans="1:1" x14ac:dyDescent="0.25">
      <c r="A1648" s="53" t="s">
        <v>2892</v>
      </c>
    </row>
    <row r="1649" spans="1:1" x14ac:dyDescent="0.25">
      <c r="A1649" s="53" t="s">
        <v>3152</v>
      </c>
    </row>
    <row r="1650" spans="1:1" x14ac:dyDescent="0.25">
      <c r="A1650" s="53" t="s">
        <v>2881</v>
      </c>
    </row>
    <row r="1651" spans="1:1" x14ac:dyDescent="0.25">
      <c r="A1651" s="53" t="s">
        <v>3250</v>
      </c>
    </row>
    <row r="1652" spans="1:1" x14ac:dyDescent="0.25">
      <c r="A1652" s="53" t="s">
        <v>3083</v>
      </c>
    </row>
    <row r="1653" spans="1:1" x14ac:dyDescent="0.25">
      <c r="A1653" s="53" t="s">
        <v>3303</v>
      </c>
    </row>
    <row r="1654" spans="1:1" x14ac:dyDescent="0.25">
      <c r="A1654" s="53" t="s">
        <v>3236</v>
      </c>
    </row>
    <row r="1655" spans="1:1" x14ac:dyDescent="0.25">
      <c r="A1655" s="53" t="s">
        <v>2721</v>
      </c>
    </row>
    <row r="1656" spans="1:1" x14ac:dyDescent="0.25">
      <c r="A1656" s="53" t="s">
        <v>3124</v>
      </c>
    </row>
    <row r="1657" spans="1:1" x14ac:dyDescent="0.25">
      <c r="A1657" s="53" t="s">
        <v>2651</v>
      </c>
    </row>
    <row r="1658" spans="1:1" x14ac:dyDescent="0.25">
      <c r="A1658" s="53" t="s">
        <v>2651</v>
      </c>
    </row>
    <row r="1659" spans="1:1" x14ac:dyDescent="0.25">
      <c r="A1659" s="53" t="s">
        <v>2813</v>
      </c>
    </row>
    <row r="1660" spans="1:1" x14ac:dyDescent="0.25">
      <c r="A1660" s="53" t="s">
        <v>2928</v>
      </c>
    </row>
    <row r="1661" spans="1:1" x14ac:dyDescent="0.25">
      <c r="A1661" s="53" t="s">
        <v>3008</v>
      </c>
    </row>
    <row r="1662" spans="1:1" x14ac:dyDescent="0.25">
      <c r="A1662" s="53" t="s">
        <v>3002</v>
      </c>
    </row>
    <row r="1663" spans="1:1" x14ac:dyDescent="0.25">
      <c r="A1663" s="53" t="s">
        <v>2919</v>
      </c>
    </row>
    <row r="1664" spans="1:1" x14ac:dyDescent="0.25">
      <c r="A1664" s="53" t="s">
        <v>2919</v>
      </c>
    </row>
    <row r="1665" spans="1:1" x14ac:dyDescent="0.25">
      <c r="A1665" s="53" t="s">
        <v>3212</v>
      </c>
    </row>
    <row r="1666" spans="1:1" x14ac:dyDescent="0.25">
      <c r="A1666" s="53" t="s">
        <v>3212</v>
      </c>
    </row>
    <row r="1667" spans="1:1" x14ac:dyDescent="0.25">
      <c r="A1667" s="53" t="s">
        <v>3412</v>
      </c>
    </row>
    <row r="1668" spans="1:1" x14ac:dyDescent="0.25">
      <c r="A1668" s="53" t="s">
        <v>3539</v>
      </c>
    </row>
    <row r="1669" spans="1:1" x14ac:dyDescent="0.25">
      <c r="A1669" s="53" t="s">
        <v>2650</v>
      </c>
    </row>
    <row r="1670" spans="1:1" x14ac:dyDescent="0.25">
      <c r="A1670" s="53" t="s">
        <v>2650</v>
      </c>
    </row>
    <row r="1671" spans="1:1" x14ac:dyDescent="0.25">
      <c r="A1671" s="53" t="s">
        <v>3272</v>
      </c>
    </row>
    <row r="1672" spans="1:1" x14ac:dyDescent="0.25">
      <c r="A1672" s="53" t="s">
        <v>2534</v>
      </c>
    </row>
    <row r="1673" spans="1:1" x14ac:dyDescent="0.25">
      <c r="A1673" s="53" t="s">
        <v>2037</v>
      </c>
    </row>
    <row r="1674" spans="1:1" x14ac:dyDescent="0.25">
      <c r="A1674" s="53" t="s">
        <v>2037</v>
      </c>
    </row>
    <row r="1675" spans="1:1" x14ac:dyDescent="0.25">
      <c r="A1675" s="53" t="s">
        <v>2168</v>
      </c>
    </row>
    <row r="1676" spans="1:1" x14ac:dyDescent="0.25">
      <c r="A1676" s="53" t="s">
        <v>2168</v>
      </c>
    </row>
    <row r="1677" spans="1:1" x14ac:dyDescent="0.25">
      <c r="A1677" s="53" t="s">
        <v>3368</v>
      </c>
    </row>
    <row r="1678" spans="1:1" x14ac:dyDescent="0.25">
      <c r="A1678" s="53" t="s">
        <v>2737</v>
      </c>
    </row>
    <row r="1679" spans="1:1" x14ac:dyDescent="0.25">
      <c r="A1679" s="53" t="s">
        <v>3430</v>
      </c>
    </row>
    <row r="1680" spans="1:1" x14ac:dyDescent="0.25">
      <c r="A1680" s="53" t="s">
        <v>3504</v>
      </c>
    </row>
    <row r="1681" spans="1:1" x14ac:dyDescent="0.25">
      <c r="A1681" s="53" t="s">
        <v>2907</v>
      </c>
    </row>
    <row r="1682" spans="1:1" x14ac:dyDescent="0.25">
      <c r="A1682" s="53" t="s">
        <v>2496</v>
      </c>
    </row>
    <row r="1683" spans="1:1" x14ac:dyDescent="0.25">
      <c r="A1683" s="53" t="s">
        <v>3548</v>
      </c>
    </row>
    <row r="1684" spans="1:1" x14ac:dyDescent="0.25">
      <c r="A1684" s="53" t="s">
        <v>3548</v>
      </c>
    </row>
    <row r="1685" spans="1:1" x14ac:dyDescent="0.25">
      <c r="A1685" s="53" t="s">
        <v>2672</v>
      </c>
    </row>
    <row r="1686" spans="1:1" x14ac:dyDescent="0.25">
      <c r="A1686" s="53" t="s">
        <v>3271</v>
      </c>
    </row>
    <row r="1687" spans="1:1" x14ac:dyDescent="0.25">
      <c r="A1687" s="53" t="s">
        <v>3244</v>
      </c>
    </row>
    <row r="1688" spans="1:1" x14ac:dyDescent="0.25">
      <c r="A1688" s="53" t="s">
        <v>3218</v>
      </c>
    </row>
    <row r="1689" spans="1:1" x14ac:dyDescent="0.25">
      <c r="A1689" s="53" t="s">
        <v>2702</v>
      </c>
    </row>
    <row r="1690" spans="1:1" x14ac:dyDescent="0.25">
      <c r="A1690" s="53" t="s">
        <v>2702</v>
      </c>
    </row>
    <row r="1691" spans="1:1" x14ac:dyDescent="0.25">
      <c r="A1691" s="53" t="s">
        <v>2868</v>
      </c>
    </row>
    <row r="1692" spans="1:1" x14ac:dyDescent="0.25">
      <c r="A1692" s="53" t="s">
        <v>2682</v>
      </c>
    </row>
    <row r="1693" spans="1:1" x14ac:dyDescent="0.25">
      <c r="A1693" s="53" t="s">
        <v>2755</v>
      </c>
    </row>
    <row r="1694" spans="1:1" x14ac:dyDescent="0.25">
      <c r="A1694" s="53" t="s">
        <v>2649</v>
      </c>
    </row>
    <row r="1695" spans="1:1" x14ac:dyDescent="0.25">
      <c r="A1695" s="53" t="s">
        <v>2649</v>
      </c>
    </row>
    <row r="1696" spans="1:1" x14ac:dyDescent="0.25">
      <c r="A1696" s="53" t="s">
        <v>2832</v>
      </c>
    </row>
    <row r="1697" spans="1:1" x14ac:dyDescent="0.25">
      <c r="A1697" s="53" t="s">
        <v>2748</v>
      </c>
    </row>
    <row r="1698" spans="1:1" x14ac:dyDescent="0.25">
      <c r="A1698" s="53" t="s">
        <v>3063</v>
      </c>
    </row>
    <row r="1699" spans="1:1" x14ac:dyDescent="0.25">
      <c r="A1699" s="53" t="s">
        <v>3063</v>
      </c>
    </row>
    <row r="1700" spans="1:1" x14ac:dyDescent="0.25">
      <c r="A1700" s="53" t="s">
        <v>2683</v>
      </c>
    </row>
    <row r="1701" spans="1:1" x14ac:dyDescent="0.25">
      <c r="A1701" s="53" t="s">
        <v>3326</v>
      </c>
    </row>
    <row r="1702" spans="1:1" x14ac:dyDescent="0.25">
      <c r="A1702" s="53" t="s">
        <v>2628</v>
      </c>
    </row>
    <row r="1703" spans="1:1" x14ac:dyDescent="0.25">
      <c r="A1703" s="53" t="s">
        <v>2708</v>
      </c>
    </row>
    <row r="1704" spans="1:1" x14ac:dyDescent="0.25">
      <c r="A1704" s="53" t="s">
        <v>2708</v>
      </c>
    </row>
    <row r="1705" spans="1:1" x14ac:dyDescent="0.25">
      <c r="A1705" s="53" t="s">
        <v>2854</v>
      </c>
    </row>
    <row r="1706" spans="1:1" x14ac:dyDescent="0.25">
      <c r="A1706" s="53" t="s">
        <v>2854</v>
      </c>
    </row>
    <row r="1707" spans="1:1" x14ac:dyDescent="0.25">
      <c r="A1707" s="53" t="s">
        <v>2521</v>
      </c>
    </row>
    <row r="1708" spans="1:1" x14ac:dyDescent="0.25">
      <c r="A1708" s="53" t="s">
        <v>1926</v>
      </c>
    </row>
    <row r="1709" spans="1:1" x14ac:dyDescent="0.25">
      <c r="A1709" s="53" t="s">
        <v>3511</v>
      </c>
    </row>
    <row r="1710" spans="1:1" x14ac:dyDescent="0.25">
      <c r="A1710" s="53" t="s">
        <v>2757</v>
      </c>
    </row>
    <row r="1711" spans="1:1" x14ac:dyDescent="0.25">
      <c r="A1711" s="53" t="s">
        <v>3029</v>
      </c>
    </row>
    <row r="1712" spans="1:1" x14ac:dyDescent="0.25">
      <c r="A1712" s="53" t="s">
        <v>2323</v>
      </c>
    </row>
    <row r="1713" spans="1:1" x14ac:dyDescent="0.25">
      <c r="A1713" s="53" t="s">
        <v>2414</v>
      </c>
    </row>
    <row r="1714" spans="1:1" x14ac:dyDescent="0.25">
      <c r="A1714" s="53" t="s">
        <v>3446</v>
      </c>
    </row>
    <row r="1715" spans="1:1" x14ac:dyDescent="0.25">
      <c r="A1715" s="53" t="s">
        <v>3734</v>
      </c>
    </row>
    <row r="1716" spans="1:1" x14ac:dyDescent="0.25">
      <c r="A1716" s="53" t="s">
        <v>2975</v>
      </c>
    </row>
    <row r="1717" spans="1:1" x14ac:dyDescent="0.25">
      <c r="A1717" s="53" t="s">
        <v>3578</v>
      </c>
    </row>
    <row r="1718" spans="1:1" x14ac:dyDescent="0.25">
      <c r="A1718" s="53" t="s">
        <v>2817</v>
      </c>
    </row>
    <row r="1719" spans="1:1" x14ac:dyDescent="0.25">
      <c r="A1719" s="53" t="s">
        <v>1951</v>
      </c>
    </row>
    <row r="1720" spans="1:1" x14ac:dyDescent="0.25">
      <c r="A1720" s="53" t="s">
        <v>2214</v>
      </c>
    </row>
    <row r="1721" spans="1:1" x14ac:dyDescent="0.25">
      <c r="A1721" s="53" t="s">
        <v>1969</v>
      </c>
    </row>
    <row r="1722" spans="1:1" x14ac:dyDescent="0.25">
      <c r="A1722" s="53" t="s">
        <v>1969</v>
      </c>
    </row>
    <row r="1723" spans="1:1" x14ac:dyDescent="0.25">
      <c r="A1723" s="53" t="s">
        <v>3753</v>
      </c>
    </row>
    <row r="1724" spans="1:1" x14ac:dyDescent="0.25">
      <c r="A1724" s="53" t="s">
        <v>2119</v>
      </c>
    </row>
    <row r="1725" spans="1:1" x14ac:dyDescent="0.25">
      <c r="A1725" s="53" t="s">
        <v>2119</v>
      </c>
    </row>
    <row r="1726" spans="1:1" x14ac:dyDescent="0.25">
      <c r="A1726" s="53" t="s">
        <v>2353</v>
      </c>
    </row>
    <row r="1727" spans="1:1" x14ac:dyDescent="0.25">
      <c r="A1727" s="53" t="s">
        <v>2455</v>
      </c>
    </row>
    <row r="1728" spans="1:1" x14ac:dyDescent="0.25">
      <c r="A1728" s="53" t="s">
        <v>2458</v>
      </c>
    </row>
    <row r="1729" spans="1:1" x14ac:dyDescent="0.25">
      <c r="A1729" s="53" t="s">
        <v>2144</v>
      </c>
    </row>
    <row r="1730" spans="1:1" x14ac:dyDescent="0.25">
      <c r="A1730" s="53" t="s">
        <v>2326</v>
      </c>
    </row>
    <row r="1731" spans="1:1" x14ac:dyDescent="0.25">
      <c r="A1731" s="53" t="s">
        <v>2326</v>
      </c>
    </row>
    <row r="1732" spans="1:1" x14ac:dyDescent="0.25">
      <c r="A1732" s="53" t="s">
        <v>2269</v>
      </c>
    </row>
    <row r="1733" spans="1:1" x14ac:dyDescent="0.25">
      <c r="A1733" s="53" t="s">
        <v>2348</v>
      </c>
    </row>
    <row r="1734" spans="1:1" x14ac:dyDescent="0.25">
      <c r="A1734" s="53" t="s">
        <v>2278</v>
      </c>
    </row>
    <row r="1735" spans="1:1" x14ac:dyDescent="0.25">
      <c r="A1735" s="53" t="s">
        <v>3754</v>
      </c>
    </row>
    <row r="1736" spans="1:1" x14ac:dyDescent="0.25">
      <c r="A1736" s="53" t="s">
        <v>3755</v>
      </c>
    </row>
    <row r="1737" spans="1:1" x14ac:dyDescent="0.25">
      <c r="A1737" s="53" t="s">
        <v>3756</v>
      </c>
    </row>
    <row r="1738" spans="1:1" x14ac:dyDescent="0.25">
      <c r="A1738" s="53" t="s">
        <v>3757</v>
      </c>
    </row>
    <row r="1739" spans="1:1" x14ac:dyDescent="0.25">
      <c r="A1739" s="53" t="s">
        <v>3758</v>
      </c>
    </row>
    <row r="1740" spans="1:1" x14ac:dyDescent="0.25">
      <c r="A1740" s="53" t="s">
        <v>2332</v>
      </c>
    </row>
    <row r="1741" spans="1:1" x14ac:dyDescent="0.25">
      <c r="A1741" s="53" t="s">
        <v>3759</v>
      </c>
    </row>
    <row r="1742" spans="1:1" x14ac:dyDescent="0.25">
      <c r="A1742" s="53" t="s">
        <v>2228</v>
      </c>
    </row>
    <row r="1743" spans="1:1" x14ac:dyDescent="0.25">
      <c r="A1743" s="53" t="s">
        <v>2228</v>
      </c>
    </row>
    <row r="1744" spans="1:1" x14ac:dyDescent="0.25">
      <c r="A1744" s="53" t="s">
        <v>2318</v>
      </c>
    </row>
    <row r="1745" spans="1:1" x14ac:dyDescent="0.25">
      <c r="A1745" s="53" t="s">
        <v>2244</v>
      </c>
    </row>
    <row r="1746" spans="1:1" x14ac:dyDescent="0.25">
      <c r="A1746" s="53" t="s">
        <v>2244</v>
      </c>
    </row>
    <row r="1747" spans="1:1" x14ac:dyDescent="0.25">
      <c r="A1747" s="53" t="s">
        <v>2339</v>
      </c>
    </row>
    <row r="1748" spans="1:1" x14ac:dyDescent="0.25">
      <c r="A1748" s="53" t="s">
        <v>2339</v>
      </c>
    </row>
    <row r="1749" spans="1:1" x14ac:dyDescent="0.25">
      <c r="A1749" s="53" t="s">
        <v>1965</v>
      </c>
    </row>
    <row r="1750" spans="1:1" x14ac:dyDescent="0.25">
      <c r="A1750" s="53" t="s">
        <v>1965</v>
      </c>
    </row>
    <row r="1751" spans="1:1" x14ac:dyDescent="0.25">
      <c r="A1751" s="53" t="s">
        <v>1954</v>
      </c>
    </row>
    <row r="1752" spans="1:1" x14ac:dyDescent="0.25">
      <c r="A1752" s="53" t="s">
        <v>1954</v>
      </c>
    </row>
    <row r="1753" spans="1:1" x14ac:dyDescent="0.25">
      <c r="A1753" s="53" t="s">
        <v>2376</v>
      </c>
    </row>
    <row r="1754" spans="1:1" x14ac:dyDescent="0.25">
      <c r="A1754" s="53" t="s">
        <v>1945</v>
      </c>
    </row>
    <row r="1755" spans="1:1" x14ac:dyDescent="0.25">
      <c r="A1755" s="53" t="s">
        <v>2296</v>
      </c>
    </row>
    <row r="1756" spans="1:1" x14ac:dyDescent="0.25">
      <c r="A1756" s="53" t="s">
        <v>2296</v>
      </c>
    </row>
    <row r="1757" spans="1:1" x14ac:dyDescent="0.25">
      <c r="A1757" s="53" t="s">
        <v>2070</v>
      </c>
    </row>
    <row r="1758" spans="1:1" x14ac:dyDescent="0.25">
      <c r="A1758" s="53" t="s">
        <v>2092</v>
      </c>
    </row>
    <row r="1759" spans="1:1" x14ac:dyDescent="0.25">
      <c r="A1759" s="53" t="s">
        <v>2092</v>
      </c>
    </row>
    <row r="1760" spans="1:1" x14ac:dyDescent="0.25">
      <c r="A1760" s="53" t="s">
        <v>2341</v>
      </c>
    </row>
    <row r="1761" spans="1:1" x14ac:dyDescent="0.25">
      <c r="A1761" s="53" t="s">
        <v>2258</v>
      </c>
    </row>
    <row r="1762" spans="1:1" x14ac:dyDescent="0.25">
      <c r="A1762" s="53" t="s">
        <v>1979</v>
      </c>
    </row>
    <row r="1763" spans="1:1" x14ac:dyDescent="0.25">
      <c r="A1763" s="53" t="s">
        <v>2110</v>
      </c>
    </row>
    <row r="1764" spans="1:1" x14ac:dyDescent="0.25">
      <c r="A1764" s="53" t="s">
        <v>2265</v>
      </c>
    </row>
    <row r="1765" spans="1:1" x14ac:dyDescent="0.25">
      <c r="A1765" s="53" t="s">
        <v>2520</v>
      </c>
    </row>
    <row r="1766" spans="1:1" x14ac:dyDescent="0.25">
      <c r="A1766" s="53" t="s">
        <v>2212</v>
      </c>
    </row>
    <row r="1767" spans="1:1" x14ac:dyDescent="0.25">
      <c r="A1767" s="53" t="s">
        <v>1948</v>
      </c>
    </row>
    <row r="1768" spans="1:1" x14ac:dyDescent="0.25">
      <c r="A1768" s="53" t="s">
        <v>1952</v>
      </c>
    </row>
    <row r="1769" spans="1:1" x14ac:dyDescent="0.25">
      <c r="A1769" s="53" t="s">
        <v>2411</v>
      </c>
    </row>
    <row r="1770" spans="1:1" x14ac:dyDescent="0.25">
      <c r="A1770" s="53" t="s">
        <v>2091</v>
      </c>
    </row>
    <row r="1771" spans="1:1" x14ac:dyDescent="0.25">
      <c r="A1771" s="53" t="s">
        <v>2109</v>
      </c>
    </row>
    <row r="1772" spans="1:1" x14ac:dyDescent="0.25">
      <c r="A1772" s="53" t="s">
        <v>2227</v>
      </c>
    </row>
    <row r="1773" spans="1:1" x14ac:dyDescent="0.25">
      <c r="A1773" s="53" t="s">
        <v>2481</v>
      </c>
    </row>
    <row r="1774" spans="1:1" x14ac:dyDescent="0.25">
      <c r="A1774" s="53" t="s">
        <v>2270</v>
      </c>
    </row>
    <row r="1775" spans="1:1" x14ac:dyDescent="0.25">
      <c r="A1775" s="53" t="s">
        <v>2378</v>
      </c>
    </row>
    <row r="1776" spans="1:1" x14ac:dyDescent="0.25">
      <c r="A1776" s="53" t="s">
        <v>2378</v>
      </c>
    </row>
    <row r="1777" spans="1:1" x14ac:dyDescent="0.25">
      <c r="A1777" s="53" t="s">
        <v>2419</v>
      </c>
    </row>
    <row r="1778" spans="1:1" x14ac:dyDescent="0.25">
      <c r="A1778" s="53" t="s">
        <v>2482</v>
      </c>
    </row>
    <row r="1779" spans="1:1" x14ac:dyDescent="0.25">
      <c r="A1779" s="53" t="s">
        <v>2107</v>
      </c>
    </row>
    <row r="1780" spans="1:1" x14ac:dyDescent="0.25">
      <c r="A1780" s="53" t="s">
        <v>2107</v>
      </c>
    </row>
    <row r="1781" spans="1:1" x14ac:dyDescent="0.25">
      <c r="A1781" s="53" t="s">
        <v>2404</v>
      </c>
    </row>
    <row r="1782" spans="1:1" x14ac:dyDescent="0.25">
      <c r="A1782" s="53" t="s">
        <v>2114</v>
      </c>
    </row>
    <row r="1783" spans="1:1" x14ac:dyDescent="0.25">
      <c r="A1783" s="53" t="s">
        <v>2306</v>
      </c>
    </row>
    <row r="1784" spans="1:1" x14ac:dyDescent="0.25">
      <c r="A1784" s="53" t="s">
        <v>2259</v>
      </c>
    </row>
    <row r="1785" spans="1:1" x14ac:dyDescent="0.25">
      <c r="A1785" s="53" t="s">
        <v>2066</v>
      </c>
    </row>
    <row r="1786" spans="1:1" x14ac:dyDescent="0.25">
      <c r="A1786" s="53" t="s">
        <v>1978</v>
      </c>
    </row>
    <row r="1787" spans="1:1" x14ac:dyDescent="0.25">
      <c r="A1787" s="53" t="s">
        <v>2440</v>
      </c>
    </row>
    <row r="1788" spans="1:1" x14ac:dyDescent="0.25">
      <c r="A1788" s="53" t="s">
        <v>2402</v>
      </c>
    </row>
    <row r="1789" spans="1:1" x14ac:dyDescent="0.25">
      <c r="A1789" s="53" t="s">
        <v>2485</v>
      </c>
    </row>
    <row r="1790" spans="1:1" x14ac:dyDescent="0.25">
      <c r="A1790" s="53" t="s">
        <v>2090</v>
      </c>
    </row>
    <row r="1791" spans="1:1" x14ac:dyDescent="0.25">
      <c r="A1791" s="53" t="s">
        <v>2385</v>
      </c>
    </row>
    <row r="1792" spans="1:1" x14ac:dyDescent="0.25">
      <c r="A1792" s="53" t="s">
        <v>2456</v>
      </c>
    </row>
    <row r="1793" spans="1:1" x14ac:dyDescent="0.25">
      <c r="A1793" s="53" t="s">
        <v>2179</v>
      </c>
    </row>
    <row r="1794" spans="1:1" x14ac:dyDescent="0.25">
      <c r="A1794" s="53" t="s">
        <v>2074</v>
      </c>
    </row>
    <row r="1795" spans="1:1" x14ac:dyDescent="0.25">
      <c r="A1795" s="53" t="s">
        <v>2377</v>
      </c>
    </row>
    <row r="1796" spans="1:1" x14ac:dyDescent="0.25">
      <c r="A1796" s="53" t="s">
        <v>2377</v>
      </c>
    </row>
    <row r="1797" spans="1:1" x14ac:dyDescent="0.25">
      <c r="A1797" s="53" t="s">
        <v>2344</v>
      </c>
    </row>
    <row r="1798" spans="1:1" x14ac:dyDescent="0.25">
      <c r="A1798" s="53" t="s">
        <v>2344</v>
      </c>
    </row>
    <row r="1799" spans="1:1" x14ac:dyDescent="0.25">
      <c r="A1799" s="53" t="s">
        <v>2346</v>
      </c>
    </row>
    <row r="1800" spans="1:1" x14ac:dyDescent="0.25">
      <c r="A1800" s="53" t="s">
        <v>2006</v>
      </c>
    </row>
    <row r="1801" spans="1:1" x14ac:dyDescent="0.25">
      <c r="A1801" s="53" t="s">
        <v>2006</v>
      </c>
    </row>
    <row r="1802" spans="1:1" x14ac:dyDescent="0.25">
      <c r="A1802" s="53" t="s">
        <v>2457</v>
      </c>
    </row>
    <row r="1803" spans="1:1" x14ac:dyDescent="0.25">
      <c r="A1803" s="53" t="s">
        <v>2290</v>
      </c>
    </row>
    <row r="1804" spans="1:1" x14ac:dyDescent="0.25">
      <c r="A1804" s="53" t="s">
        <v>2166</v>
      </c>
    </row>
    <row r="1805" spans="1:1" x14ac:dyDescent="0.25">
      <c r="A1805" s="53" t="s">
        <v>2166</v>
      </c>
    </row>
    <row r="1806" spans="1:1" x14ac:dyDescent="0.25">
      <c r="A1806" s="53" t="s">
        <v>2466</v>
      </c>
    </row>
    <row r="1807" spans="1:1" x14ac:dyDescent="0.25">
      <c r="A1807" s="53" t="s">
        <v>2466</v>
      </c>
    </row>
    <row r="1808" spans="1:1" x14ac:dyDescent="0.25">
      <c r="A1808" s="53" t="s">
        <v>2479</v>
      </c>
    </row>
    <row r="1809" spans="1:1" x14ac:dyDescent="0.25">
      <c r="A1809" s="53" t="s">
        <v>2230</v>
      </c>
    </row>
    <row r="1810" spans="1:1" x14ac:dyDescent="0.25">
      <c r="A1810" s="53" t="s">
        <v>2251</v>
      </c>
    </row>
    <row r="1811" spans="1:1" x14ac:dyDescent="0.25">
      <c r="A1811" s="53" t="s">
        <v>2007</v>
      </c>
    </row>
    <row r="1812" spans="1:1" x14ac:dyDescent="0.25">
      <c r="A1812" s="53" t="s">
        <v>2325</v>
      </c>
    </row>
    <row r="1813" spans="1:1" x14ac:dyDescent="0.25">
      <c r="A1813" s="53" t="s">
        <v>2367</v>
      </c>
    </row>
    <row r="1814" spans="1:1" x14ac:dyDescent="0.25">
      <c r="A1814" s="53" t="s">
        <v>2299</v>
      </c>
    </row>
    <row r="1815" spans="1:1" x14ac:dyDescent="0.25">
      <c r="A1815" s="53" t="s">
        <v>2330</v>
      </c>
    </row>
    <row r="1816" spans="1:1" x14ac:dyDescent="0.25">
      <c r="A1816" s="53" t="s">
        <v>2253</v>
      </c>
    </row>
    <row r="1817" spans="1:1" x14ac:dyDescent="0.25">
      <c r="A1817" s="53" t="s">
        <v>2253</v>
      </c>
    </row>
    <row r="1818" spans="1:1" x14ac:dyDescent="0.25">
      <c r="A1818" s="53" t="s">
        <v>2453</v>
      </c>
    </row>
    <row r="1819" spans="1:1" x14ac:dyDescent="0.25">
      <c r="A1819" s="53" t="s">
        <v>2252</v>
      </c>
    </row>
    <row r="1820" spans="1:1" x14ac:dyDescent="0.25">
      <c r="A1820" s="53" t="s">
        <v>3288</v>
      </c>
    </row>
    <row r="1821" spans="1:1" x14ac:dyDescent="0.25">
      <c r="A1821" s="53" t="s">
        <v>3288</v>
      </c>
    </row>
    <row r="1822" spans="1:1" x14ac:dyDescent="0.25">
      <c r="A1822" s="53" t="s">
        <v>2488</v>
      </c>
    </row>
    <row r="1823" spans="1:1" x14ac:dyDescent="0.25">
      <c r="A1823" s="53" t="s">
        <v>2284</v>
      </c>
    </row>
    <row r="1824" spans="1:1" x14ac:dyDescent="0.25">
      <c r="A1824" s="53" t="s">
        <v>2686</v>
      </c>
    </row>
    <row r="1825" spans="1:1" x14ac:dyDescent="0.25">
      <c r="A1825" s="53" t="s">
        <v>2460</v>
      </c>
    </row>
    <row r="1826" spans="1:1" x14ac:dyDescent="0.25">
      <c r="A1826" s="53" t="s">
        <v>2273</v>
      </c>
    </row>
    <row r="1827" spans="1:1" x14ac:dyDescent="0.25">
      <c r="A1827" s="53" t="s">
        <v>2111</v>
      </c>
    </row>
    <row r="1828" spans="1:1" x14ac:dyDescent="0.25">
      <c r="A1828" s="53" t="s">
        <v>2132</v>
      </c>
    </row>
    <row r="1829" spans="1:1" x14ac:dyDescent="0.25">
      <c r="A1829" s="53" t="s">
        <v>2383</v>
      </c>
    </row>
    <row r="1830" spans="1:1" x14ac:dyDescent="0.25">
      <c r="A1830" s="53" t="s">
        <v>2099</v>
      </c>
    </row>
    <row r="1831" spans="1:1" x14ac:dyDescent="0.25">
      <c r="A1831" s="53" t="s">
        <v>2329</v>
      </c>
    </row>
    <row r="1832" spans="1:1" x14ac:dyDescent="0.25">
      <c r="A1832" s="53" t="s">
        <v>2334</v>
      </c>
    </row>
    <row r="1833" spans="1:1" x14ac:dyDescent="0.25">
      <c r="A1833" s="53" t="s">
        <v>2334</v>
      </c>
    </row>
    <row r="1834" spans="1:1" x14ac:dyDescent="0.25">
      <c r="A1834" s="53" t="s">
        <v>1967</v>
      </c>
    </row>
    <row r="1835" spans="1:1" x14ac:dyDescent="0.25">
      <c r="A1835" s="53" t="s">
        <v>2222</v>
      </c>
    </row>
    <row r="1836" spans="1:1" x14ac:dyDescent="0.25">
      <c r="A1836" s="53" t="s">
        <v>2424</v>
      </c>
    </row>
    <row r="1837" spans="1:1" x14ac:dyDescent="0.25">
      <c r="A1837" s="53" t="s">
        <v>2266</v>
      </c>
    </row>
    <row r="1838" spans="1:1" x14ac:dyDescent="0.25">
      <c r="A1838" s="53" t="s">
        <v>2009</v>
      </c>
    </row>
    <row r="1839" spans="1:1" x14ac:dyDescent="0.25">
      <c r="A1839" s="53" t="s">
        <v>2098</v>
      </c>
    </row>
    <row r="1840" spans="1:1" x14ac:dyDescent="0.25">
      <c r="A1840" s="53" t="s">
        <v>3584</v>
      </c>
    </row>
    <row r="1841" spans="1:1" x14ac:dyDescent="0.25">
      <c r="A1841" s="53" t="s">
        <v>3587</v>
      </c>
    </row>
    <row r="1842" spans="1:1" x14ac:dyDescent="0.25">
      <c r="A1842" s="53" t="s">
        <v>2508</v>
      </c>
    </row>
    <row r="1843" spans="1:1" x14ac:dyDescent="0.25">
      <c r="A1843" s="53" t="s">
        <v>2375</v>
      </c>
    </row>
    <row r="1844" spans="1:1" x14ac:dyDescent="0.25">
      <c r="A1844" s="53" t="s">
        <v>2375</v>
      </c>
    </row>
    <row r="1845" spans="1:1" x14ac:dyDescent="0.25">
      <c r="A1845" s="53" t="s">
        <v>2392</v>
      </c>
    </row>
    <row r="1846" spans="1:1" x14ac:dyDescent="0.25">
      <c r="A1846" s="53" t="s">
        <v>2392</v>
      </c>
    </row>
    <row r="1847" spans="1:1" x14ac:dyDescent="0.25">
      <c r="A1847" s="53" t="s">
        <v>2412</v>
      </c>
    </row>
    <row r="1848" spans="1:1" x14ac:dyDescent="0.25">
      <c r="A1848" s="53" t="s">
        <v>2389</v>
      </c>
    </row>
    <row r="1849" spans="1:1" x14ac:dyDescent="0.25">
      <c r="A1849" s="53" t="s">
        <v>2024</v>
      </c>
    </row>
    <row r="1850" spans="1:1" x14ac:dyDescent="0.25">
      <c r="A1850" s="53" t="s">
        <v>2617</v>
      </c>
    </row>
    <row r="1851" spans="1:1" x14ac:dyDescent="0.25">
      <c r="A1851" s="53" t="s">
        <v>2328</v>
      </c>
    </row>
    <row r="1852" spans="1:1" x14ac:dyDescent="0.25">
      <c r="A1852" s="53" t="s">
        <v>2328</v>
      </c>
    </row>
    <row r="1853" spans="1:1" x14ac:dyDescent="0.25">
      <c r="A1853" s="53" t="s">
        <v>2395</v>
      </c>
    </row>
    <row r="1854" spans="1:1" x14ac:dyDescent="0.25">
      <c r="A1854" s="53" t="s">
        <v>2211</v>
      </c>
    </row>
    <row r="1855" spans="1:1" x14ac:dyDescent="0.25">
      <c r="A1855" s="53" t="s">
        <v>2211</v>
      </c>
    </row>
    <row r="1856" spans="1:1" x14ac:dyDescent="0.25">
      <c r="A1856" s="53" t="s">
        <v>2390</v>
      </c>
    </row>
    <row r="1857" spans="1:1" x14ac:dyDescent="0.25">
      <c r="A1857" s="53" t="s">
        <v>2616</v>
      </c>
    </row>
    <row r="1858" spans="1:1" x14ac:dyDescent="0.25">
      <c r="A1858" s="53" t="s">
        <v>2148</v>
      </c>
    </row>
    <row r="1859" spans="1:1" x14ac:dyDescent="0.25">
      <c r="A1859" s="53" t="s">
        <v>2029</v>
      </c>
    </row>
    <row r="1860" spans="1:1" x14ac:dyDescent="0.25">
      <c r="A1860" s="53" t="s">
        <v>2029</v>
      </c>
    </row>
    <row r="1861" spans="1:1" x14ac:dyDescent="0.25">
      <c r="A1861" s="53" t="s">
        <v>2449</v>
      </c>
    </row>
    <row r="1862" spans="1:1" x14ac:dyDescent="0.25">
      <c r="A1862" s="53" t="s">
        <v>2449</v>
      </c>
    </row>
    <row r="1863" spans="1:1" x14ac:dyDescent="0.25">
      <c r="A1863" s="53" t="s">
        <v>1994</v>
      </c>
    </row>
    <row r="1864" spans="1:1" x14ac:dyDescent="0.25">
      <c r="A1864" s="53" t="s">
        <v>2509</v>
      </c>
    </row>
    <row r="1865" spans="1:1" x14ac:dyDescent="0.25">
      <c r="A1865" s="53" t="s">
        <v>2509</v>
      </c>
    </row>
    <row r="1866" spans="1:1" x14ac:dyDescent="0.25">
      <c r="A1866" s="53" t="s">
        <v>2050</v>
      </c>
    </row>
    <row r="1867" spans="1:1" x14ac:dyDescent="0.25">
      <c r="A1867" s="53" t="s">
        <v>2112</v>
      </c>
    </row>
    <row r="1868" spans="1:1" x14ac:dyDescent="0.25">
      <c r="A1868" s="53" t="s">
        <v>3686</v>
      </c>
    </row>
    <row r="1869" spans="1:1" x14ac:dyDescent="0.25">
      <c r="A1869" s="53" t="s">
        <v>3686</v>
      </c>
    </row>
    <row r="1870" spans="1:1" x14ac:dyDescent="0.25">
      <c r="A1870" s="53" t="s">
        <v>2105</v>
      </c>
    </row>
    <row r="1871" spans="1:1" x14ac:dyDescent="0.25">
      <c r="A1871" s="53" t="s">
        <v>2287</v>
      </c>
    </row>
    <row r="1872" spans="1:1" x14ac:dyDescent="0.25">
      <c r="A1872" s="53" t="s">
        <v>2243</v>
      </c>
    </row>
    <row r="1873" spans="1:1" x14ac:dyDescent="0.25">
      <c r="A1873" s="53" t="s">
        <v>1961</v>
      </c>
    </row>
    <row r="1874" spans="1:1" x14ac:dyDescent="0.25">
      <c r="A1874" s="53" t="s">
        <v>2327</v>
      </c>
    </row>
    <row r="1875" spans="1:1" x14ac:dyDescent="0.25">
      <c r="A1875" s="53" t="s">
        <v>2499</v>
      </c>
    </row>
    <row r="1876" spans="1:1" x14ac:dyDescent="0.25">
      <c r="A1876" s="53" t="s">
        <v>2088</v>
      </c>
    </row>
    <row r="1877" spans="1:1" x14ac:dyDescent="0.25">
      <c r="A1877" s="53" t="s">
        <v>2209</v>
      </c>
    </row>
    <row r="1878" spans="1:1" x14ac:dyDescent="0.25">
      <c r="A1878" s="53" t="s">
        <v>2209</v>
      </c>
    </row>
    <row r="1879" spans="1:1" x14ac:dyDescent="0.25">
      <c r="A1879" s="53" t="s">
        <v>2426</v>
      </c>
    </row>
    <row r="1880" spans="1:1" x14ac:dyDescent="0.25">
      <c r="A1880" s="53" t="s">
        <v>2336</v>
      </c>
    </row>
    <row r="1881" spans="1:1" x14ac:dyDescent="0.25">
      <c r="A1881" s="53" t="s">
        <v>2459</v>
      </c>
    </row>
    <row r="1882" spans="1:1" x14ac:dyDescent="0.25">
      <c r="A1882" s="53" t="s">
        <v>2034</v>
      </c>
    </row>
    <row r="1883" spans="1:1" x14ac:dyDescent="0.25">
      <c r="A1883" s="53" t="s">
        <v>2034</v>
      </c>
    </row>
    <row r="1884" spans="1:1" x14ac:dyDescent="0.25">
      <c r="A1884" s="53" t="s">
        <v>2235</v>
      </c>
    </row>
    <row r="1885" spans="1:1" x14ac:dyDescent="0.25">
      <c r="A1885" s="53" t="s">
        <v>2235</v>
      </c>
    </row>
    <row r="1886" spans="1:1" x14ac:dyDescent="0.25">
      <c r="A1886" s="53" t="s">
        <v>2313</v>
      </c>
    </row>
    <row r="1887" spans="1:1" x14ac:dyDescent="0.25">
      <c r="A1887" s="53" t="s">
        <v>2379</v>
      </c>
    </row>
    <row r="1888" spans="1:1" x14ac:dyDescent="0.25">
      <c r="A1888" s="53" t="s">
        <v>2462</v>
      </c>
    </row>
    <row r="1889" spans="1:1" x14ac:dyDescent="0.25">
      <c r="A1889" s="53" t="s">
        <v>3575</v>
      </c>
    </row>
    <row r="1890" spans="1:1" x14ac:dyDescent="0.25">
      <c r="A1890" s="53" t="s">
        <v>2450</v>
      </c>
    </row>
    <row r="1891" spans="1:1" x14ac:dyDescent="0.25">
      <c r="A1891" s="53" t="s">
        <v>2405</v>
      </c>
    </row>
    <row r="1892" spans="1:1" x14ac:dyDescent="0.25">
      <c r="A1892" s="53" t="s">
        <v>2300</v>
      </c>
    </row>
    <row r="1893" spans="1:1" x14ac:dyDescent="0.25">
      <c r="A1893" s="53" t="s">
        <v>2207</v>
      </c>
    </row>
    <row r="1894" spans="1:1" x14ac:dyDescent="0.25">
      <c r="A1894" s="53" t="s">
        <v>2220</v>
      </c>
    </row>
    <row r="1895" spans="1:1" x14ac:dyDescent="0.25">
      <c r="A1895" s="53" t="s">
        <v>2020</v>
      </c>
    </row>
    <row r="1896" spans="1:1" x14ac:dyDescent="0.25">
      <c r="A1896" s="53" t="s">
        <v>2020</v>
      </c>
    </row>
    <row r="1897" spans="1:1" x14ac:dyDescent="0.25">
      <c r="A1897" s="53" t="s">
        <v>3607</v>
      </c>
    </row>
    <row r="1898" spans="1:1" x14ac:dyDescent="0.25">
      <c r="A1898" s="53" t="s">
        <v>2483</v>
      </c>
    </row>
    <row r="1899" spans="1:1" x14ac:dyDescent="0.25">
      <c r="A1899" s="53" t="s">
        <v>2500</v>
      </c>
    </row>
    <row r="1900" spans="1:1" x14ac:dyDescent="0.25">
      <c r="A1900" s="53" t="s">
        <v>2275</v>
      </c>
    </row>
    <row r="1901" spans="1:1" x14ac:dyDescent="0.25">
      <c r="A1901" s="53" t="s">
        <v>2435</v>
      </c>
    </row>
    <row r="1902" spans="1:1" x14ac:dyDescent="0.25">
      <c r="A1902" s="53" t="s">
        <v>3590</v>
      </c>
    </row>
    <row r="1903" spans="1:1" x14ac:dyDescent="0.25">
      <c r="A1903" s="53" t="s">
        <v>2005</v>
      </c>
    </row>
    <row r="1904" spans="1:1" x14ac:dyDescent="0.25">
      <c r="A1904" s="53" t="s">
        <v>3684</v>
      </c>
    </row>
    <row r="1905" spans="1:1" x14ac:dyDescent="0.25">
      <c r="A1905" s="53" t="s">
        <v>3684</v>
      </c>
    </row>
    <row r="1906" spans="1:1" x14ac:dyDescent="0.25">
      <c r="A1906" s="53" t="s">
        <v>2369</v>
      </c>
    </row>
    <row r="1907" spans="1:1" x14ac:dyDescent="0.25">
      <c r="A1907" s="53" t="s">
        <v>1998</v>
      </c>
    </row>
    <row r="1908" spans="1:1" x14ac:dyDescent="0.25">
      <c r="A1908" s="53" t="s">
        <v>2381</v>
      </c>
    </row>
    <row r="1909" spans="1:1" x14ac:dyDescent="0.25">
      <c r="A1909" s="53" t="s">
        <v>2381</v>
      </c>
    </row>
    <row r="1910" spans="1:1" x14ac:dyDescent="0.25">
      <c r="A1910" s="53" t="s">
        <v>2102</v>
      </c>
    </row>
    <row r="1911" spans="1:1" x14ac:dyDescent="0.25">
      <c r="A1911" s="53" t="s">
        <v>2044</v>
      </c>
    </row>
    <row r="1912" spans="1:1" x14ac:dyDescent="0.25">
      <c r="A1912" s="53" t="s">
        <v>2373</v>
      </c>
    </row>
    <row r="1913" spans="1:1" x14ac:dyDescent="0.25">
      <c r="A1913" s="53" t="s">
        <v>3614</v>
      </c>
    </row>
    <row r="1914" spans="1:1" x14ac:dyDescent="0.25">
      <c r="A1914" s="53" t="s">
        <v>2498</v>
      </c>
    </row>
    <row r="1915" spans="1:1" x14ac:dyDescent="0.25">
      <c r="A1915" s="53" t="s">
        <v>2493</v>
      </c>
    </row>
    <row r="1916" spans="1:1" x14ac:dyDescent="0.25">
      <c r="A1916" s="53" t="s">
        <v>2234</v>
      </c>
    </row>
    <row r="1917" spans="1:1" x14ac:dyDescent="0.25">
      <c r="A1917" s="53" t="s">
        <v>2234</v>
      </c>
    </row>
    <row r="1918" spans="1:1" x14ac:dyDescent="0.25">
      <c r="A1918" s="53" t="s">
        <v>3692</v>
      </c>
    </row>
    <row r="1919" spans="1:1" x14ac:dyDescent="0.25">
      <c r="A1919" s="53" t="s">
        <v>2224</v>
      </c>
    </row>
    <row r="1920" spans="1:1" x14ac:dyDescent="0.25">
      <c r="A1920" s="53" t="s">
        <v>2340</v>
      </c>
    </row>
    <row r="1921" spans="1:1" x14ac:dyDescent="0.25">
      <c r="A1921" s="53" t="s">
        <v>2292</v>
      </c>
    </row>
    <row r="1922" spans="1:1" x14ac:dyDescent="0.25">
      <c r="A1922" s="53" t="s">
        <v>2382</v>
      </c>
    </row>
    <row r="1923" spans="1:1" x14ac:dyDescent="0.25">
      <c r="A1923" s="53" t="s">
        <v>2382</v>
      </c>
    </row>
    <row r="1924" spans="1:1" x14ac:dyDescent="0.25">
      <c r="A1924" s="53" t="s">
        <v>3598</v>
      </c>
    </row>
    <row r="1925" spans="1:1" x14ac:dyDescent="0.25">
      <c r="A1925" s="53" t="s">
        <v>2310</v>
      </c>
    </row>
    <row r="1926" spans="1:1" x14ac:dyDescent="0.25">
      <c r="A1926" s="53" t="s">
        <v>2358</v>
      </c>
    </row>
    <row r="1927" spans="1:1" x14ac:dyDescent="0.25">
      <c r="A1927" s="53" t="s">
        <v>2423</v>
      </c>
    </row>
    <row r="1928" spans="1:1" x14ac:dyDescent="0.25">
      <c r="A1928" s="53" t="s">
        <v>2423</v>
      </c>
    </row>
    <row r="1929" spans="1:1" x14ac:dyDescent="0.25">
      <c r="A1929" s="53" t="s">
        <v>2271</v>
      </c>
    </row>
    <row r="1930" spans="1:1" x14ac:dyDescent="0.25">
      <c r="A1930" s="53" t="s">
        <v>1995</v>
      </c>
    </row>
    <row r="1931" spans="1:1" x14ac:dyDescent="0.25">
      <c r="A1931" s="53" t="s">
        <v>1995</v>
      </c>
    </row>
    <row r="1932" spans="1:1" x14ac:dyDescent="0.25">
      <c r="A1932" s="53" t="s">
        <v>2218</v>
      </c>
    </row>
    <row r="1933" spans="1:1" x14ac:dyDescent="0.25">
      <c r="A1933" s="53" t="s">
        <v>2490</v>
      </c>
    </row>
    <row r="1934" spans="1:1" x14ac:dyDescent="0.25">
      <c r="A1934" s="53" t="s">
        <v>2490</v>
      </c>
    </row>
    <row r="1935" spans="1:1" x14ac:dyDescent="0.25">
      <c r="A1935" s="53" t="s">
        <v>2297</v>
      </c>
    </row>
    <row r="1936" spans="1:1" x14ac:dyDescent="0.25">
      <c r="A1936" s="53" t="s">
        <v>2297</v>
      </c>
    </row>
    <row r="1937" spans="1:1" x14ac:dyDescent="0.25">
      <c r="A1937" s="53" t="s">
        <v>2621</v>
      </c>
    </row>
    <row r="1938" spans="1:1" x14ac:dyDescent="0.25">
      <c r="A1938" s="53" t="s">
        <v>2502</v>
      </c>
    </row>
    <row r="1939" spans="1:1" x14ac:dyDescent="0.25">
      <c r="A1939" s="53" t="s">
        <v>2502</v>
      </c>
    </row>
    <row r="1940" spans="1:1" x14ac:dyDescent="0.25">
      <c r="A1940" s="53" t="s">
        <v>2469</v>
      </c>
    </row>
    <row r="1941" spans="1:1" x14ac:dyDescent="0.25">
      <c r="A1941" s="53" t="s">
        <v>2187</v>
      </c>
    </row>
    <row r="1942" spans="1:1" x14ac:dyDescent="0.25">
      <c r="A1942" s="53" t="s">
        <v>2170</v>
      </c>
    </row>
    <row r="1943" spans="1:1" x14ac:dyDescent="0.25">
      <c r="A1943" s="53" t="s">
        <v>2281</v>
      </c>
    </row>
    <row r="1944" spans="1:1" x14ac:dyDescent="0.25">
      <c r="A1944" s="53" t="s">
        <v>3289</v>
      </c>
    </row>
    <row r="1945" spans="1:1" x14ac:dyDescent="0.25">
      <c r="A1945" s="53" t="s">
        <v>2120</v>
      </c>
    </row>
    <row r="1946" spans="1:1" x14ac:dyDescent="0.25">
      <c r="A1946" s="53" t="s">
        <v>2120</v>
      </c>
    </row>
    <row r="1947" spans="1:1" x14ac:dyDescent="0.25">
      <c r="A1947" s="53" t="s">
        <v>2429</v>
      </c>
    </row>
    <row r="1948" spans="1:1" x14ac:dyDescent="0.25">
      <c r="A1948" s="53" t="s">
        <v>2443</v>
      </c>
    </row>
    <row r="1949" spans="1:1" x14ac:dyDescent="0.25">
      <c r="A1949" s="53" t="s">
        <v>2276</v>
      </c>
    </row>
    <row r="1950" spans="1:1" x14ac:dyDescent="0.25">
      <c r="A1950" s="53" t="s">
        <v>2160</v>
      </c>
    </row>
    <row r="1951" spans="1:1" x14ac:dyDescent="0.25">
      <c r="A1951" s="53" t="s">
        <v>2160</v>
      </c>
    </row>
    <row r="1952" spans="1:1" x14ac:dyDescent="0.25">
      <c r="A1952" s="53" t="s">
        <v>2337</v>
      </c>
    </row>
    <row r="1953" spans="1:1" x14ac:dyDescent="0.25">
      <c r="A1953" s="53" t="s">
        <v>2129</v>
      </c>
    </row>
    <row r="1954" spans="1:1" x14ac:dyDescent="0.25">
      <c r="A1954" s="53" t="s">
        <v>3743</v>
      </c>
    </row>
    <row r="1955" spans="1:1" x14ac:dyDescent="0.25">
      <c r="A1955" s="53" t="s">
        <v>2139</v>
      </c>
    </row>
    <row r="1956" spans="1:1" x14ac:dyDescent="0.25">
      <c r="A1956" s="53" t="s">
        <v>2139</v>
      </c>
    </row>
    <row r="1957" spans="1:1" x14ac:dyDescent="0.25">
      <c r="A1957" s="53" t="s">
        <v>2101</v>
      </c>
    </row>
    <row r="1958" spans="1:1" x14ac:dyDescent="0.25">
      <c r="A1958" s="53" t="s">
        <v>3625</v>
      </c>
    </row>
    <row r="1959" spans="1:1" x14ac:dyDescent="0.25">
      <c r="A1959" s="53" t="s">
        <v>1938</v>
      </c>
    </row>
    <row r="1960" spans="1:1" x14ac:dyDescent="0.25">
      <c r="A1960" s="53" t="s">
        <v>1939</v>
      </c>
    </row>
    <row r="1961" spans="1:1" x14ac:dyDescent="0.25">
      <c r="A1961" s="53" t="s">
        <v>1939</v>
      </c>
    </row>
    <row r="1962" spans="1:1" x14ac:dyDescent="0.25">
      <c r="A1962" s="53" t="s">
        <v>2619</v>
      </c>
    </row>
    <row r="1963" spans="1:1" x14ac:dyDescent="0.25">
      <c r="A1963" s="53" t="s">
        <v>2362</v>
      </c>
    </row>
    <row r="1964" spans="1:1" x14ac:dyDescent="0.25">
      <c r="A1964" s="53" t="s">
        <v>2362</v>
      </c>
    </row>
    <row r="1965" spans="1:1" x14ac:dyDescent="0.25">
      <c r="A1965" s="53" t="s">
        <v>3596</v>
      </c>
    </row>
    <row r="1966" spans="1:1" x14ac:dyDescent="0.25">
      <c r="A1966" s="53" t="s">
        <v>2361</v>
      </c>
    </row>
    <row r="1967" spans="1:1" x14ac:dyDescent="0.25">
      <c r="A1967" s="53" t="s">
        <v>2000</v>
      </c>
    </row>
    <row r="1968" spans="1:1" x14ac:dyDescent="0.25">
      <c r="A1968" s="53" t="s">
        <v>3304</v>
      </c>
    </row>
    <row r="1969" spans="1:1" x14ac:dyDescent="0.25">
      <c r="A1969" s="53" t="s">
        <v>2193</v>
      </c>
    </row>
    <row r="1970" spans="1:1" x14ac:dyDescent="0.25">
      <c r="A1970" s="53" t="s">
        <v>3742</v>
      </c>
    </row>
    <row r="1971" spans="1:1" x14ac:dyDescent="0.25">
      <c r="A1971" s="53" t="s">
        <v>2079</v>
      </c>
    </row>
    <row r="1972" spans="1:1" x14ac:dyDescent="0.25">
      <c r="A1972" s="53" t="s">
        <v>2407</v>
      </c>
    </row>
    <row r="1973" spans="1:1" x14ac:dyDescent="0.25">
      <c r="A1973" s="53" t="s">
        <v>2345</v>
      </c>
    </row>
    <row r="1974" spans="1:1" x14ac:dyDescent="0.25">
      <c r="A1974" s="53" t="s">
        <v>2345</v>
      </c>
    </row>
    <row r="1975" spans="1:1" x14ac:dyDescent="0.25">
      <c r="A1975" s="53" t="s">
        <v>2272</v>
      </c>
    </row>
    <row r="1976" spans="1:1" x14ac:dyDescent="0.25">
      <c r="A1976" s="53" t="s">
        <v>2072</v>
      </c>
    </row>
    <row r="1977" spans="1:1" x14ac:dyDescent="0.25">
      <c r="A1977" s="53" t="s">
        <v>1966</v>
      </c>
    </row>
    <row r="1978" spans="1:1" x14ac:dyDescent="0.25">
      <c r="A1978" s="53" t="s">
        <v>2434</v>
      </c>
    </row>
    <row r="1979" spans="1:1" x14ac:dyDescent="0.25">
      <c r="A1979" s="53" t="s">
        <v>2301</v>
      </c>
    </row>
    <row r="1980" spans="1:1" x14ac:dyDescent="0.25">
      <c r="A1980" s="53" t="s">
        <v>2065</v>
      </c>
    </row>
    <row r="1981" spans="1:1" x14ac:dyDescent="0.25">
      <c r="A1981" s="53" t="s">
        <v>2506</v>
      </c>
    </row>
    <row r="1982" spans="1:1" x14ac:dyDescent="0.25">
      <c r="A1982" s="53" t="s">
        <v>2513</v>
      </c>
    </row>
    <row r="1983" spans="1:1" x14ac:dyDescent="0.25">
      <c r="A1983" s="53" t="s">
        <v>2314</v>
      </c>
    </row>
    <row r="1984" spans="1:1" x14ac:dyDescent="0.25">
      <c r="A1984" s="53" t="s">
        <v>2522</v>
      </c>
    </row>
    <row r="1985" spans="1:1" x14ac:dyDescent="0.25">
      <c r="A1985" s="53" t="s">
        <v>2368</v>
      </c>
    </row>
    <row r="1986" spans="1:1" x14ac:dyDescent="0.25">
      <c r="A1986" s="53" t="s">
        <v>2240</v>
      </c>
    </row>
    <row r="1987" spans="1:1" x14ac:dyDescent="0.25">
      <c r="A1987" s="53" t="s">
        <v>2125</v>
      </c>
    </row>
    <row r="1988" spans="1:1" x14ac:dyDescent="0.25">
      <c r="A1988" s="53" t="s">
        <v>2039</v>
      </c>
    </row>
    <row r="1989" spans="1:1" x14ac:dyDescent="0.25">
      <c r="A1989" s="53" t="s">
        <v>2505</v>
      </c>
    </row>
    <row r="1990" spans="1:1" x14ac:dyDescent="0.25">
      <c r="A1990" s="53" t="s">
        <v>2492</v>
      </c>
    </row>
    <row r="1991" spans="1:1" x14ac:dyDescent="0.25">
      <c r="A1991" s="53" t="s">
        <v>2285</v>
      </c>
    </row>
    <row r="1992" spans="1:1" x14ac:dyDescent="0.25">
      <c r="A1992" s="53" t="s">
        <v>2093</v>
      </c>
    </row>
    <row r="1993" spans="1:1" x14ac:dyDescent="0.25">
      <c r="A1993" s="53" t="s">
        <v>2380</v>
      </c>
    </row>
    <row r="1994" spans="1:1" x14ac:dyDescent="0.25">
      <c r="A1994" s="53" t="s">
        <v>2464</v>
      </c>
    </row>
    <row r="1995" spans="1:1" x14ac:dyDescent="0.25">
      <c r="A1995" s="53" t="s">
        <v>2477</v>
      </c>
    </row>
    <row r="1996" spans="1:1" x14ac:dyDescent="0.25">
      <c r="A1996" s="53" t="s">
        <v>2408</v>
      </c>
    </row>
    <row r="1997" spans="1:1" x14ac:dyDescent="0.25">
      <c r="A1997" s="53" t="s">
        <v>2312</v>
      </c>
    </row>
    <row r="1998" spans="1:1" x14ac:dyDescent="0.25">
      <c r="A1998" s="53" t="s">
        <v>2130</v>
      </c>
    </row>
    <row r="1999" spans="1:1" x14ac:dyDescent="0.25">
      <c r="A1999" s="53" t="s">
        <v>2394</v>
      </c>
    </row>
    <row r="2000" spans="1:1" x14ac:dyDescent="0.25">
      <c r="A2000" s="53" t="s">
        <v>2254</v>
      </c>
    </row>
    <row r="2001" spans="1:1" x14ac:dyDescent="0.25">
      <c r="A2001" s="53" t="s">
        <v>2055</v>
      </c>
    </row>
    <row r="2002" spans="1:1" x14ac:dyDescent="0.25">
      <c r="A2002" s="53" t="s">
        <v>2364</v>
      </c>
    </row>
    <row r="2003" spans="1:1" x14ac:dyDescent="0.25">
      <c r="A2003" s="53" t="s">
        <v>2364</v>
      </c>
    </row>
    <row r="2004" spans="1:1" x14ac:dyDescent="0.25">
      <c r="A2004" s="53" t="s">
        <v>2245</v>
      </c>
    </row>
    <row r="2005" spans="1:1" x14ac:dyDescent="0.25">
      <c r="A2005" s="53" t="s">
        <v>2388</v>
      </c>
    </row>
    <row r="2006" spans="1:1" x14ac:dyDescent="0.25">
      <c r="A2006" s="53" t="s">
        <v>2409</v>
      </c>
    </row>
    <row r="2007" spans="1:1" x14ac:dyDescent="0.25">
      <c r="A2007" s="53" t="s">
        <v>2307</v>
      </c>
    </row>
    <row r="2008" spans="1:1" x14ac:dyDescent="0.25">
      <c r="A2008" s="53" t="s">
        <v>2319</v>
      </c>
    </row>
    <row r="2009" spans="1:1" x14ac:dyDescent="0.25">
      <c r="A2009" s="53" t="s">
        <v>2431</v>
      </c>
    </row>
    <row r="2010" spans="1:1" x14ac:dyDescent="0.25">
      <c r="A2010" s="53" t="s">
        <v>2075</v>
      </c>
    </row>
    <row r="2011" spans="1:1" x14ac:dyDescent="0.25">
      <c r="A2011" s="53" t="s">
        <v>2291</v>
      </c>
    </row>
    <row r="2012" spans="1:1" x14ac:dyDescent="0.25">
      <c r="A2012" s="53" t="s">
        <v>2410</v>
      </c>
    </row>
    <row r="2013" spans="1:1" x14ac:dyDescent="0.25">
      <c r="A2013" s="53" t="s">
        <v>2410</v>
      </c>
    </row>
    <row r="2014" spans="1:1" x14ac:dyDescent="0.25">
      <c r="A2014" s="53" t="s">
        <v>2422</v>
      </c>
    </row>
    <row r="2015" spans="1:1" x14ac:dyDescent="0.25">
      <c r="A2015" s="53" t="s">
        <v>2606</v>
      </c>
    </row>
    <row r="2016" spans="1:1" x14ac:dyDescent="0.25">
      <c r="A2016" s="53" t="s">
        <v>2124</v>
      </c>
    </row>
    <row r="2017" spans="1:1" x14ac:dyDescent="0.25">
      <c r="A2017" s="53" t="s">
        <v>2124</v>
      </c>
    </row>
    <row r="2018" spans="1:1" x14ac:dyDescent="0.25">
      <c r="A2018" s="53" t="s">
        <v>2295</v>
      </c>
    </row>
    <row r="2019" spans="1:1" x14ac:dyDescent="0.25">
      <c r="A2019" s="53" t="s">
        <v>2087</v>
      </c>
    </row>
    <row r="2020" spans="1:1" x14ac:dyDescent="0.25">
      <c r="A2020" s="53" t="s">
        <v>2087</v>
      </c>
    </row>
    <row r="2021" spans="1:1" x14ac:dyDescent="0.25">
      <c r="A2021" s="53" t="s">
        <v>2153</v>
      </c>
    </row>
    <row r="2022" spans="1:1" x14ac:dyDescent="0.25">
      <c r="A2022" s="53" t="s">
        <v>2153</v>
      </c>
    </row>
    <row r="2023" spans="1:1" x14ac:dyDescent="0.25">
      <c r="A2023" s="53" t="s">
        <v>2311</v>
      </c>
    </row>
    <row r="2024" spans="1:1" x14ac:dyDescent="0.25">
      <c r="A2024" s="53" t="s">
        <v>2311</v>
      </c>
    </row>
    <row r="2025" spans="1:1" x14ac:dyDescent="0.25">
      <c r="A2025" s="53" t="s">
        <v>2165</v>
      </c>
    </row>
    <row r="2026" spans="1:1" x14ac:dyDescent="0.25">
      <c r="A2026" s="53" t="s">
        <v>2095</v>
      </c>
    </row>
    <row r="2027" spans="1:1" x14ac:dyDescent="0.25">
      <c r="A2027" s="53" t="s">
        <v>2183</v>
      </c>
    </row>
    <row r="2028" spans="1:1" x14ac:dyDescent="0.25">
      <c r="A2028" s="53" t="s">
        <v>2183</v>
      </c>
    </row>
    <row r="2029" spans="1:1" x14ac:dyDescent="0.25">
      <c r="A2029" s="53" t="s">
        <v>2342</v>
      </c>
    </row>
    <row r="2030" spans="1:1" x14ac:dyDescent="0.25">
      <c r="A2030" s="53" t="s">
        <v>2263</v>
      </c>
    </row>
    <row r="2031" spans="1:1" x14ac:dyDescent="0.25">
      <c r="A2031" s="53" t="s">
        <v>2507</v>
      </c>
    </row>
    <row r="2032" spans="1:1" x14ac:dyDescent="0.25">
      <c r="A2032" s="53" t="s">
        <v>2399</v>
      </c>
    </row>
    <row r="2033" spans="1:1" x14ac:dyDescent="0.25">
      <c r="A2033" s="53" t="s">
        <v>2478</v>
      </c>
    </row>
    <row r="2034" spans="1:1" x14ac:dyDescent="0.25">
      <c r="A2034" s="53" t="s">
        <v>2335</v>
      </c>
    </row>
    <row r="2035" spans="1:1" x14ac:dyDescent="0.25">
      <c r="A2035" s="53" t="s">
        <v>2237</v>
      </c>
    </row>
    <row r="2036" spans="1:1" x14ac:dyDescent="0.25">
      <c r="A2036" s="53" t="s">
        <v>2237</v>
      </c>
    </row>
    <row r="2037" spans="1:1" x14ac:dyDescent="0.25">
      <c r="A2037" s="53" t="s">
        <v>2503</v>
      </c>
    </row>
    <row r="2038" spans="1:1" x14ac:dyDescent="0.25">
      <c r="A2038" s="53" t="s">
        <v>2294</v>
      </c>
    </row>
    <row r="2039" spans="1:1" x14ac:dyDescent="0.25">
      <c r="A2039" s="53" t="s">
        <v>2210</v>
      </c>
    </row>
    <row r="2040" spans="1:1" x14ac:dyDescent="0.25">
      <c r="A2040" s="53" t="s">
        <v>2282</v>
      </c>
    </row>
    <row r="2041" spans="1:1" x14ac:dyDescent="0.25">
      <c r="A2041" s="53" t="s">
        <v>2315</v>
      </c>
    </row>
    <row r="2042" spans="1:1" x14ac:dyDescent="0.25">
      <c r="A2042" s="53" t="s">
        <v>2627</v>
      </c>
    </row>
    <row r="2043" spans="1:1" x14ac:dyDescent="0.25">
      <c r="A2043" s="53" t="s">
        <v>2627</v>
      </c>
    </row>
    <row r="2044" spans="1:1" x14ac:dyDescent="0.25">
      <c r="A2044" s="53" t="s">
        <v>2504</v>
      </c>
    </row>
    <row r="2045" spans="1:1" x14ac:dyDescent="0.25">
      <c r="A2045" s="53" t="s">
        <v>2386</v>
      </c>
    </row>
    <row r="2046" spans="1:1" x14ac:dyDescent="0.25">
      <c r="A2046" s="53" t="s">
        <v>2280</v>
      </c>
    </row>
    <row r="2047" spans="1:1" x14ac:dyDescent="0.25">
      <c r="A2047" s="53" t="s">
        <v>2202</v>
      </c>
    </row>
    <row r="2048" spans="1:1" x14ac:dyDescent="0.25">
      <c r="A2048" s="53" t="s">
        <v>2202</v>
      </c>
    </row>
    <row r="2049" spans="1:1" x14ac:dyDescent="0.25">
      <c r="A2049" s="53" t="s">
        <v>2145</v>
      </c>
    </row>
    <row r="2050" spans="1:1" x14ac:dyDescent="0.25">
      <c r="A2050" s="53" t="s">
        <v>2470</v>
      </c>
    </row>
    <row r="2051" spans="1:1" x14ac:dyDescent="0.25">
      <c r="A2051" s="53" t="s">
        <v>2356</v>
      </c>
    </row>
    <row r="2052" spans="1:1" x14ac:dyDescent="0.25">
      <c r="A2052" s="53" t="s">
        <v>2356</v>
      </c>
    </row>
    <row r="2053" spans="1:1" x14ac:dyDescent="0.25">
      <c r="A2053" s="53" t="s">
        <v>2355</v>
      </c>
    </row>
    <row r="2054" spans="1:1" x14ac:dyDescent="0.25">
      <c r="A2054" s="53" t="s">
        <v>2136</v>
      </c>
    </row>
    <row r="2055" spans="1:1" x14ac:dyDescent="0.25">
      <c r="A2055" s="53" t="s">
        <v>2136</v>
      </c>
    </row>
    <row r="2056" spans="1:1" x14ac:dyDescent="0.25">
      <c r="A2056" s="53" t="s">
        <v>3687</v>
      </c>
    </row>
    <row r="2057" spans="1:1" x14ac:dyDescent="0.25">
      <c r="A2057" s="53" t="s">
        <v>2349</v>
      </c>
    </row>
    <row r="2058" spans="1:1" x14ac:dyDescent="0.25">
      <c r="A2058" s="53" t="s">
        <v>1960</v>
      </c>
    </row>
    <row r="2059" spans="1:1" x14ac:dyDescent="0.25">
      <c r="A2059" s="53" t="s">
        <v>2141</v>
      </c>
    </row>
    <row r="2060" spans="1:1" x14ac:dyDescent="0.25">
      <c r="A2060" s="53" t="s">
        <v>2239</v>
      </c>
    </row>
    <row r="2061" spans="1:1" x14ac:dyDescent="0.25">
      <c r="A2061" s="53" t="s">
        <v>2239</v>
      </c>
    </row>
    <row r="2062" spans="1:1" x14ac:dyDescent="0.25">
      <c r="A2062" s="53" t="s">
        <v>2064</v>
      </c>
    </row>
    <row r="2063" spans="1:1" x14ac:dyDescent="0.25">
      <c r="A2063" s="53" t="s">
        <v>2387</v>
      </c>
    </row>
    <row r="2064" spans="1:1" x14ac:dyDescent="0.25">
      <c r="A2064" s="53" t="s">
        <v>2232</v>
      </c>
    </row>
    <row r="2065" spans="1:1" x14ac:dyDescent="0.25">
      <c r="A2065" s="53" t="s">
        <v>2317</v>
      </c>
    </row>
    <row r="2066" spans="1:1" x14ac:dyDescent="0.25">
      <c r="A2066" s="53" t="s">
        <v>2433</v>
      </c>
    </row>
    <row r="2067" spans="1:1" x14ac:dyDescent="0.25">
      <c r="A2067" s="53" t="s">
        <v>2525</v>
      </c>
    </row>
    <row r="2068" spans="1:1" x14ac:dyDescent="0.25">
      <c r="A2068" s="53" t="s">
        <v>2175</v>
      </c>
    </row>
    <row r="2069" spans="1:1" x14ac:dyDescent="0.25">
      <c r="A2069" s="53" t="s">
        <v>2175</v>
      </c>
    </row>
    <row r="2070" spans="1:1" x14ac:dyDescent="0.25">
      <c r="A2070" s="53" t="s">
        <v>2236</v>
      </c>
    </row>
    <row r="2071" spans="1:1" x14ac:dyDescent="0.25">
      <c r="A2071" s="53" t="s">
        <v>2236</v>
      </c>
    </row>
    <row r="2072" spans="1:1" x14ac:dyDescent="0.25">
      <c r="A2072" s="53" t="s">
        <v>2001</v>
      </c>
    </row>
    <row r="2073" spans="1:1" x14ac:dyDescent="0.25">
      <c r="A2073" s="53" t="s">
        <v>2607</v>
      </c>
    </row>
    <row r="2074" spans="1:1" x14ac:dyDescent="0.25">
      <c r="A2074" s="53" t="s">
        <v>2343</v>
      </c>
    </row>
    <row r="2075" spans="1:1" x14ac:dyDescent="0.25">
      <c r="A2075" s="53" t="s">
        <v>2416</v>
      </c>
    </row>
    <row r="2076" spans="1:1" x14ac:dyDescent="0.25">
      <c r="A2076" s="53" t="s">
        <v>2083</v>
      </c>
    </row>
    <row r="2077" spans="1:1" x14ac:dyDescent="0.25">
      <c r="A2077" s="53" t="s">
        <v>2083</v>
      </c>
    </row>
    <row r="2078" spans="1:1" x14ac:dyDescent="0.25">
      <c r="A2078" s="53" t="s">
        <v>2233</v>
      </c>
    </row>
    <row r="2079" spans="1:1" x14ac:dyDescent="0.25">
      <c r="A2079" s="53" t="s">
        <v>2080</v>
      </c>
    </row>
    <row r="2080" spans="1:1" x14ac:dyDescent="0.25">
      <c r="A2080" s="53" t="s">
        <v>2080</v>
      </c>
    </row>
    <row r="2081" spans="1:1" x14ac:dyDescent="0.25">
      <c r="A2081" s="53" t="s">
        <v>2436</v>
      </c>
    </row>
    <row r="2082" spans="1:1" x14ac:dyDescent="0.25">
      <c r="A2082" s="53" t="s">
        <v>2384</v>
      </c>
    </row>
    <row r="2083" spans="1:1" x14ac:dyDescent="0.25">
      <c r="A2083" s="53" t="s">
        <v>2418</v>
      </c>
    </row>
    <row r="2084" spans="1:1" x14ac:dyDescent="0.25">
      <c r="A2084" s="53" t="s">
        <v>1988</v>
      </c>
    </row>
    <row r="2085" spans="1:1" x14ac:dyDescent="0.25">
      <c r="A2085" s="53" t="s">
        <v>2172</v>
      </c>
    </row>
    <row r="2086" spans="1:1" x14ac:dyDescent="0.25">
      <c r="A2086" s="53" t="s">
        <v>2172</v>
      </c>
    </row>
    <row r="2087" spans="1:1" x14ac:dyDescent="0.25">
      <c r="A2087" s="53" t="s">
        <v>2248</v>
      </c>
    </row>
    <row r="2088" spans="1:1" x14ac:dyDescent="0.25">
      <c r="A2088" s="53" t="s">
        <v>2510</v>
      </c>
    </row>
    <row r="2089" spans="1:1" x14ac:dyDescent="0.25">
      <c r="A2089" s="53" t="s">
        <v>2510</v>
      </c>
    </row>
    <row r="2090" spans="1:1" x14ac:dyDescent="0.25">
      <c r="A2090" s="53" t="s">
        <v>2451</v>
      </c>
    </row>
    <row r="2091" spans="1:1" x14ac:dyDescent="0.25">
      <c r="A2091" s="53" t="s">
        <v>2448</v>
      </c>
    </row>
    <row r="2092" spans="1:1" x14ac:dyDescent="0.25">
      <c r="A2092" s="53" t="s">
        <v>2322</v>
      </c>
    </row>
    <row r="2093" spans="1:1" x14ac:dyDescent="0.25">
      <c r="A2093" s="53" t="s">
        <v>2304</v>
      </c>
    </row>
    <row r="2094" spans="1:1" x14ac:dyDescent="0.25">
      <c r="A2094" s="53" t="s">
        <v>2452</v>
      </c>
    </row>
    <row r="2095" spans="1:1" x14ac:dyDescent="0.25">
      <c r="A2095" s="53" t="s">
        <v>2461</v>
      </c>
    </row>
    <row r="2096" spans="1:1" x14ac:dyDescent="0.25">
      <c r="A2096" s="53" t="s">
        <v>2018</v>
      </c>
    </row>
    <row r="2097" spans="1:1" x14ac:dyDescent="0.25">
      <c r="A2097" s="53" t="s">
        <v>2018</v>
      </c>
    </row>
    <row r="2098" spans="1:1" x14ac:dyDescent="0.25">
      <c r="A2098" s="53" t="s">
        <v>1992</v>
      </c>
    </row>
    <row r="2099" spans="1:1" x14ac:dyDescent="0.25">
      <c r="A2099" s="53" t="s">
        <v>2320</v>
      </c>
    </row>
    <row r="2100" spans="1:1" x14ac:dyDescent="0.25">
      <c r="A2100" s="53" t="s">
        <v>3109</v>
      </c>
    </row>
    <row r="2101" spans="1:1" x14ac:dyDescent="0.25">
      <c r="A2101" s="53" t="s">
        <v>3109</v>
      </c>
    </row>
    <row r="2102" spans="1:1" x14ac:dyDescent="0.25">
      <c r="A2102" s="53" t="s">
        <v>3172</v>
      </c>
    </row>
    <row r="2103" spans="1:1" x14ac:dyDescent="0.25">
      <c r="A2103" s="53" t="s">
        <v>2643</v>
      </c>
    </row>
    <row r="2104" spans="1:1" x14ac:dyDescent="0.25">
      <c r="A2104" s="53" t="s">
        <v>2519</v>
      </c>
    </row>
    <row r="2105" spans="1:1" x14ac:dyDescent="0.25">
      <c r="A2105" s="53" t="s">
        <v>3449</v>
      </c>
    </row>
    <row r="2106" spans="1:1" x14ac:dyDescent="0.25">
      <c r="A2106" s="53" t="s">
        <v>3449</v>
      </c>
    </row>
    <row r="2107" spans="1:1" x14ac:dyDescent="0.25">
      <c r="A2107" s="53" t="s">
        <v>2894</v>
      </c>
    </row>
    <row r="2108" spans="1:1" x14ac:dyDescent="0.25">
      <c r="A2108" s="53" t="s">
        <v>3307</v>
      </c>
    </row>
    <row r="2109" spans="1:1" x14ac:dyDescent="0.25">
      <c r="A2109" s="53" t="s">
        <v>3307</v>
      </c>
    </row>
    <row r="2110" spans="1:1" x14ac:dyDescent="0.25">
      <c r="A2110" s="53" t="s">
        <v>2624</v>
      </c>
    </row>
    <row r="2111" spans="1:1" x14ac:dyDescent="0.25">
      <c r="A2111" s="53" t="s">
        <v>2624</v>
      </c>
    </row>
    <row r="2112" spans="1:1" x14ac:dyDescent="0.25">
      <c r="A2112" s="53" t="s">
        <v>3291</v>
      </c>
    </row>
    <row r="2113" spans="1:1" x14ac:dyDescent="0.25">
      <c r="A2113" s="53" t="s">
        <v>3291</v>
      </c>
    </row>
    <row r="2114" spans="1:1" x14ac:dyDescent="0.25">
      <c r="A2114" s="53" t="s">
        <v>3040</v>
      </c>
    </row>
    <row r="2115" spans="1:1" x14ac:dyDescent="0.25">
      <c r="A2115" s="53" t="s">
        <v>2403</v>
      </c>
    </row>
    <row r="2116" spans="1:1" x14ac:dyDescent="0.25">
      <c r="A2116" s="53" t="s">
        <v>2365</v>
      </c>
    </row>
    <row r="2117" spans="1:1" x14ac:dyDescent="0.25">
      <c r="A2117" s="53" t="s">
        <v>2324</v>
      </c>
    </row>
    <row r="2118" spans="1:1" x14ac:dyDescent="0.25">
      <c r="A2118" s="53" t="s">
        <v>2324</v>
      </c>
    </row>
    <row r="2119" spans="1:1" x14ac:dyDescent="0.25">
      <c r="A2119" s="53" t="s">
        <v>2756</v>
      </c>
    </row>
    <row r="2120" spans="1:1" x14ac:dyDescent="0.25">
      <c r="A2120" s="53" t="s">
        <v>1977</v>
      </c>
    </row>
    <row r="2121" spans="1:1" x14ac:dyDescent="0.25">
      <c r="A2121" s="53" t="s">
        <v>1977</v>
      </c>
    </row>
    <row r="2122" spans="1:1" x14ac:dyDescent="0.25">
      <c r="A2122" s="53" t="s">
        <v>3133</v>
      </c>
    </row>
    <row r="2123" spans="1:1" x14ac:dyDescent="0.25">
      <c r="A2123" s="53" t="s">
        <v>3314</v>
      </c>
    </row>
    <row r="2124" spans="1:1" x14ac:dyDescent="0.25">
      <c r="A2124" s="53" t="s">
        <v>3333</v>
      </c>
    </row>
    <row r="2125" spans="1:1" x14ac:dyDescent="0.25">
      <c r="A2125" s="53" t="s">
        <v>1932</v>
      </c>
    </row>
    <row r="2126" spans="1:1" x14ac:dyDescent="0.25">
      <c r="A2126" s="53" t="s">
        <v>3169</v>
      </c>
    </row>
    <row r="2127" spans="1:1" x14ac:dyDescent="0.25">
      <c r="A2127" s="53" t="s">
        <v>3283</v>
      </c>
    </row>
    <row r="2128" spans="1:1" x14ac:dyDescent="0.25">
      <c r="A2128" s="53" t="s">
        <v>3283</v>
      </c>
    </row>
    <row r="2129" spans="1:1" x14ac:dyDescent="0.25">
      <c r="A2129" s="53" t="s">
        <v>3265</v>
      </c>
    </row>
    <row r="2130" spans="1:1" x14ac:dyDescent="0.25">
      <c r="A2130" s="53" t="s">
        <v>3086</v>
      </c>
    </row>
    <row r="2131" spans="1:1" x14ac:dyDescent="0.25">
      <c r="A2131" s="53" t="s">
        <v>2633</v>
      </c>
    </row>
    <row r="2132" spans="1:1" x14ac:dyDescent="0.25">
      <c r="A2132" s="53" t="s">
        <v>1955</v>
      </c>
    </row>
    <row r="2133" spans="1:1" x14ac:dyDescent="0.25">
      <c r="A2133" s="53" t="s">
        <v>2497</v>
      </c>
    </row>
    <row r="2134" spans="1:1" x14ac:dyDescent="0.25">
      <c r="A2134" s="53" t="s">
        <v>2631</v>
      </c>
    </row>
    <row r="2135" spans="1:1" x14ac:dyDescent="0.25">
      <c r="A2135" s="53" t="s">
        <v>3563</v>
      </c>
    </row>
    <row r="2136" spans="1:1" x14ac:dyDescent="0.25">
      <c r="A2136" s="53" t="s">
        <v>2213</v>
      </c>
    </row>
    <row r="2137" spans="1:1" x14ac:dyDescent="0.25">
      <c r="A2137" s="53" t="s">
        <v>3270</v>
      </c>
    </row>
    <row r="2138" spans="1:1" x14ac:dyDescent="0.25">
      <c r="A2138" s="53" t="s">
        <v>3157</v>
      </c>
    </row>
    <row r="2139" spans="1:1" x14ac:dyDescent="0.25">
      <c r="A2139" s="53" t="s">
        <v>2782</v>
      </c>
    </row>
    <row r="2140" spans="1:1" x14ac:dyDescent="0.25">
      <c r="A2140" s="53" t="s">
        <v>3126</v>
      </c>
    </row>
    <row r="2141" spans="1:1" x14ac:dyDescent="0.25">
      <c r="A2141" s="53" t="s">
        <v>2069</v>
      </c>
    </row>
    <row r="2142" spans="1:1" x14ac:dyDescent="0.25">
      <c r="A2142" s="53" t="s">
        <v>2060</v>
      </c>
    </row>
    <row r="2143" spans="1:1" x14ac:dyDescent="0.25">
      <c r="A2143" s="53" t="s">
        <v>3627</v>
      </c>
    </row>
    <row r="2144" spans="1:1" x14ac:dyDescent="0.25">
      <c r="A2144" s="53" t="s">
        <v>3273</v>
      </c>
    </row>
    <row r="2145" spans="1:1" x14ac:dyDescent="0.25">
      <c r="A2145" s="53" t="s">
        <v>3107</v>
      </c>
    </row>
    <row r="2146" spans="1:1" x14ac:dyDescent="0.25">
      <c r="A2146" s="53" t="s">
        <v>1983</v>
      </c>
    </row>
    <row r="2147" spans="1:1" x14ac:dyDescent="0.25">
      <c r="A2147" s="53" t="s">
        <v>1983</v>
      </c>
    </row>
    <row r="2148" spans="1:1" x14ac:dyDescent="0.25">
      <c r="A2148" s="53" t="s">
        <v>2613</v>
      </c>
    </row>
    <row r="2149" spans="1:1" x14ac:dyDescent="0.25">
      <c r="A2149" s="53" t="s">
        <v>1917</v>
      </c>
    </row>
    <row r="2150" spans="1:1" x14ac:dyDescent="0.25">
      <c r="A2150" s="53" t="s">
        <v>3132</v>
      </c>
    </row>
    <row r="2151" spans="1:1" x14ac:dyDescent="0.25">
      <c r="A2151" s="53" t="s">
        <v>3132</v>
      </c>
    </row>
    <row r="2152" spans="1:1" x14ac:dyDescent="0.25">
      <c r="A2152" s="53" t="s">
        <v>2523</v>
      </c>
    </row>
    <row r="2153" spans="1:1" x14ac:dyDescent="0.25">
      <c r="A2153" s="53" t="s">
        <v>2608</v>
      </c>
    </row>
    <row r="2154" spans="1:1" x14ac:dyDescent="0.25">
      <c r="A2154" s="53" t="s">
        <v>3608</v>
      </c>
    </row>
    <row r="2155" spans="1:1" x14ac:dyDescent="0.25">
      <c r="A2155" s="53" t="s">
        <v>3738</v>
      </c>
    </row>
    <row r="2156" spans="1:1" x14ac:dyDescent="0.25">
      <c r="A2156" s="53" t="s">
        <v>3586</v>
      </c>
    </row>
    <row r="2157" spans="1:1" x14ac:dyDescent="0.25">
      <c r="A2157" s="53" t="s">
        <v>2084</v>
      </c>
    </row>
    <row r="2158" spans="1:1" x14ac:dyDescent="0.25">
      <c r="A2158" s="53" t="s">
        <v>2084</v>
      </c>
    </row>
    <row r="2159" spans="1:1" x14ac:dyDescent="0.25">
      <c r="A2159" s="53" t="s">
        <v>2026</v>
      </c>
    </row>
    <row r="2160" spans="1:1" x14ac:dyDescent="0.25">
      <c r="A2160" s="53" t="s">
        <v>3153</v>
      </c>
    </row>
    <row r="2161" spans="1:1" x14ac:dyDescent="0.25">
      <c r="A2161" s="53" t="s">
        <v>3153</v>
      </c>
    </row>
    <row r="2162" spans="1:1" x14ac:dyDescent="0.25">
      <c r="A2162" s="53" t="s">
        <v>3609</v>
      </c>
    </row>
    <row r="2163" spans="1:1" x14ac:dyDescent="0.25">
      <c r="A2163" s="53" t="s">
        <v>1972</v>
      </c>
    </row>
    <row r="2164" spans="1:1" x14ac:dyDescent="0.25">
      <c r="A2164" s="53" t="s">
        <v>1972</v>
      </c>
    </row>
    <row r="2165" spans="1:1" x14ac:dyDescent="0.25">
      <c r="A2165" s="53" t="s">
        <v>3324</v>
      </c>
    </row>
    <row r="2166" spans="1:1" x14ac:dyDescent="0.25">
      <c r="A2166" s="53" t="s">
        <v>3324</v>
      </c>
    </row>
    <row r="2167" spans="1:1" x14ac:dyDescent="0.25">
      <c r="A2167" s="53" t="s">
        <v>3293</v>
      </c>
    </row>
    <row r="2168" spans="1:1" x14ac:dyDescent="0.25">
      <c r="A2168" s="53" t="s">
        <v>3293</v>
      </c>
    </row>
    <row r="2169" spans="1:1" x14ac:dyDescent="0.25">
      <c r="A2169" s="53" t="s">
        <v>2759</v>
      </c>
    </row>
    <row r="2170" spans="1:1" x14ac:dyDescent="0.25">
      <c r="A2170" s="53" t="s">
        <v>3193</v>
      </c>
    </row>
    <row r="2171" spans="1:1" x14ac:dyDescent="0.25">
      <c r="A2171" s="53" t="s">
        <v>3266</v>
      </c>
    </row>
    <row r="2172" spans="1:1" x14ac:dyDescent="0.25">
      <c r="A2172" s="53" t="s">
        <v>2027</v>
      </c>
    </row>
    <row r="2173" spans="1:1" x14ac:dyDescent="0.25">
      <c r="A2173" s="53" t="s">
        <v>3084</v>
      </c>
    </row>
    <row r="2174" spans="1:1" x14ac:dyDescent="0.25">
      <c r="A2174" s="53" t="s">
        <v>3233</v>
      </c>
    </row>
    <row r="2175" spans="1:1" x14ac:dyDescent="0.25">
      <c r="A2175" s="53" t="s">
        <v>2528</v>
      </c>
    </row>
    <row r="2176" spans="1:1" x14ac:dyDescent="0.25">
      <c r="A2176" s="53" t="s">
        <v>2398</v>
      </c>
    </row>
    <row r="2177" spans="1:1" x14ac:dyDescent="0.25">
      <c r="A2177" s="53" t="s">
        <v>1990</v>
      </c>
    </row>
    <row r="2178" spans="1:1" x14ac:dyDescent="0.25">
      <c r="A2178" s="53" t="s">
        <v>1990</v>
      </c>
    </row>
    <row r="2179" spans="1:1" x14ac:dyDescent="0.25">
      <c r="A2179" s="53" t="s">
        <v>2058</v>
      </c>
    </row>
    <row r="2180" spans="1:1" x14ac:dyDescent="0.25">
      <c r="A2180" s="53" t="s">
        <v>3292</v>
      </c>
    </row>
    <row r="2181" spans="1:1" x14ac:dyDescent="0.25">
      <c r="A2181" s="53" t="s">
        <v>3292</v>
      </c>
    </row>
    <row r="2182" spans="1:1" x14ac:dyDescent="0.25">
      <c r="A2182" s="53" t="s">
        <v>2217</v>
      </c>
    </row>
    <row r="2183" spans="1:1" x14ac:dyDescent="0.25">
      <c r="A2183" s="53" t="s">
        <v>2217</v>
      </c>
    </row>
    <row r="2184" spans="1:1" x14ac:dyDescent="0.25">
      <c r="A2184" s="53" t="s">
        <v>3166</v>
      </c>
    </row>
    <row r="2185" spans="1:1" x14ac:dyDescent="0.25">
      <c r="A2185" s="53" t="s">
        <v>3760</v>
      </c>
    </row>
    <row r="2186" spans="1:1" x14ac:dyDescent="0.25">
      <c r="A2186" s="53" t="s">
        <v>1964</v>
      </c>
    </row>
    <row r="2187" spans="1:1" x14ac:dyDescent="0.25">
      <c r="A2187" s="53" t="s">
        <v>3267</v>
      </c>
    </row>
    <row r="2188" spans="1:1" x14ac:dyDescent="0.25">
      <c r="A2188" s="53" t="s">
        <v>2400</v>
      </c>
    </row>
    <row r="2189" spans="1:1" x14ac:dyDescent="0.25">
      <c r="A2189" s="53" t="s">
        <v>3691</v>
      </c>
    </row>
    <row r="2190" spans="1:1" x14ac:dyDescent="0.25">
      <c r="A2190" s="53" t="s">
        <v>3568</v>
      </c>
    </row>
    <row r="2191" spans="1:1" x14ac:dyDescent="0.25">
      <c r="A2191" s="53" t="s">
        <v>3568</v>
      </c>
    </row>
    <row r="2192" spans="1:1" x14ac:dyDescent="0.25">
      <c r="A2192" s="53" t="s">
        <v>3588</v>
      </c>
    </row>
    <row r="2193" spans="1:1" x14ac:dyDescent="0.25">
      <c r="A2193" s="53" t="s">
        <v>2401</v>
      </c>
    </row>
    <row r="2194" spans="1:1" x14ac:dyDescent="0.25">
      <c r="A2194" s="53" t="s">
        <v>2704</v>
      </c>
    </row>
    <row r="2195" spans="1:1" x14ac:dyDescent="0.25">
      <c r="A2195" s="53" t="s">
        <v>2704</v>
      </c>
    </row>
    <row r="2196" spans="1:1" x14ac:dyDescent="0.25">
      <c r="A2196" s="53" t="s">
        <v>3248</v>
      </c>
    </row>
    <row r="2197" spans="1:1" x14ac:dyDescent="0.25">
      <c r="A2197" s="53" t="s">
        <v>3249</v>
      </c>
    </row>
    <row r="2198" spans="1:1" x14ac:dyDescent="0.25">
      <c r="A2198" s="53" t="s">
        <v>3249</v>
      </c>
    </row>
    <row r="2199" spans="1:1" x14ac:dyDescent="0.25">
      <c r="A2199" s="53" t="s">
        <v>3748</v>
      </c>
    </row>
    <row r="2200" spans="1:1" x14ac:dyDescent="0.25">
      <c r="A2200" s="53" t="s">
        <v>1929</v>
      </c>
    </row>
    <row r="2201" spans="1:1" x14ac:dyDescent="0.25">
      <c r="A2201" s="53" t="s">
        <v>1929</v>
      </c>
    </row>
    <row r="2202" spans="1:1" x14ac:dyDescent="0.25">
      <c r="A2202" s="53" t="s">
        <v>2615</v>
      </c>
    </row>
    <row r="2203" spans="1:1" x14ac:dyDescent="0.25">
      <c r="A2203" s="53" t="s">
        <v>2615</v>
      </c>
    </row>
    <row r="2204" spans="1:1" x14ac:dyDescent="0.25">
      <c r="A2204" s="53" t="s">
        <v>2372</v>
      </c>
    </row>
    <row r="2205" spans="1:1" x14ac:dyDescent="0.25">
      <c r="A2205" s="53" t="s">
        <v>3143</v>
      </c>
    </row>
    <row r="2206" spans="1:1" x14ac:dyDescent="0.25">
      <c r="A2206" s="53" t="s">
        <v>3688</v>
      </c>
    </row>
    <row r="2207" spans="1:1" x14ac:dyDescent="0.25">
      <c r="A2207" s="53" t="s">
        <v>2048</v>
      </c>
    </row>
    <row r="2208" spans="1:1" x14ac:dyDescent="0.25">
      <c r="A2208" s="53" t="s">
        <v>2032</v>
      </c>
    </row>
    <row r="2209" spans="1:1" x14ac:dyDescent="0.25">
      <c r="A2209" s="53" t="s">
        <v>2032</v>
      </c>
    </row>
    <row r="2210" spans="1:1" x14ac:dyDescent="0.25">
      <c r="A2210" s="53" t="s">
        <v>3747</v>
      </c>
    </row>
    <row r="2211" spans="1:1" x14ac:dyDescent="0.25">
      <c r="A2211" s="53" t="s">
        <v>3747</v>
      </c>
    </row>
    <row r="2212" spans="1:1" x14ac:dyDescent="0.25">
      <c r="A2212" s="53" t="s">
        <v>3104</v>
      </c>
    </row>
    <row r="2213" spans="1:1" x14ac:dyDescent="0.25">
      <c r="A2213" s="53" t="s">
        <v>2397</v>
      </c>
    </row>
    <row r="2214" spans="1:1" x14ac:dyDescent="0.25">
      <c r="A2214" s="53" t="s">
        <v>2347</v>
      </c>
    </row>
    <row r="2215" spans="1:1" x14ac:dyDescent="0.25">
      <c r="A2215" s="53" t="s">
        <v>2347</v>
      </c>
    </row>
    <row r="2216" spans="1:1" x14ac:dyDescent="0.25">
      <c r="A2216" s="53" t="s">
        <v>3431</v>
      </c>
    </row>
    <row r="2217" spans="1:1" x14ac:dyDescent="0.25">
      <c r="A2217" s="53" t="s">
        <v>3431</v>
      </c>
    </row>
    <row r="2218" spans="1:1" x14ac:dyDescent="0.25">
      <c r="A2218" s="53" t="s">
        <v>2226</v>
      </c>
    </row>
    <row r="2219" spans="1:1" x14ac:dyDescent="0.25">
      <c r="A2219" s="53" t="s">
        <v>1944</v>
      </c>
    </row>
    <row r="2220" spans="1:1" x14ac:dyDescent="0.25">
      <c r="A2220" s="53" t="s">
        <v>3733</v>
      </c>
    </row>
    <row r="2221" spans="1:1" x14ac:dyDescent="0.25">
      <c r="A2221" s="53" t="s">
        <v>3752</v>
      </c>
    </row>
    <row r="2222" spans="1:1" x14ac:dyDescent="0.25">
      <c r="A2222" s="53" t="s">
        <v>3752</v>
      </c>
    </row>
    <row r="2223" spans="1:1" x14ac:dyDescent="0.25">
      <c r="A2223" s="53" t="s">
        <v>3751</v>
      </c>
    </row>
  </sheetData>
  <sheetProtection algorithmName="SHA-512" hashValue="F5EOwb1pYoZeLdwvQpidxa6SEphqyYEYL5OtnvTh8QmUaW6QdlH9aYDSdQfFlbYZ/Iz1Xvd70lgOfgYWuIyo5w==" saltValue="z7RLW1ZbQ65lY0E62xjuew==" spinCount="100000" sheet="1" objects="1" scenarios="1" autoFilter="0"/>
  <autoFilter ref="A1:E2187" xr:uid="{340FA578-2B55-49EB-95A3-91E9BD875DDF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793DB0-87CC-4FBC-984F-E69065C271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Datos</vt:lpstr>
      <vt:lpstr>Publicaciones</vt:lpstr>
      <vt:lpstr>Ingresos Brutos</vt:lpstr>
      <vt:lpstr>Combos</vt:lpstr>
      <vt:lpstr>Premium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Negri</dc:creator>
  <cp:lastModifiedBy>Pedro Negri</cp:lastModifiedBy>
  <dcterms:created xsi:type="dcterms:W3CDTF">2023-06-04T13:57:20Z</dcterms:created>
  <dcterms:modified xsi:type="dcterms:W3CDTF">2023-08-08T17:10:02Z</dcterms:modified>
</cp:coreProperties>
</file>