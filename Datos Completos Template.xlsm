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gri\Desktop\Python\"/>
    </mc:Choice>
  </mc:AlternateContent>
  <xr:revisionPtr revIDLastSave="0" documentId="13_ncr:1_{03B629C7-7882-4C2A-915C-840CEFD3B6AB}" xr6:coauthVersionLast="47" xr6:coauthVersionMax="47" xr10:uidLastSave="{00000000-0000-0000-0000-000000000000}"/>
  <bookViews>
    <workbookView xWindow="-120" yWindow="-120" windowWidth="20730" windowHeight="11040" activeTab="2" xr2:uid="{AE0305C7-B599-4370-B651-3370B048C198}"/>
  </bookViews>
  <sheets>
    <sheet name="Datos" sheetId="3" r:id="rId1"/>
    <sheet name="Publicaciones" sheetId="5" r:id="rId2"/>
    <sheet name="Ingresos Brutos" sheetId="2" r:id="rId3"/>
    <sheet name="Combos" sheetId="7" r:id="rId4"/>
    <sheet name="Premium" sheetId="6" r:id="rId5"/>
  </sheets>
  <functionGroups builtInGroupCount="19"/>
  <definedNames>
    <definedName name="_xlnm._FilterDatabase" localSheetId="3" hidden="1">Combos!$B$1:$P$5</definedName>
    <definedName name="_xlnm._FilterDatabase" localSheetId="0" hidden="1">Datos!$A$1:$K$1793</definedName>
    <definedName name="_xlnm._FilterDatabase" localSheetId="4" hidden="1">Premium!$A$1:$E$2187</definedName>
    <definedName name="_xlnm._FilterDatabase" localSheetId="1" hidden="1">Publicaciones!$A$1:$B$3771</definedName>
    <definedName name="ExternalData_1" localSheetId="0" hidden="1">Datos!#REF!</definedName>
    <definedName name="ExternalData_2" localSheetId="0" hidden="1">Datos!#REF!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/>
  <c r="H3" i="7"/>
  <c r="H15" i="7"/>
  <c r="J15" i="7" s="1"/>
  <c r="G15" i="7"/>
  <c r="F15" i="7"/>
  <c r="E15" i="7"/>
  <c r="A15" i="7"/>
  <c r="H14" i="7"/>
  <c r="I14" i="7" s="1"/>
  <c r="G14" i="7"/>
  <c r="F14" i="7"/>
  <c r="E14" i="7"/>
  <c r="A14" i="7"/>
  <c r="H13" i="7"/>
  <c r="J13" i="7" s="1"/>
  <c r="G13" i="7"/>
  <c r="F13" i="7"/>
  <c r="E13" i="7"/>
  <c r="A13" i="7"/>
  <c r="H12" i="7"/>
  <c r="J12" i="7" s="1"/>
  <c r="G12" i="7"/>
  <c r="F12" i="7"/>
  <c r="E12" i="7"/>
  <c r="A12" i="7"/>
  <c r="H11" i="7"/>
  <c r="J11" i="7" s="1"/>
  <c r="G11" i="7"/>
  <c r="F11" i="7"/>
  <c r="E11" i="7"/>
  <c r="A11" i="7"/>
  <c r="H10" i="7"/>
  <c r="J10" i="7" s="1"/>
  <c r="G10" i="7"/>
  <c r="F10" i="7"/>
  <c r="E10" i="7"/>
  <c r="A10" i="7"/>
  <c r="H9" i="7"/>
  <c r="J9" i="7" s="1"/>
  <c r="G9" i="7"/>
  <c r="F9" i="7"/>
  <c r="E9" i="7"/>
  <c r="A9" i="7"/>
  <c r="H8" i="7"/>
  <c r="J8" i="7" s="1"/>
  <c r="G8" i="7"/>
  <c r="F8" i="7"/>
  <c r="E8" i="7"/>
  <c r="A8" i="7"/>
  <c r="H7" i="7"/>
  <c r="I7" i="7" s="1"/>
  <c r="G7" i="7"/>
  <c r="F7" i="7"/>
  <c r="E7" i="7"/>
  <c r="A7" i="7"/>
  <c r="H6" i="7"/>
  <c r="J6" i="7" s="1"/>
  <c r="G6" i="7"/>
  <c r="F6" i="7"/>
  <c r="E6" i="7"/>
  <c r="A6" i="7"/>
  <c r="H5" i="7"/>
  <c r="J5" i="7" s="1"/>
  <c r="G5" i="7"/>
  <c r="F5" i="7"/>
  <c r="E5" i="7"/>
  <c r="A5" i="7"/>
  <c r="H4" i="7"/>
  <c r="I4" i="7" s="1"/>
  <c r="G4" i="7"/>
  <c r="F4" i="7"/>
  <c r="E4" i="7"/>
  <c r="A4" i="7"/>
  <c r="J7" i="7" l="1"/>
  <c r="I6" i="7"/>
  <c r="I11" i="7"/>
  <c r="I13" i="7"/>
  <c r="I10" i="7"/>
  <c r="J14" i="7"/>
  <c r="I9" i="7"/>
  <c r="I8" i="7"/>
  <c r="I12" i="7"/>
  <c r="I15" i="7"/>
  <c r="J4" i="7"/>
  <c r="I5" i="7"/>
  <c r="C3" i="2" l="1"/>
  <c r="D3" i="2" s="1"/>
  <c r="E2" i="2"/>
  <c r="D2" i="2"/>
  <c r="C2" i="2"/>
  <c r="B2" i="2"/>
  <c r="F3" i="7"/>
  <c r="F2" i="7"/>
  <c r="E3" i="7"/>
  <c r="E2" i="7"/>
  <c r="L37" i="2"/>
  <c r="K37" i="2"/>
  <c r="F37" i="2"/>
  <c r="E37" i="2"/>
  <c r="F17" i="2" l="1"/>
  <c r="F21" i="2"/>
  <c r="F27" i="2"/>
  <c r="F33" i="2"/>
  <c r="L19" i="2"/>
  <c r="L25" i="2"/>
  <c r="L31" i="2"/>
  <c r="L35" i="2"/>
  <c r="E14" i="2"/>
  <c r="E16" i="2"/>
  <c r="E18" i="2"/>
  <c r="E20" i="2"/>
  <c r="E22" i="2"/>
  <c r="E24" i="2"/>
  <c r="E26" i="2"/>
  <c r="E28" i="2"/>
  <c r="E30" i="2"/>
  <c r="E32" i="2"/>
  <c r="E34" i="2"/>
  <c r="E36" i="2"/>
  <c r="K14" i="2"/>
  <c r="K16" i="2"/>
  <c r="K18" i="2"/>
  <c r="K20" i="2"/>
  <c r="K22" i="2"/>
  <c r="K24" i="2"/>
  <c r="K26" i="2"/>
  <c r="K28" i="2"/>
  <c r="K30" i="2"/>
  <c r="K32" i="2"/>
  <c r="K34" i="2"/>
  <c r="K36" i="2"/>
  <c r="F15" i="2"/>
  <c r="F23" i="2"/>
  <c r="F29" i="2"/>
  <c r="F35" i="2"/>
  <c r="L17" i="2"/>
  <c r="L23" i="2"/>
  <c r="L29" i="2"/>
  <c r="F14" i="2"/>
  <c r="F16" i="2"/>
  <c r="F18" i="2"/>
  <c r="F20" i="2"/>
  <c r="F22" i="2"/>
  <c r="F24" i="2"/>
  <c r="F26" i="2"/>
  <c r="F28" i="2"/>
  <c r="F30" i="2"/>
  <c r="F32" i="2"/>
  <c r="F34" i="2"/>
  <c r="F36" i="2"/>
  <c r="L14" i="2"/>
  <c r="L16" i="2"/>
  <c r="L18" i="2"/>
  <c r="L20" i="2"/>
  <c r="L22" i="2"/>
  <c r="L24" i="2"/>
  <c r="L26" i="2"/>
  <c r="L28" i="2"/>
  <c r="L30" i="2"/>
  <c r="L32" i="2"/>
  <c r="L34" i="2"/>
  <c r="L36" i="2"/>
  <c r="F19" i="2"/>
  <c r="F25" i="2"/>
  <c r="F31" i="2"/>
  <c r="L15" i="2"/>
  <c r="L21" i="2"/>
  <c r="L27" i="2"/>
  <c r="L33" i="2"/>
  <c r="E15" i="2"/>
  <c r="E17" i="2"/>
  <c r="E19" i="2"/>
  <c r="E21" i="2"/>
  <c r="E23" i="2"/>
  <c r="E25" i="2"/>
  <c r="E27" i="2"/>
  <c r="E29" i="2"/>
  <c r="E31" i="2"/>
  <c r="E33" i="2"/>
  <c r="E35" i="2"/>
  <c r="K15" i="2"/>
  <c r="K17" i="2"/>
  <c r="K19" i="2"/>
  <c r="K21" i="2"/>
  <c r="K23" i="2"/>
  <c r="K25" i="2"/>
  <c r="K27" i="2"/>
  <c r="K29" i="2"/>
  <c r="K31" i="2"/>
  <c r="K33" i="2"/>
  <c r="K35" i="2"/>
  <c r="Q36" i="2" l="1"/>
  <c r="P36" i="2"/>
  <c r="P37" i="2" l="1"/>
  <c r="Q22" i="2"/>
  <c r="Q27" i="2"/>
  <c r="Q30" i="2"/>
  <c r="Q31" i="2"/>
  <c r="Q37" i="2"/>
  <c r="Q14" i="2"/>
  <c r="Q20" i="2"/>
  <c r="Q26" i="2"/>
  <c r="P19" i="2"/>
  <c r="P21" i="2"/>
  <c r="P35" i="2"/>
  <c r="P14" i="2"/>
  <c r="P15" i="2"/>
  <c r="Q17" i="2"/>
  <c r="Q19" i="2"/>
  <c r="P17" i="2"/>
  <c r="Q25" i="2"/>
  <c r="Q29" i="2"/>
  <c r="Q33" i="2"/>
  <c r="Q35" i="2"/>
  <c r="P22" i="2"/>
  <c r="P23" i="2"/>
  <c r="P25" i="2"/>
  <c r="P29" i="2"/>
  <c r="P33" i="2"/>
  <c r="P16" i="2"/>
  <c r="P24" i="2"/>
  <c r="P27" i="2"/>
  <c r="P28" i="2"/>
  <c r="P31" i="2"/>
  <c r="P32" i="2"/>
  <c r="Q16" i="2"/>
  <c r="P18" i="2"/>
  <c r="Q21" i="2"/>
  <c r="Q24" i="2"/>
  <c r="Q28" i="2"/>
  <c r="Q32" i="2"/>
  <c r="P34" i="2"/>
  <c r="Q15" i="2"/>
  <c r="Q18" i="2"/>
  <c r="P20" i="2"/>
  <c r="Q23" i="2"/>
  <c r="P26" i="2"/>
  <c r="P30" i="2"/>
  <c r="Q34" i="2"/>
  <c r="Q13" i="2" l="1"/>
  <c r="D6" i="2" s="1"/>
  <c r="A2" i="7"/>
  <c r="A3" i="7" s="1"/>
  <c r="D8" i="2" l="1"/>
  <c r="A2" i="2" s="1"/>
  <c r="J3" i="7"/>
  <c r="G3" i="7"/>
  <c r="I2" i="7" l="1"/>
  <c r="G2" i="7" s="1"/>
  <c r="J2" i="7" s="1"/>
  <c r="I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3F26C9-7FB8-4B0A-9665-C861E7E707A9}" keepAlive="1" name="Query - pub?output=csv" description="Connection to the 'pub?output=csv' query in the workbook." type="5" refreshedVersion="8" background="1" saveData="1">
    <dbPr connection="Provider=Microsoft.Mashup.OleDb.1;Data Source=$Workbook$;Location=&quot;pub?output=csv&quot;;Extended Properties=&quot;&quot;" command="SELECT * FROM [pub?output=csv]"/>
  </connection>
</connections>
</file>

<file path=xl/sharedStrings.xml><?xml version="1.0" encoding="utf-8"?>
<sst xmlns="http://schemas.openxmlformats.org/spreadsheetml/2006/main" count="88" uniqueCount="75">
  <si>
    <t>Cantidad</t>
  </si>
  <si>
    <t>Costo</t>
  </si>
  <si>
    <t>IVA</t>
  </si>
  <si>
    <t>ANTE ULTIMA LIQUIDACION</t>
  </si>
  <si>
    <t>ULTIMA LIQUIDACION</t>
  </si>
  <si>
    <t>Jurisdicción</t>
  </si>
  <si>
    <t>Anticipo del Impuesto Determinado</t>
  </si>
  <si>
    <t xml:space="preserve"> A Favor Contribuyente </t>
  </si>
  <si>
    <t>Calc Anticipo</t>
  </si>
  <si>
    <t>Calc A favor</t>
  </si>
  <si>
    <t>Pago del Mes</t>
  </si>
  <si>
    <t>Total</t>
  </si>
  <si>
    <t xml:space="preserve"> 901 / CABA  </t>
  </si>
  <si>
    <t xml:space="preserve"> 902 / BUENOS AIRES  </t>
  </si>
  <si>
    <t xml:space="preserve"> 903 / CATAMARCA  </t>
  </si>
  <si>
    <t xml:space="preserve"> 904 / CORDOBA  </t>
  </si>
  <si>
    <t xml:space="preserve"> 905 / CORRIENTES  </t>
  </si>
  <si>
    <t xml:space="preserve"> 906 / CHACO  </t>
  </si>
  <si>
    <t xml:space="preserve"> 907 / CHUBUT  </t>
  </si>
  <si>
    <t xml:space="preserve"> 908 / ENTRE RIOS  </t>
  </si>
  <si>
    <t xml:space="preserve"> 909 / FORMOSA  </t>
  </si>
  <si>
    <t xml:space="preserve"> 910 / JUJUY  </t>
  </si>
  <si>
    <t xml:space="preserve"> 911 / LA PAMPA  </t>
  </si>
  <si>
    <t xml:space="preserve"> 912 / LA RIOJA  </t>
  </si>
  <si>
    <t xml:space="preserve"> 913 / MENDOZA  </t>
  </si>
  <si>
    <t xml:space="preserve"> 914 / MISIONES  </t>
  </si>
  <si>
    <t xml:space="preserve"> 915 / NEUQUEN  </t>
  </si>
  <si>
    <t xml:space="preserve"> 916 / RIO NEGRO  </t>
  </si>
  <si>
    <t xml:space="preserve"> 917 / SALTA  </t>
  </si>
  <si>
    <t xml:space="preserve"> 918 / SAN JUAN  </t>
  </si>
  <si>
    <t xml:space="preserve"> 919 / SAN LUIS  </t>
  </si>
  <si>
    <t xml:space="preserve"> 920 / SANTA CRUZ  </t>
  </si>
  <si>
    <t xml:space="preserve"> 921 / SANTA FE  </t>
  </si>
  <si>
    <t xml:space="preserve"> 922 / SANTIAGO DEL ESTERO  </t>
  </si>
  <si>
    <t xml:space="preserve"> 924 / TUCUMAN  </t>
  </si>
  <si>
    <t xml:space="preserve"> 923 / TIERRA DEL FUEGO  </t>
  </si>
  <si>
    <t>COMPLETAR MENSUALMENTE</t>
  </si>
  <si>
    <t>MERCADOLIBRE</t>
  </si>
  <si>
    <t>PAGINA WEB</t>
  </si>
  <si>
    <t>Ventas Totales Mes</t>
  </si>
  <si>
    <t>Envio Mínimo</t>
  </si>
  <si>
    <t>Costo Venta (Sin incluir IVA)</t>
  </si>
  <si>
    <t>Minimo Premium</t>
  </si>
  <si>
    <t>Pago IIBB</t>
  </si>
  <si>
    <t>Ganancia General</t>
  </si>
  <si>
    <t>Ganancia</t>
  </si>
  <si>
    <t>Prov No Inscriptas</t>
  </si>
  <si>
    <t>Porcentaje Pago IIBB</t>
  </si>
  <si>
    <t>Codigo</t>
  </si>
  <si>
    <t>Publicacion</t>
  </si>
  <si>
    <t>Minimo ML</t>
  </si>
  <si>
    <t>Minimo WEB</t>
  </si>
  <si>
    <t>Ganancia ML</t>
  </si>
  <si>
    <t>Ganancia WEB</t>
  </si>
  <si>
    <t>Ganancia ML Premium</t>
  </si>
  <si>
    <t>3 Cuotas</t>
  </si>
  <si>
    <t>6 Cuotas</t>
  </si>
  <si>
    <t>3 Ahora</t>
  </si>
  <si>
    <t>6 Ahora</t>
  </si>
  <si>
    <t>12 Ahora</t>
  </si>
  <si>
    <t>Iva</t>
  </si>
  <si>
    <t>Indicador</t>
  </si>
  <si>
    <t>Codigo Producto</t>
  </si>
  <si>
    <t>Costo Producto</t>
  </si>
  <si>
    <t>IIBB</t>
  </si>
  <si>
    <t>Envio Minimo</t>
  </si>
  <si>
    <t>Porcentaje Ganancia Original</t>
  </si>
  <si>
    <t>Costo Venta WEB</t>
  </si>
  <si>
    <t>Ganancia Venta WEB</t>
  </si>
  <si>
    <t>COMBO1</t>
  </si>
  <si>
    <t>Control</t>
  </si>
  <si>
    <t>Inicio</t>
  </si>
  <si>
    <t>Usuario</t>
  </si>
  <si>
    <t>USUARIO:</t>
  </si>
  <si>
    <t>prueba@gmail.com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</si>
</sst>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$&quot;;[Red]\-#,##0.00\ &quot;$&quot;"/>
    <numFmt numFmtId="44" formatCode="_-* #,##0.00\ &quot;$&quot;_-;\-* #,##0.00\ &quot;$&quot;_-;_-* &quot;-&quot;??\ &quot;$&quot;_-;_-@_-"/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u val="double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79">
    <xf numFmtId="0" fontId="0" fillId="0" borderId="0" xfId="0"/>
    <xf numFmtId="0" fontId="0" fillId="0" borderId="0" xfId="0" applyProtection="1">
      <protection hidden="1"/>
    </xf>
    <xf numFmtId="0" fontId="2" fillId="0" borderId="0" xfId="0" applyFont="1" applyProtection="1">
      <protection hidden="1"/>
    </xf>
    <xf numFmtId="0" fontId="3" fillId="0" borderId="5" xfId="0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center" vertical="center" wrapText="1"/>
      <protection hidden="1"/>
    </xf>
    <xf numFmtId="0" fontId="3" fillId="0" borderId="6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4" fillId="0" borderId="7" xfId="0" applyFont="1" applyBorder="1" applyAlignment="1" applyProtection="1">
      <alignment horizontal="center" vertical="center"/>
      <protection hidden="1"/>
    </xf>
    <xf numFmtId="0" fontId="4" fillId="0" borderId="8" xfId="0" applyFont="1" applyBorder="1" applyAlignment="1" applyProtection="1">
      <alignment horizontal="center" vertical="center"/>
      <protection hidden="1"/>
    </xf>
    <xf numFmtId="8" fontId="1" fillId="0" borderId="9" xfId="0" applyNumberFormat="1" applyFont="1" applyBorder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left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hidden="1"/>
    </xf>
    <xf numFmtId="8" fontId="1" fillId="0" borderId="12" xfId="0" applyNumberFormat="1" applyFont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hidden="1"/>
    </xf>
    <xf numFmtId="8" fontId="1" fillId="0" borderId="15" xfId="0" applyNumberFormat="1" applyFont="1" applyBorder="1" applyAlignment="1" applyProtection="1">
      <alignment horizontal="center"/>
      <protection hidden="1"/>
    </xf>
    <xf numFmtId="0" fontId="1" fillId="0" borderId="16" xfId="0" applyFont="1" applyBorder="1" applyAlignment="1" applyProtection="1">
      <alignment horizontal="center" vertical="center"/>
      <protection hidden="1"/>
    </xf>
    <xf numFmtId="8" fontId="1" fillId="0" borderId="17" xfId="0" applyNumberFormat="1" applyFont="1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19" xfId="0" applyBorder="1" applyProtection="1">
      <protection hidden="1"/>
    </xf>
    <xf numFmtId="9" fontId="1" fillId="2" borderId="20" xfId="0" applyNumberFormat="1" applyFont="1" applyFill="1" applyBorder="1" applyAlignment="1" applyProtection="1">
      <alignment horizontal="center"/>
      <protection locked="0"/>
    </xf>
    <xf numFmtId="0" fontId="0" fillId="0" borderId="16" xfId="0" applyBorder="1" applyProtection="1">
      <protection hidden="1"/>
    </xf>
    <xf numFmtId="9" fontId="1" fillId="2" borderId="18" xfId="0" applyNumberFormat="1" applyFont="1" applyFill="1" applyBorder="1" applyAlignment="1" applyProtection="1">
      <alignment horizontal="center"/>
      <protection locked="0"/>
    </xf>
    <xf numFmtId="8" fontId="1" fillId="2" borderId="13" xfId="0" applyNumberFormat="1" applyFont="1" applyFill="1" applyBorder="1" applyAlignment="1" applyProtection="1">
      <alignment horizontal="center"/>
      <protection locked="0"/>
    </xf>
    <xf numFmtId="10" fontId="1" fillId="3" borderId="18" xfId="0" applyNumberFormat="1" applyFont="1" applyFill="1" applyBorder="1" applyAlignment="1" applyProtection="1">
      <alignment horizontal="center"/>
      <protection hidden="1"/>
    </xf>
    <xf numFmtId="8" fontId="1" fillId="3" borderId="13" xfId="0" applyNumberFormat="1" applyFont="1" applyFill="1" applyBorder="1" applyAlignment="1" applyProtection="1">
      <alignment horizontal="center"/>
      <protection hidden="1"/>
    </xf>
    <xf numFmtId="8" fontId="1" fillId="2" borderId="2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0" fontId="0" fillId="0" borderId="0" xfId="0" applyNumberFormat="1"/>
    <xf numFmtId="0" fontId="1" fillId="0" borderId="0" xfId="0" applyFont="1" applyAlignment="1">
      <alignment horizontal="center"/>
    </xf>
    <xf numFmtId="8" fontId="0" fillId="0" borderId="0" xfId="0" applyNumberFormat="1"/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10" fontId="0" fillId="0" borderId="0" xfId="0" applyNumberFormat="1" applyProtection="1">
      <protection hidden="1"/>
    </xf>
    <xf numFmtId="8" fontId="0" fillId="0" borderId="0" xfId="0" applyNumberFormat="1" applyProtection="1">
      <protection hidden="1"/>
    </xf>
    <xf numFmtId="9" fontId="0" fillId="0" borderId="0" xfId="0" applyNumberFormat="1" applyProtection="1">
      <protection hidden="1"/>
    </xf>
    <xf numFmtId="0" fontId="1" fillId="0" borderId="0" xfId="0" applyFont="1" applyAlignment="1">
      <alignment horizontal="center" vertical="center" wrapText="1"/>
    </xf>
    <xf numFmtId="8" fontId="1" fillId="0" borderId="0" xfId="0" applyNumberFormat="1" applyFont="1" applyAlignment="1">
      <alignment horizontal="center" vertical="center" wrapText="1"/>
    </xf>
    <xf numFmtId="10" fontId="1" fillId="0" borderId="0" xfId="0" applyNumberFormat="1" applyFont="1" applyAlignment="1">
      <alignment horizontal="center" vertical="center" wrapText="1"/>
    </xf>
    <xf numFmtId="44" fontId="1" fillId="0" borderId="0" xfId="1" applyFont="1" applyAlignment="1" applyProtection="1">
      <alignment horizontal="center"/>
    </xf>
    <xf numFmtId="44" fontId="1" fillId="0" borderId="0" xfId="1" applyFont="1" applyAlignment="1" applyProtection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0" fillId="2" borderId="1" xfId="0" applyFill="1" applyBorder="1" applyAlignment="1" applyProtection="1">
      <alignment shrinkToFit="1"/>
      <protection locked="0"/>
    </xf>
    <xf numFmtId="44" fontId="0" fillId="2" borderId="1" xfId="1" applyFont="1" applyFill="1" applyBorder="1" applyAlignment="1" applyProtection="1">
      <alignment shrinkToFit="1"/>
      <protection locked="0"/>
    </xf>
    <xf numFmtId="44" fontId="0" fillId="5" borderId="1" xfId="1" applyFont="1" applyFill="1" applyBorder="1" applyAlignment="1" applyProtection="1">
      <alignment horizontal="center" vertical="center" shrinkToFit="1"/>
      <protection locked="0"/>
    </xf>
    <xf numFmtId="10" fontId="0" fillId="5" borderId="1" xfId="0" applyNumberFormat="1" applyFill="1" applyBorder="1" applyAlignment="1" applyProtection="1">
      <alignment horizontal="center" vertical="center" shrinkToFit="1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left"/>
      <protection locked="0"/>
    </xf>
    <xf numFmtId="8" fontId="0" fillId="2" borderId="1" xfId="0" applyNumberFormat="1" applyFill="1" applyBorder="1" applyAlignment="1" applyProtection="1">
      <alignment horizontal="center"/>
      <protection locked="0"/>
    </xf>
    <xf numFmtId="10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8" fontId="0" fillId="3" borderId="1" xfId="0" applyNumberFormat="1" applyFill="1" applyBorder="1" applyAlignment="1" applyProtection="1">
      <alignment horizontal="center"/>
      <protection hidden="1"/>
    </xf>
    <xf numFmtId="164" fontId="0" fillId="3" borderId="1" xfId="0" applyNumberFormat="1" applyFill="1" applyBorder="1" applyAlignment="1" applyProtection="1">
      <alignment horizontal="center"/>
      <protection hidden="1"/>
    </xf>
    <xf numFmtId="10" fontId="0" fillId="3" borderId="1" xfId="0" applyNumberFormat="1" applyFill="1" applyBorder="1" applyAlignment="1" applyProtection="1">
      <alignment horizontal="center"/>
      <protection hidden="1"/>
    </xf>
    <xf numFmtId="0" fontId="0" fillId="4" borderId="1" xfId="0" applyFill="1" applyBorder="1" applyAlignment="1" applyProtection="1">
      <alignment horizontal="center"/>
      <protection locked="0" hidden="1"/>
    </xf>
    <xf numFmtId="0" fontId="1" fillId="0" borderId="0" xfId="1" applyNumberFormat="1" applyFont="1" applyAlignment="1" applyProtection="1">
      <alignment horizontal="center" vertical="center"/>
      <protection locked="0"/>
    </xf>
    <xf numFmtId="0" fontId="0" fillId="5" borderId="1" xfId="1" applyNumberFormat="1" applyFont="1" applyFill="1" applyBorder="1" applyAlignment="1" applyProtection="1">
      <alignment horizontal="center" vertical="center" shrinkToFit="1"/>
      <protection locked="0"/>
    </xf>
    <xf numFmtId="164" fontId="1" fillId="0" borderId="0" xfId="2" applyNumberFormat="1" applyFont="1" applyAlignment="1" applyProtection="1">
      <alignment horizontal="center" vertical="center"/>
    </xf>
    <xf numFmtId="164" fontId="0" fillId="2" borderId="1" xfId="2" applyNumberFormat="1" applyFont="1" applyFill="1" applyBorder="1" applyAlignment="1" applyProtection="1">
      <alignment horizontal="center" vertical="center" shrinkToFit="1"/>
      <protection locked="0"/>
    </xf>
    <xf numFmtId="0" fontId="1" fillId="0" borderId="1" xfId="0" applyFont="1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  <protection hidden="1"/>
    </xf>
    <xf numFmtId="0" fontId="1" fillId="0" borderId="21" xfId="0" applyFont="1" applyBorder="1" applyAlignment="1" applyProtection="1">
      <alignment horizontal="center"/>
      <protection hidden="1"/>
    </xf>
    <xf numFmtId="0" fontId="1" fillId="0" borderId="24" xfId="0" applyFont="1" applyBorder="1" applyAlignment="1" applyProtection="1">
      <alignment horizontal="center"/>
      <protection hidden="1"/>
    </xf>
    <xf numFmtId="0" fontId="1" fillId="0" borderId="22" xfId="0" applyFont="1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10" xfId="0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0" borderId="3" xfId="0" applyFont="1" applyBorder="1" applyAlignment="1" applyProtection="1">
      <alignment horizontal="center"/>
      <protection hidden="1"/>
    </xf>
    <xf numFmtId="0" fontId="1" fillId="0" borderId="4" xfId="0" applyFont="1" applyBorder="1" applyAlignment="1" applyProtection="1">
      <alignment horizontal="center"/>
      <protection hidden="1"/>
    </xf>
    <xf numFmtId="0" fontId="1" fillId="2" borderId="1" xfId="0" applyFont="1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hidden="1"/>
    </xf>
    <xf numFmtId="0" fontId="0" fillId="0" borderId="26" xfId="0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</cellXfs>
  <cellStyles count="3">
    <cellStyle name="Currency" xfId="1" builtinId="4"/>
    <cellStyle name="Normal" xfId="0" builtinId="0"/>
    <cellStyle name="Percent" xfId="2" builtinId="5"/>
  </cellStyles>
  <dxfs count="4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0</xdr:row>
      <xdr:rowOff>152400</xdr:rowOff>
    </xdr:from>
    <xdr:to>
      <xdr:col>18</xdr:col>
      <xdr:colOff>38100</xdr:colOff>
      <xdr:row>3</xdr:row>
      <xdr:rowOff>0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98F60AF-3673-4DEC-F0AB-8EE734A19E4E}"/>
            </a:ext>
          </a:extLst>
        </xdr:cNvPr>
        <xdr:cNvSpPr/>
      </xdr:nvSpPr>
      <xdr:spPr>
        <a:xfrm>
          <a:off x="12011025" y="152400"/>
          <a:ext cx="1181100" cy="695325"/>
        </a:xfrm>
        <a:prstGeom prst="roundRect">
          <a:avLst/>
        </a:prstGeom>
        <a:solidFill>
          <a:srgbClr val="00B0F0"/>
        </a:solidFill>
        <a:ln w="31750">
          <a:solidFill>
            <a:schemeClr val="accent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AGREGAR MAS FILAS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ADD66-FB11-4B79-8D18-5A6081E57713}">
  <sheetPr codeName="Sheet1"/>
  <dimension ref="A1:K1"/>
  <sheetViews>
    <sheetView showGridLines="0" zoomScale="85" zoomScaleNormal="85" workbookViewId="0">
      <selection activeCell="G2" sqref="G2"/>
    </sheetView>
  </sheetViews>
  <sheetFormatPr defaultColWidth="9.140625" defaultRowHeight="15" x14ac:dyDescent="0.25"/>
  <cols>
    <col min="1" max="1" width="39.140625" style="45" bestFit="1" customWidth="1"/>
    <col min="2" max="2" width="14.7109375" style="46" bestFit="1" customWidth="1"/>
    <col min="3" max="3" width="9.5703125" style="62" bestFit="1" customWidth="1"/>
    <col min="4" max="4" width="16.5703125" style="47" bestFit="1" customWidth="1"/>
    <col min="5" max="5" width="22.28515625" style="47" bestFit="1" customWidth="1"/>
    <col min="6" max="6" width="18.140625" style="47" bestFit="1" customWidth="1"/>
    <col min="7" max="7" width="15.5703125" style="48" bestFit="1" customWidth="1"/>
    <col min="8" max="8" width="24.7109375" style="48" bestFit="1" customWidth="1"/>
    <col min="9" max="9" width="17.28515625" style="48" bestFit="1" customWidth="1"/>
    <col min="11" max="11" width="16.5703125" style="60" bestFit="1" customWidth="1"/>
  </cols>
  <sheetData>
    <row r="1" spans="1:11" x14ac:dyDescent="0.25">
      <c r="A1" s="32" t="s">
        <v>48</v>
      </c>
      <c r="B1" s="42" t="s">
        <v>1</v>
      </c>
      <c r="C1" s="61" t="s">
        <v>2</v>
      </c>
      <c r="D1" s="43" t="s">
        <v>50</v>
      </c>
      <c r="E1" s="43" t="s">
        <v>42</v>
      </c>
      <c r="F1" s="43" t="s">
        <v>51</v>
      </c>
      <c r="G1" s="44" t="s">
        <v>52</v>
      </c>
      <c r="H1" s="44" t="s">
        <v>54</v>
      </c>
      <c r="I1" s="44" t="s">
        <v>53</v>
      </c>
      <c r="K1" s="59" t="s">
        <v>70</v>
      </c>
    </row>
  </sheetData>
  <sheetProtection algorithmName="SHA-512" hashValue="lXfvk5jMBUMjDfR0N6Nk1XmO2D2h5Xx2Lkl/kPFfl/9Qgv+MnnAfDrZfQdcEgypFg3UZBHs9b7QfFW5YExlgpw==" saltValue="9boR9CXOgLM/C0jy4innUg==" spinCount="100000" sheet="1" autoFilter="0"/>
  <autoFilter ref="A1:K1793" xr:uid="{588ADD66-FB11-4B79-8D18-5A6081E57713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93027-E8C7-4D2E-BBBC-38C5061F32D9}">
  <sheetPr codeName="Sheet3"/>
  <dimension ref="A1:B1"/>
  <sheetViews>
    <sheetView showGridLines="0" workbookViewId="0">
      <selection activeCell="A2" sqref="A2:B3771"/>
    </sheetView>
  </sheetViews>
  <sheetFormatPr defaultRowHeight="15" x14ac:dyDescent="0.25"/>
  <cols>
    <col min="1" max="1" width="17.85546875" style="49" customWidth="1"/>
    <col min="2" max="2" width="39.28515625" style="49" customWidth="1"/>
  </cols>
  <sheetData>
    <row r="1" spans="1:2" x14ac:dyDescent="0.25">
      <c r="A1" s="32" t="s">
        <v>49</v>
      </c>
      <c r="B1" s="32" t="s">
        <v>48</v>
      </c>
    </row>
  </sheetData>
  <sheetProtection algorithmName="SHA-512" hashValue="2JHMm6DpPwnFrqG/VbGmZFuKl8aEYYge/ZeGRts+Lw0cw4nl+Oi15xmPnUm6JIGqLxkSLYPyer4LThZUSvfXxQ==" saltValue="qXX0YC0YjMQb+632Dk+LwQ==" spinCount="100000" sheet="1" objects="1" scenarios="1" deleteRows="0" autoFilter="0"/>
  <autoFilter ref="A1:B3771" xr:uid="{78393027-E8C7-4D2E-BBBC-38C5061F32D9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ABE5C-4DA1-4C70-A96D-5B586BF75A66}">
  <sheetPr codeName="Sheet2"/>
  <dimension ref="A1:Q37"/>
  <sheetViews>
    <sheetView showGridLines="0" tabSelected="1" topLeftCell="A3" workbookViewId="0">
      <selection activeCell="D8" sqref="D8"/>
    </sheetView>
  </sheetViews>
  <sheetFormatPr defaultColWidth="9.140625" defaultRowHeight="15" x14ac:dyDescent="0.25"/>
  <cols>
    <col min="1" max="1" width="2" style="1" customWidth="1"/>
    <col min="2" max="2" width="20" style="1" bestFit="1" customWidth="1"/>
    <col min="3" max="4" width="16.140625" style="1" customWidth="1"/>
    <col min="5" max="6" width="9.140625" style="1" hidden="1" customWidth="1"/>
    <col min="7" max="7" width="2.28515625" style="1" customWidth="1"/>
    <col min="8" max="8" width="20" style="1" bestFit="1" customWidth="1"/>
    <col min="9" max="10" width="16.140625" style="1" customWidth="1"/>
    <col min="11" max="12" width="9.140625" style="1" hidden="1" customWidth="1"/>
    <col min="13" max="13" width="1.140625" style="1" customWidth="1"/>
    <col min="14" max="14" width="1.85546875" style="1" customWidth="1"/>
    <col min="15" max="15" width="27.42578125" style="1" customWidth="1"/>
    <col min="16" max="16" width="11.5703125" style="1" bestFit="1" customWidth="1"/>
    <col min="17" max="17" width="33.5703125" style="1" customWidth="1"/>
    <col min="18" max="18" width="9.140625" style="1"/>
    <col min="19" max="19" width="9.5703125" style="1" bestFit="1" customWidth="1"/>
    <col min="20" max="16384" width="9.140625" style="1"/>
  </cols>
  <sheetData>
    <row r="1" spans="1:17" hidden="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72</v>
      </c>
    </row>
    <row r="2" spans="1:17" hidden="1" x14ac:dyDescent="0.25">
      <c r="A2" s="36" t="e">
        <f>+D8</f>
        <v>#DIV/0!</v>
      </c>
      <c r="B2" s="37">
        <f>+J5</f>
        <v>1100</v>
      </c>
      <c r="C2" s="38">
        <f>+J6</f>
        <v>0.1</v>
      </c>
      <c r="D2" s="38">
        <f>+P5</f>
        <v>7.0000000000000007E-2</v>
      </c>
      <c r="E2" s="38">
        <f>+P6</f>
        <v>0.15</v>
      </c>
      <c r="F2" s="1" t="str">
        <f>+I8</f>
        <v>prueba@gmail.com</v>
      </c>
    </row>
    <row r="3" spans="1:17" ht="15.75" thickBot="1" x14ac:dyDescent="0.3">
      <c r="B3" s="2">
        <v>0.1</v>
      </c>
      <c r="C3" s="2" t="str">
        <f>RIGHT(LEFT(B3,2),1)</f>
        <v>.</v>
      </c>
      <c r="D3" s="2" t="str">
        <f>IF(C3=".",",",".")</f>
        <v>,</v>
      </c>
    </row>
    <row r="4" spans="1:17" ht="15.75" thickBot="1" x14ac:dyDescent="0.3">
      <c r="B4" s="71" t="s">
        <v>36</v>
      </c>
      <c r="C4" s="72"/>
      <c r="D4" s="73"/>
      <c r="H4" s="66" t="s">
        <v>37</v>
      </c>
      <c r="I4" s="67"/>
      <c r="J4" s="68"/>
      <c r="O4" s="71" t="s">
        <v>38</v>
      </c>
      <c r="P4" s="73"/>
    </row>
    <row r="5" spans="1:17" x14ac:dyDescent="0.25">
      <c r="B5" s="75" t="s">
        <v>39</v>
      </c>
      <c r="C5" s="76"/>
      <c r="D5" s="29">
        <v>0</v>
      </c>
      <c r="H5" s="69" t="s">
        <v>40</v>
      </c>
      <c r="I5" s="70"/>
      <c r="J5" s="29">
        <v>1100</v>
      </c>
      <c r="O5" s="22" t="s">
        <v>41</v>
      </c>
      <c r="P5" s="23">
        <v>7.0000000000000007E-2</v>
      </c>
    </row>
    <row r="6" spans="1:17" ht="15.75" thickBot="1" x14ac:dyDescent="0.3">
      <c r="B6" s="77" t="s">
        <v>43</v>
      </c>
      <c r="C6" s="78"/>
      <c r="D6" s="28">
        <f>+Q13</f>
        <v>0</v>
      </c>
      <c r="H6" s="64" t="s">
        <v>44</v>
      </c>
      <c r="I6" s="65"/>
      <c r="J6" s="25">
        <v>0.1</v>
      </c>
      <c r="O6" s="24" t="s">
        <v>45</v>
      </c>
      <c r="P6" s="25">
        <v>0.15</v>
      </c>
    </row>
    <row r="7" spans="1:17" x14ac:dyDescent="0.25">
      <c r="B7" s="77" t="s">
        <v>46</v>
      </c>
      <c r="C7" s="78"/>
      <c r="D7" s="26">
        <v>0</v>
      </c>
    </row>
    <row r="8" spans="1:17" ht="15.75" thickBot="1" x14ac:dyDescent="0.3">
      <c r="B8" s="64" t="s">
        <v>47</v>
      </c>
      <c r="C8" s="65"/>
      <c r="D8" s="27" t="e">
        <f>SUM(D6:D7)/D5</f>
        <v>#DIV/0!</v>
      </c>
      <c r="H8" s="63" t="s">
        <v>73</v>
      </c>
      <c r="I8" s="74" t="s">
        <v>74</v>
      </c>
      <c r="J8" s="74"/>
    </row>
    <row r="11" spans="1:17" ht="15.75" thickBot="1" x14ac:dyDescent="0.3"/>
    <row r="12" spans="1:17" ht="15.75" thickBot="1" x14ac:dyDescent="0.3">
      <c r="B12" s="71" t="s">
        <v>3</v>
      </c>
      <c r="C12" s="72"/>
      <c r="D12" s="73"/>
      <c r="H12" s="71" t="s">
        <v>4</v>
      </c>
      <c r="I12" s="72"/>
      <c r="J12" s="73"/>
    </row>
    <row r="13" spans="1:17" ht="36.75" thickBot="1" x14ac:dyDescent="0.3">
      <c r="B13" s="3" t="s">
        <v>5</v>
      </c>
      <c r="C13" s="4" t="s">
        <v>6</v>
      </c>
      <c r="D13" s="5" t="s">
        <v>7</v>
      </c>
      <c r="E13" s="6" t="s">
        <v>8</v>
      </c>
      <c r="F13" s="6" t="s">
        <v>9</v>
      </c>
      <c r="H13" s="3" t="s">
        <v>5</v>
      </c>
      <c r="I13" s="4" t="s">
        <v>6</v>
      </c>
      <c r="J13" s="5" t="s">
        <v>7</v>
      </c>
      <c r="O13" s="7" t="s">
        <v>10</v>
      </c>
      <c r="P13" s="8" t="s">
        <v>11</v>
      </c>
      <c r="Q13" s="9">
        <f>SUM(P14:P37)</f>
        <v>0</v>
      </c>
    </row>
    <row r="14" spans="1:17" x14ac:dyDescent="0.25">
      <c r="B14" s="10"/>
      <c r="C14" s="11"/>
      <c r="D14" s="11"/>
      <c r="E14" s="1">
        <f t="shared" ref="E14:E37" si="0">IFERROR(C14*1,SUBSTITUTE(SUBSTITUTE(SUBSTITUTE(C14,"$",""),$C$3,""),$D$3,$C$3))*1</f>
        <v>0</v>
      </c>
      <c r="F14" s="1">
        <f t="shared" ref="F14:F37" si="1">IFERROR(D14*1,SUBSTITUTE(SUBSTITUTE(SUBSTITUTE(D14,"$",""),$C$3,""),$D$3,$C$3))*1</f>
        <v>0</v>
      </c>
      <c r="H14" s="10"/>
      <c r="I14" s="11"/>
      <c r="J14" s="11"/>
      <c r="K14" s="1">
        <f t="shared" ref="K14:K37" si="2">IFERROR(I14*1,SUBSTITUTE(SUBSTITUTE(SUBSTITUTE(I14,"$",""),$C$3,""),$D$3,$C$3))*1</f>
        <v>0</v>
      </c>
      <c r="L14" s="1">
        <f t="shared" ref="L14:L37" si="3">IFERROR(J14*1,SUBSTITUTE(SUBSTITUTE(SUBSTITUTE(J14,"$",""),$C$3,""),$D$3,$C$3))*1</f>
        <v>0</v>
      </c>
      <c r="O14" s="12" t="s">
        <v>12</v>
      </c>
      <c r="P14" s="13">
        <f t="shared" ref="P14:P37" si="4">IFERROR(IF(AND(COUNTIF(H:H,O14)&gt;0,COUNTIF(B:B,O14)=0),VLOOKUP(O14,H:L,4,0),VLOOKUP(O14,H:L,4,0)+IF((VLOOKUP(O14,H:L,5,0)-VLOOKUP(O14,B:F,5,0))&gt;0,VLOOKUP(O14,H:L,5,0)-VLOOKUP(O14,B:F,5,0),0)),0)</f>
        <v>0</v>
      </c>
      <c r="Q14" s="14" t="str">
        <f t="shared" ref="Q14:Q37" si="5">IF(COUNTIF($H$14:$H$37,O14)=0,"No Inscripto, verificar con Contador",IF((VLOOKUP(O14,H:M,5,0)-IFERROR(VLOOKUP(O14,B:G,5,0),0))&gt;0,"Subió el Saldo Acumulado","Bajó el Saldo Acumulado"))</f>
        <v>No Inscripto, verificar con Contador</v>
      </c>
    </row>
    <row r="15" spans="1:17" x14ac:dyDescent="0.25">
      <c r="B15" s="15"/>
      <c r="C15" s="16"/>
      <c r="D15" s="16"/>
      <c r="E15" s="1">
        <f t="shared" si="0"/>
        <v>0</v>
      </c>
      <c r="F15" s="1">
        <f t="shared" si="1"/>
        <v>0</v>
      </c>
      <c r="H15" s="15"/>
      <c r="I15" s="16"/>
      <c r="J15" s="16"/>
      <c r="K15" s="1">
        <f t="shared" si="2"/>
        <v>0</v>
      </c>
      <c r="L15" s="1">
        <f t="shared" si="3"/>
        <v>0</v>
      </c>
      <c r="O15" s="17" t="s">
        <v>13</v>
      </c>
      <c r="P15" s="18">
        <f t="shared" si="4"/>
        <v>0</v>
      </c>
      <c r="Q15" s="14" t="str">
        <f t="shared" si="5"/>
        <v>No Inscripto, verificar con Contador</v>
      </c>
    </row>
    <row r="16" spans="1:17" x14ac:dyDescent="0.25">
      <c r="B16" s="15"/>
      <c r="C16" s="16"/>
      <c r="D16" s="16"/>
      <c r="E16" s="1">
        <f t="shared" si="0"/>
        <v>0</v>
      </c>
      <c r="F16" s="1">
        <f t="shared" si="1"/>
        <v>0</v>
      </c>
      <c r="H16" s="15"/>
      <c r="I16" s="16"/>
      <c r="J16" s="16"/>
      <c r="K16" s="1">
        <f t="shared" si="2"/>
        <v>0</v>
      </c>
      <c r="L16" s="1">
        <f t="shared" si="3"/>
        <v>0</v>
      </c>
      <c r="O16" s="17" t="s">
        <v>14</v>
      </c>
      <c r="P16" s="18">
        <f t="shared" si="4"/>
        <v>0</v>
      </c>
      <c r="Q16" s="14" t="str">
        <f t="shared" si="5"/>
        <v>No Inscripto, verificar con Contador</v>
      </c>
    </row>
    <row r="17" spans="2:17" x14ac:dyDescent="0.25">
      <c r="B17" s="15"/>
      <c r="C17" s="16"/>
      <c r="D17" s="16"/>
      <c r="E17" s="1">
        <f t="shared" si="0"/>
        <v>0</v>
      </c>
      <c r="F17" s="1">
        <f t="shared" si="1"/>
        <v>0</v>
      </c>
      <c r="H17" s="15"/>
      <c r="I17" s="16"/>
      <c r="J17" s="16"/>
      <c r="K17" s="1">
        <f t="shared" si="2"/>
        <v>0</v>
      </c>
      <c r="L17" s="1">
        <f t="shared" si="3"/>
        <v>0</v>
      </c>
      <c r="O17" s="17" t="s">
        <v>15</v>
      </c>
      <c r="P17" s="18">
        <f t="shared" si="4"/>
        <v>0</v>
      </c>
      <c r="Q17" s="14" t="str">
        <f t="shared" si="5"/>
        <v>No Inscripto, verificar con Contador</v>
      </c>
    </row>
    <row r="18" spans="2:17" x14ac:dyDescent="0.25">
      <c r="B18" s="15"/>
      <c r="C18" s="16"/>
      <c r="D18" s="16"/>
      <c r="E18" s="1">
        <f t="shared" si="0"/>
        <v>0</v>
      </c>
      <c r="F18" s="1">
        <f t="shared" si="1"/>
        <v>0</v>
      </c>
      <c r="H18" s="15"/>
      <c r="I18" s="16"/>
      <c r="J18" s="16"/>
      <c r="K18" s="1">
        <f t="shared" si="2"/>
        <v>0</v>
      </c>
      <c r="L18" s="1">
        <f t="shared" si="3"/>
        <v>0</v>
      </c>
      <c r="O18" s="17" t="s">
        <v>16</v>
      </c>
      <c r="P18" s="18">
        <f t="shared" si="4"/>
        <v>0</v>
      </c>
      <c r="Q18" s="14" t="str">
        <f t="shared" si="5"/>
        <v>No Inscripto, verificar con Contador</v>
      </c>
    </row>
    <row r="19" spans="2:17" x14ac:dyDescent="0.25">
      <c r="B19" s="15"/>
      <c r="C19" s="16"/>
      <c r="D19" s="16"/>
      <c r="E19" s="1">
        <f t="shared" si="0"/>
        <v>0</v>
      </c>
      <c r="F19" s="1">
        <f t="shared" si="1"/>
        <v>0</v>
      </c>
      <c r="H19" s="15"/>
      <c r="I19" s="16"/>
      <c r="J19" s="16"/>
      <c r="K19" s="1">
        <f t="shared" si="2"/>
        <v>0</v>
      </c>
      <c r="L19" s="1">
        <f t="shared" si="3"/>
        <v>0</v>
      </c>
      <c r="O19" s="17" t="s">
        <v>17</v>
      </c>
      <c r="P19" s="18">
        <f t="shared" si="4"/>
        <v>0</v>
      </c>
      <c r="Q19" s="14" t="str">
        <f t="shared" si="5"/>
        <v>No Inscripto, verificar con Contador</v>
      </c>
    </row>
    <row r="20" spans="2:17" x14ac:dyDescent="0.25">
      <c r="B20" s="15"/>
      <c r="C20" s="16"/>
      <c r="D20" s="16"/>
      <c r="E20" s="1">
        <f t="shared" si="0"/>
        <v>0</v>
      </c>
      <c r="F20" s="1">
        <f t="shared" si="1"/>
        <v>0</v>
      </c>
      <c r="H20" s="15"/>
      <c r="I20" s="16"/>
      <c r="J20" s="16"/>
      <c r="K20" s="1">
        <f t="shared" si="2"/>
        <v>0</v>
      </c>
      <c r="L20" s="1">
        <f t="shared" si="3"/>
        <v>0</v>
      </c>
      <c r="O20" s="17" t="s">
        <v>18</v>
      </c>
      <c r="P20" s="18">
        <f t="shared" si="4"/>
        <v>0</v>
      </c>
      <c r="Q20" s="14" t="str">
        <f t="shared" si="5"/>
        <v>No Inscripto, verificar con Contador</v>
      </c>
    </row>
    <row r="21" spans="2:17" x14ac:dyDescent="0.25">
      <c r="B21" s="15"/>
      <c r="C21" s="16"/>
      <c r="D21" s="16"/>
      <c r="E21" s="1">
        <f t="shared" si="0"/>
        <v>0</v>
      </c>
      <c r="F21" s="1">
        <f t="shared" si="1"/>
        <v>0</v>
      </c>
      <c r="H21" s="15"/>
      <c r="I21" s="16"/>
      <c r="J21" s="16"/>
      <c r="K21" s="1">
        <f t="shared" si="2"/>
        <v>0</v>
      </c>
      <c r="L21" s="1">
        <f t="shared" si="3"/>
        <v>0</v>
      </c>
      <c r="O21" s="17" t="s">
        <v>19</v>
      </c>
      <c r="P21" s="18">
        <f t="shared" si="4"/>
        <v>0</v>
      </c>
      <c r="Q21" s="14" t="str">
        <f t="shared" si="5"/>
        <v>No Inscripto, verificar con Contador</v>
      </c>
    </row>
    <row r="22" spans="2:17" x14ac:dyDescent="0.25">
      <c r="B22" s="15"/>
      <c r="C22" s="16"/>
      <c r="D22" s="16"/>
      <c r="E22" s="1">
        <f t="shared" si="0"/>
        <v>0</v>
      </c>
      <c r="F22" s="1">
        <f t="shared" si="1"/>
        <v>0</v>
      </c>
      <c r="H22" s="15"/>
      <c r="I22" s="16"/>
      <c r="J22" s="16"/>
      <c r="K22" s="1">
        <f t="shared" si="2"/>
        <v>0</v>
      </c>
      <c r="L22" s="1">
        <f t="shared" si="3"/>
        <v>0</v>
      </c>
      <c r="O22" s="17" t="s">
        <v>20</v>
      </c>
      <c r="P22" s="18">
        <f t="shared" si="4"/>
        <v>0</v>
      </c>
      <c r="Q22" s="14" t="str">
        <f t="shared" si="5"/>
        <v>No Inscripto, verificar con Contador</v>
      </c>
    </row>
    <row r="23" spans="2:17" x14ac:dyDescent="0.25">
      <c r="B23" s="15"/>
      <c r="C23" s="16"/>
      <c r="D23" s="16"/>
      <c r="E23" s="1">
        <f t="shared" si="0"/>
        <v>0</v>
      </c>
      <c r="F23" s="1">
        <f t="shared" si="1"/>
        <v>0</v>
      </c>
      <c r="H23" s="15"/>
      <c r="I23" s="16"/>
      <c r="J23" s="16"/>
      <c r="K23" s="1">
        <f t="shared" si="2"/>
        <v>0</v>
      </c>
      <c r="L23" s="1">
        <f t="shared" si="3"/>
        <v>0</v>
      </c>
      <c r="O23" s="17" t="s">
        <v>21</v>
      </c>
      <c r="P23" s="18">
        <f t="shared" si="4"/>
        <v>0</v>
      </c>
      <c r="Q23" s="14" t="str">
        <f t="shared" si="5"/>
        <v>No Inscripto, verificar con Contador</v>
      </c>
    </row>
    <row r="24" spans="2:17" x14ac:dyDescent="0.25">
      <c r="B24" s="15"/>
      <c r="C24" s="16"/>
      <c r="D24" s="16"/>
      <c r="E24" s="1">
        <f t="shared" si="0"/>
        <v>0</v>
      </c>
      <c r="F24" s="1">
        <f t="shared" si="1"/>
        <v>0</v>
      </c>
      <c r="H24" s="15"/>
      <c r="I24" s="16"/>
      <c r="J24" s="16"/>
      <c r="K24" s="1">
        <f t="shared" si="2"/>
        <v>0</v>
      </c>
      <c r="L24" s="1">
        <f t="shared" si="3"/>
        <v>0</v>
      </c>
      <c r="O24" s="17" t="s">
        <v>22</v>
      </c>
      <c r="P24" s="18">
        <f t="shared" si="4"/>
        <v>0</v>
      </c>
      <c r="Q24" s="14" t="str">
        <f t="shared" si="5"/>
        <v>No Inscripto, verificar con Contador</v>
      </c>
    </row>
    <row r="25" spans="2:17" x14ac:dyDescent="0.25">
      <c r="B25" s="15"/>
      <c r="C25" s="16"/>
      <c r="D25" s="16"/>
      <c r="E25" s="1">
        <f t="shared" si="0"/>
        <v>0</v>
      </c>
      <c r="F25" s="1">
        <f t="shared" si="1"/>
        <v>0</v>
      </c>
      <c r="H25" s="15"/>
      <c r="I25" s="16"/>
      <c r="J25" s="16"/>
      <c r="K25" s="1">
        <f t="shared" si="2"/>
        <v>0</v>
      </c>
      <c r="L25" s="1">
        <f t="shared" si="3"/>
        <v>0</v>
      </c>
      <c r="O25" s="17" t="s">
        <v>23</v>
      </c>
      <c r="P25" s="18">
        <f t="shared" si="4"/>
        <v>0</v>
      </c>
      <c r="Q25" s="14" t="str">
        <f t="shared" si="5"/>
        <v>No Inscripto, verificar con Contador</v>
      </c>
    </row>
    <row r="26" spans="2:17" x14ac:dyDescent="0.25">
      <c r="B26" s="15"/>
      <c r="C26" s="16"/>
      <c r="D26" s="16"/>
      <c r="E26" s="1">
        <f t="shared" si="0"/>
        <v>0</v>
      </c>
      <c r="F26" s="1">
        <f t="shared" si="1"/>
        <v>0</v>
      </c>
      <c r="H26" s="15"/>
      <c r="I26" s="16"/>
      <c r="J26" s="16"/>
      <c r="K26" s="1">
        <f t="shared" si="2"/>
        <v>0</v>
      </c>
      <c r="L26" s="1">
        <f t="shared" si="3"/>
        <v>0</v>
      </c>
      <c r="O26" s="17" t="s">
        <v>24</v>
      </c>
      <c r="P26" s="18">
        <f t="shared" si="4"/>
        <v>0</v>
      </c>
      <c r="Q26" s="14" t="str">
        <f t="shared" si="5"/>
        <v>No Inscripto, verificar con Contador</v>
      </c>
    </row>
    <row r="27" spans="2:17" x14ac:dyDescent="0.25">
      <c r="B27" s="15"/>
      <c r="C27" s="16"/>
      <c r="D27" s="16"/>
      <c r="E27" s="1">
        <f t="shared" si="0"/>
        <v>0</v>
      </c>
      <c r="F27" s="1">
        <f t="shared" si="1"/>
        <v>0</v>
      </c>
      <c r="H27" s="15"/>
      <c r="I27" s="16"/>
      <c r="J27" s="16"/>
      <c r="K27" s="1">
        <f t="shared" si="2"/>
        <v>0</v>
      </c>
      <c r="L27" s="1">
        <f t="shared" si="3"/>
        <v>0</v>
      </c>
      <c r="O27" s="17" t="s">
        <v>25</v>
      </c>
      <c r="P27" s="18">
        <f t="shared" si="4"/>
        <v>0</v>
      </c>
      <c r="Q27" s="14" t="str">
        <f t="shared" si="5"/>
        <v>No Inscripto, verificar con Contador</v>
      </c>
    </row>
    <row r="28" spans="2:17" x14ac:dyDescent="0.25">
      <c r="B28" s="15"/>
      <c r="C28" s="16"/>
      <c r="D28" s="16"/>
      <c r="E28" s="1">
        <f t="shared" si="0"/>
        <v>0</v>
      </c>
      <c r="F28" s="1">
        <f t="shared" si="1"/>
        <v>0</v>
      </c>
      <c r="H28" s="15"/>
      <c r="I28" s="16"/>
      <c r="J28" s="16"/>
      <c r="K28" s="1">
        <f t="shared" si="2"/>
        <v>0</v>
      </c>
      <c r="L28" s="1">
        <f t="shared" si="3"/>
        <v>0</v>
      </c>
      <c r="O28" s="17" t="s">
        <v>26</v>
      </c>
      <c r="P28" s="18">
        <f t="shared" si="4"/>
        <v>0</v>
      </c>
      <c r="Q28" s="14" t="str">
        <f t="shared" si="5"/>
        <v>No Inscripto, verificar con Contador</v>
      </c>
    </row>
    <row r="29" spans="2:17" x14ac:dyDescent="0.25">
      <c r="B29" s="15"/>
      <c r="C29" s="16"/>
      <c r="D29" s="16"/>
      <c r="E29" s="1">
        <f t="shared" si="0"/>
        <v>0</v>
      </c>
      <c r="F29" s="1">
        <f t="shared" si="1"/>
        <v>0</v>
      </c>
      <c r="H29" s="15"/>
      <c r="I29" s="16"/>
      <c r="J29" s="16"/>
      <c r="K29" s="1">
        <f t="shared" si="2"/>
        <v>0</v>
      </c>
      <c r="L29" s="1">
        <f t="shared" si="3"/>
        <v>0</v>
      </c>
      <c r="O29" s="17" t="s">
        <v>27</v>
      </c>
      <c r="P29" s="18">
        <f t="shared" si="4"/>
        <v>0</v>
      </c>
      <c r="Q29" s="14" t="str">
        <f t="shared" si="5"/>
        <v>No Inscripto, verificar con Contador</v>
      </c>
    </row>
    <row r="30" spans="2:17" x14ac:dyDescent="0.25">
      <c r="B30" s="15"/>
      <c r="C30" s="16"/>
      <c r="D30" s="16"/>
      <c r="E30" s="1">
        <f t="shared" si="0"/>
        <v>0</v>
      </c>
      <c r="F30" s="1">
        <f t="shared" si="1"/>
        <v>0</v>
      </c>
      <c r="H30" s="15"/>
      <c r="I30" s="16"/>
      <c r="J30" s="16"/>
      <c r="K30" s="1">
        <f t="shared" si="2"/>
        <v>0</v>
      </c>
      <c r="L30" s="1">
        <f t="shared" si="3"/>
        <v>0</v>
      </c>
      <c r="O30" s="17" t="s">
        <v>28</v>
      </c>
      <c r="P30" s="18">
        <f t="shared" si="4"/>
        <v>0</v>
      </c>
      <c r="Q30" s="14" t="str">
        <f t="shared" si="5"/>
        <v>No Inscripto, verificar con Contador</v>
      </c>
    </row>
    <row r="31" spans="2:17" x14ac:dyDescent="0.25">
      <c r="B31" s="15"/>
      <c r="C31" s="16"/>
      <c r="D31" s="16"/>
      <c r="E31" s="1">
        <f t="shared" si="0"/>
        <v>0</v>
      </c>
      <c r="F31" s="1">
        <f t="shared" si="1"/>
        <v>0</v>
      </c>
      <c r="H31" s="15"/>
      <c r="I31" s="16"/>
      <c r="J31" s="16"/>
      <c r="K31" s="1">
        <f t="shared" si="2"/>
        <v>0</v>
      </c>
      <c r="L31" s="1">
        <f t="shared" si="3"/>
        <v>0</v>
      </c>
      <c r="O31" s="17" t="s">
        <v>29</v>
      </c>
      <c r="P31" s="18">
        <f t="shared" si="4"/>
        <v>0</v>
      </c>
      <c r="Q31" s="14" t="str">
        <f t="shared" si="5"/>
        <v>No Inscripto, verificar con Contador</v>
      </c>
    </row>
    <row r="32" spans="2:17" x14ac:dyDescent="0.25">
      <c r="B32" s="15"/>
      <c r="C32" s="16"/>
      <c r="D32" s="16"/>
      <c r="E32" s="1">
        <f t="shared" si="0"/>
        <v>0</v>
      </c>
      <c r="F32" s="1">
        <f t="shared" si="1"/>
        <v>0</v>
      </c>
      <c r="H32" s="15"/>
      <c r="I32" s="16"/>
      <c r="J32" s="16"/>
      <c r="K32" s="1">
        <f t="shared" si="2"/>
        <v>0</v>
      </c>
      <c r="L32" s="1">
        <f t="shared" si="3"/>
        <v>0</v>
      </c>
      <c r="O32" s="17" t="s">
        <v>30</v>
      </c>
      <c r="P32" s="18">
        <f t="shared" si="4"/>
        <v>0</v>
      </c>
      <c r="Q32" s="14" t="str">
        <f t="shared" si="5"/>
        <v>No Inscripto, verificar con Contador</v>
      </c>
    </row>
    <row r="33" spans="2:17" x14ac:dyDescent="0.25">
      <c r="B33" s="15"/>
      <c r="C33" s="16"/>
      <c r="D33" s="16"/>
      <c r="E33" s="1">
        <f t="shared" si="0"/>
        <v>0</v>
      </c>
      <c r="F33" s="1">
        <f t="shared" si="1"/>
        <v>0</v>
      </c>
      <c r="H33" s="15"/>
      <c r="I33" s="16"/>
      <c r="J33" s="16"/>
      <c r="K33" s="1">
        <f t="shared" si="2"/>
        <v>0</v>
      </c>
      <c r="L33" s="1">
        <f t="shared" si="3"/>
        <v>0</v>
      </c>
      <c r="O33" s="17" t="s">
        <v>31</v>
      </c>
      <c r="P33" s="18">
        <f t="shared" si="4"/>
        <v>0</v>
      </c>
      <c r="Q33" s="14" t="str">
        <f t="shared" si="5"/>
        <v>No Inscripto, verificar con Contador</v>
      </c>
    </row>
    <row r="34" spans="2:17" x14ac:dyDescent="0.25">
      <c r="B34" s="15"/>
      <c r="C34" s="16"/>
      <c r="D34" s="16"/>
      <c r="E34" s="1">
        <f t="shared" si="0"/>
        <v>0</v>
      </c>
      <c r="F34" s="1">
        <f t="shared" si="1"/>
        <v>0</v>
      </c>
      <c r="H34" s="15"/>
      <c r="I34" s="16"/>
      <c r="J34" s="16"/>
      <c r="K34" s="1">
        <f t="shared" si="2"/>
        <v>0</v>
      </c>
      <c r="L34" s="1">
        <f t="shared" si="3"/>
        <v>0</v>
      </c>
      <c r="O34" s="17" t="s">
        <v>32</v>
      </c>
      <c r="P34" s="18">
        <f t="shared" si="4"/>
        <v>0</v>
      </c>
      <c r="Q34" s="14" t="str">
        <f t="shared" si="5"/>
        <v>No Inscripto, verificar con Contador</v>
      </c>
    </row>
    <row r="35" spans="2:17" x14ac:dyDescent="0.25">
      <c r="B35" s="15"/>
      <c r="C35" s="16"/>
      <c r="D35" s="16"/>
      <c r="E35" s="1">
        <f t="shared" si="0"/>
        <v>0</v>
      </c>
      <c r="F35" s="1">
        <f t="shared" si="1"/>
        <v>0</v>
      </c>
      <c r="H35" s="15"/>
      <c r="I35" s="16"/>
      <c r="J35" s="16"/>
      <c r="K35" s="1">
        <f t="shared" si="2"/>
        <v>0</v>
      </c>
      <c r="L35" s="1">
        <f t="shared" si="3"/>
        <v>0</v>
      </c>
      <c r="O35" s="17" t="s">
        <v>33</v>
      </c>
      <c r="P35" s="18">
        <f t="shared" si="4"/>
        <v>0</v>
      </c>
      <c r="Q35" s="14" t="str">
        <f t="shared" si="5"/>
        <v>No Inscripto, verificar con Contador</v>
      </c>
    </row>
    <row r="36" spans="2:17" x14ac:dyDescent="0.25">
      <c r="B36" s="15"/>
      <c r="C36" s="16"/>
      <c r="D36" s="16"/>
      <c r="E36" s="1">
        <f t="shared" si="0"/>
        <v>0</v>
      </c>
      <c r="F36" s="1">
        <f t="shared" si="1"/>
        <v>0</v>
      </c>
      <c r="H36" s="15"/>
      <c r="I36" s="16"/>
      <c r="J36" s="16"/>
      <c r="K36" s="1">
        <f t="shared" si="2"/>
        <v>0</v>
      </c>
      <c r="L36" s="1">
        <f t="shared" si="3"/>
        <v>0</v>
      </c>
      <c r="O36" s="17" t="s">
        <v>35</v>
      </c>
      <c r="P36" s="18">
        <f t="shared" si="4"/>
        <v>0</v>
      </c>
      <c r="Q36" s="14" t="str">
        <f t="shared" si="5"/>
        <v>No Inscripto, verificar con Contador</v>
      </c>
    </row>
    <row r="37" spans="2:17" ht="15.75" thickBot="1" x14ac:dyDescent="0.3">
      <c r="B37" s="15"/>
      <c r="C37" s="16"/>
      <c r="D37" s="16"/>
      <c r="E37" s="1">
        <f t="shared" si="0"/>
        <v>0</v>
      </c>
      <c r="F37" s="1">
        <f t="shared" si="1"/>
        <v>0</v>
      </c>
      <c r="H37" s="15"/>
      <c r="I37" s="16"/>
      <c r="J37" s="16"/>
      <c r="K37" s="1">
        <f t="shared" si="2"/>
        <v>0</v>
      </c>
      <c r="L37" s="1">
        <f t="shared" si="3"/>
        <v>0</v>
      </c>
      <c r="O37" s="19" t="s">
        <v>34</v>
      </c>
      <c r="P37" s="20">
        <f t="shared" si="4"/>
        <v>0</v>
      </c>
      <c r="Q37" s="21" t="str">
        <f t="shared" si="5"/>
        <v>No Inscripto, verificar con Contador</v>
      </c>
    </row>
  </sheetData>
  <sheetProtection algorithmName="SHA-512" hashValue="E2R0E9c6MqXGgSkfmoJLbxUT33LOCi764XoDmLR5ApmU1Z8Tb40XL0V2ek901Pi/fFvf5xswZoxAovrkwFH8Nw==" saltValue="AqUgbqrv7tUQDeUuD3wIAQ==" spinCount="100000" sheet="1" objects="1" scenarios="1"/>
  <mergeCells count="12">
    <mergeCell ref="O4:P4"/>
    <mergeCell ref="B4:D4"/>
    <mergeCell ref="B5:C5"/>
    <mergeCell ref="B6:C6"/>
    <mergeCell ref="B7:C7"/>
    <mergeCell ref="B8:C8"/>
    <mergeCell ref="H4:J4"/>
    <mergeCell ref="H5:I5"/>
    <mergeCell ref="H6:I6"/>
    <mergeCell ref="B12:D12"/>
    <mergeCell ref="H12:J12"/>
    <mergeCell ref="I8:J8"/>
  </mergeCells>
  <conditionalFormatting sqref="Q14:Q37">
    <cfRule type="cellIs" dxfId="3" priority="2" operator="equal">
      <formula>"Bajó el Saldo Acumulado"</formula>
    </cfRule>
    <cfRule type="cellIs" dxfId="2" priority="3" operator="equal">
      <formula>"Subió el Saldo Acumulado"</formula>
    </cfRule>
    <cfRule type="cellIs" dxfId="1" priority="4" operator="equal">
      <formula>"No Inscripto, verificar con Contador"</formula>
    </cfRule>
  </conditionalFormatting>
  <conditionalFormatting sqref="D6">
    <cfRule type="cellIs" dxfId="0" priority="1" operator="equal">
      <formula>"COMPLETAR IIBB"</formula>
    </cfRule>
  </conditionalFormatting>
  <dataValidations count="2">
    <dataValidation type="custom" allowBlank="1" showInputMessage="1" showErrorMessage="1" error="GANANCIA MENOR A 50%" sqref="J6" xr:uid="{A49904E9-9067-4870-A56D-BECAB4ADFE9C}">
      <formula1>J6&lt;=$AK$7</formula1>
    </dataValidation>
    <dataValidation type="custom" allowBlank="1" showInputMessage="1" showErrorMessage="1" errorTitle="GANANCIA" error="GANANCIA MENOR A 70%" sqref="P6" xr:uid="{35E787E0-055F-49EA-BF86-E75528629FF3}">
      <formula1>P6&lt;=$AK$8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5A39E-EB0A-448F-9CC4-30F3DFC513A9}">
  <sheetPr codeName="Sheet4"/>
  <dimension ref="A1:P1048480"/>
  <sheetViews>
    <sheetView showGridLines="0" topLeftCell="B1" workbookViewId="0">
      <selection activeCell="H8" sqref="H8"/>
    </sheetView>
  </sheetViews>
  <sheetFormatPr defaultRowHeight="15" x14ac:dyDescent="0.25"/>
  <cols>
    <col min="1" max="1" width="9.140625" hidden="1" customWidth="1"/>
    <col min="2" max="2" width="21.85546875" style="35" bestFit="1" customWidth="1"/>
    <col min="5" max="5" width="11.5703125" bestFit="1" customWidth="1"/>
    <col min="7" max="7" width="0" hidden="1" customWidth="1"/>
    <col min="8" max="8" width="21.7109375" customWidth="1"/>
    <col min="9" max="9" width="12.7109375" style="33" bestFit="1" customWidth="1"/>
    <col min="10" max="10" width="10.85546875" style="31" bestFit="1" customWidth="1"/>
    <col min="11" max="16" width="12.140625" style="31" customWidth="1"/>
  </cols>
  <sheetData>
    <row r="1" spans="1:16" s="32" customFormat="1" ht="30" customHeight="1" x14ac:dyDescent="0.25">
      <c r="B1" s="39" t="s">
        <v>62</v>
      </c>
      <c r="C1" s="39" t="s">
        <v>0</v>
      </c>
      <c r="D1" s="39" t="s">
        <v>61</v>
      </c>
      <c r="E1" s="39" t="s">
        <v>63</v>
      </c>
      <c r="F1" s="39" t="s">
        <v>60</v>
      </c>
      <c r="G1" s="39"/>
      <c r="H1" s="39" t="s">
        <v>48</v>
      </c>
      <c r="I1" s="40" t="s">
        <v>1</v>
      </c>
      <c r="J1" s="41" t="s">
        <v>2</v>
      </c>
      <c r="K1" s="41" t="s">
        <v>50</v>
      </c>
      <c r="L1" s="41" t="s">
        <v>42</v>
      </c>
      <c r="M1" s="41" t="s">
        <v>51</v>
      </c>
      <c r="N1" s="41" t="s">
        <v>52</v>
      </c>
      <c r="O1" s="41" t="s">
        <v>54</v>
      </c>
      <c r="P1" s="41" t="s">
        <v>53</v>
      </c>
    </row>
    <row r="2" spans="1:16" x14ac:dyDescent="0.25">
      <c r="A2" t="str">
        <f>IF(D2="Inicio",H2,A1)</f>
        <v>COMBO1</v>
      </c>
      <c r="B2" s="50"/>
      <c r="C2" s="49"/>
      <c r="D2" s="49" t="s">
        <v>71</v>
      </c>
      <c r="E2" s="55" t="str">
        <f>IF(B2="","",IFERROR(VLOOKUP(B2,Datos!A:B,2,0)*C2,"NO CARGADO"))</f>
        <v/>
      </c>
      <c r="F2" s="56" t="str">
        <f>IF(B2="","",VLOOKUP(B2,Datos!A:C,3,0))</f>
        <v/>
      </c>
      <c r="G2" s="34" t="str">
        <f>IF(B2="","",E2/VLOOKUP(A2,H:I,2,0)*F2)</f>
        <v/>
      </c>
      <c r="H2" s="58" t="s">
        <v>69</v>
      </c>
      <c r="I2" s="55">
        <f>SUMIFS(E:E,A:A,H2)</f>
        <v>0</v>
      </c>
      <c r="J2" s="57">
        <f>SUMIF(A:A,H2,G:G)</f>
        <v>0</v>
      </c>
      <c r="K2" s="51"/>
      <c r="L2" s="51"/>
      <c r="M2" s="51"/>
      <c r="N2" s="52"/>
      <c r="O2" s="52"/>
      <c r="P2" s="52"/>
    </row>
    <row r="3" spans="1:16" x14ac:dyDescent="0.25">
      <c r="A3" t="str">
        <f t="shared" ref="A3" si="0">IF(OR(D3="Inicio",D2="Fin"),H3,A2)</f>
        <v>COMBO1</v>
      </c>
      <c r="B3" s="50"/>
      <c r="C3" s="49"/>
      <c r="D3" s="49"/>
      <c r="E3" s="55" t="str">
        <f>IF(B3="","",IFERROR(VLOOKUP(B3,Datos!A:B,2,0)*C3,"NO CARGADO"))</f>
        <v/>
      </c>
      <c r="F3" s="56" t="str">
        <f>IF(B3="","",VLOOKUP(B3,Datos!A:C,3,0))</f>
        <v/>
      </c>
      <c r="G3" s="34" t="str">
        <f>IF(B3="","",E3/VLOOKUP(A3,H:I,2,0)*F3)</f>
        <v/>
      </c>
      <c r="H3" s="58" t="str">
        <f>IF(AND(D3&lt;&gt;"Inicio"),"","COMBO"&amp;COUNTA($H$2:H2)+1-COUNTIF($H$2:H2,""))</f>
        <v/>
      </c>
      <c r="I3" s="55" t="str">
        <f>IF(H3="","",SUMIFS(E:E,A:A,H3))</f>
        <v/>
      </c>
      <c r="J3" s="57" t="str">
        <f>IF(H3="","",SUMIF(A:A,H3,G:G))</f>
        <v/>
      </c>
      <c r="K3" s="51"/>
      <c r="L3" s="51"/>
      <c r="M3" s="51"/>
      <c r="N3" s="52"/>
      <c r="O3" s="52"/>
      <c r="P3" s="52"/>
    </row>
    <row r="4" spans="1:16" x14ac:dyDescent="0.25">
      <c r="A4" t="e">
        <f>IF(OR(D4="Inicio",#REF!="Fin"),H4,#REF!)</f>
        <v>#REF!</v>
      </c>
      <c r="B4" s="50"/>
      <c r="C4" s="49"/>
      <c r="D4" s="49"/>
      <c r="E4" s="55" t="str">
        <f>IF(B4="","",IFERROR(VLOOKUP(B4,Datos!A:B,2,0)*C4,"NO CARGADO"))</f>
        <v/>
      </c>
      <c r="F4" s="56" t="str">
        <f>IF(B4="","",VLOOKUP(B4,Datos!A:C,3,0))</f>
        <v/>
      </c>
      <c r="G4" s="34" t="str">
        <f>IF(B4="","",E4/VLOOKUP(A4,H:I,2,0)*F4)</f>
        <v/>
      </c>
      <c r="H4" s="58" t="str">
        <f>IF(AND(D4&lt;&gt;"Inicio"),"","COMBO"&amp;COUNTA($H$2:H3)+1-COUNTIF($H$2:H3,""))</f>
        <v/>
      </c>
      <c r="I4" s="55" t="str">
        <f>IF(OR(H4="",B4=""),"",SUMIFS(E:E,A:A,H4))</f>
        <v/>
      </c>
      <c r="J4" s="57" t="str">
        <f>IF(OR(H4="",B4=""),"",SUMIF(A:A,H4,G:G))</f>
        <v/>
      </c>
      <c r="K4" s="51"/>
      <c r="L4" s="51"/>
      <c r="M4" s="51"/>
      <c r="N4" s="52"/>
      <c r="O4" s="52"/>
      <c r="P4" s="52"/>
    </row>
    <row r="5" spans="1:16" x14ac:dyDescent="0.25">
      <c r="A5" t="e">
        <f>IF(OR(D5="Inicio",#REF!="Fin"),H5,#REF!)</f>
        <v>#REF!</v>
      </c>
      <c r="B5" s="50"/>
      <c r="C5" s="49"/>
      <c r="D5" s="49"/>
      <c r="E5" s="55" t="str">
        <f>IF(B5="","",IFERROR(VLOOKUP(B5,Datos!A:B,2,0)*C5,"NO CARGADO"))</f>
        <v/>
      </c>
      <c r="F5" s="56" t="str">
        <f>IF(B5="","",VLOOKUP(B5,Datos!A:C,3,0))</f>
        <v/>
      </c>
      <c r="G5" s="34" t="str">
        <f>IF(B5="","",E5/VLOOKUP(A5,H:I,2,0)*F5)</f>
        <v/>
      </c>
      <c r="H5" s="58" t="str">
        <f>IF(AND(D5&lt;&gt;"Inicio"),"","COMBO"&amp;COUNTA($H$2:H4)+1-COUNTIF($H$2:H4,""))</f>
        <v/>
      </c>
      <c r="I5" s="55" t="str">
        <f>IF(OR(H5="",B5=""),"",SUMIFS(E:E,A:A,H5))</f>
        <v/>
      </c>
      <c r="J5" s="57" t="str">
        <f>IF(OR(H5="",B5=""),"",SUMIF(A:A,H5,G:G))</f>
        <v/>
      </c>
      <c r="K5" s="51"/>
      <c r="L5" s="51"/>
      <c r="M5" s="51"/>
      <c r="N5" s="52"/>
      <c r="O5" s="52"/>
      <c r="P5" s="52"/>
    </row>
    <row r="6" spans="1:16" x14ac:dyDescent="0.25">
      <c r="A6" t="e">
        <f>IF(OR(D6="Inicio",#REF!="Fin"),H6,#REF!)</f>
        <v>#REF!</v>
      </c>
      <c r="B6" s="50"/>
      <c r="C6" s="49"/>
      <c r="D6" s="49"/>
      <c r="E6" s="55" t="str">
        <f>IF(B6="","",IFERROR(VLOOKUP(B6,Datos!A:B,2,0)*C6,"NO CARGADO"))</f>
        <v/>
      </c>
      <c r="F6" s="56" t="str">
        <f>IF(B6="","",VLOOKUP(B6,Datos!A:C,3,0))</f>
        <v/>
      </c>
      <c r="G6" s="34" t="str">
        <f t="shared" ref="G6:G15" si="1">IF(B6="","",E6/VLOOKUP(A6,H:I,2,0)*F6)</f>
        <v/>
      </c>
      <c r="H6" s="58" t="str">
        <f>IF(AND(D6&lt;&gt;"Inicio"),"","COMBO"&amp;COUNTA($H$2:H5)+1-COUNTIF($H$2:H5,""))</f>
        <v/>
      </c>
      <c r="I6" s="55" t="str">
        <f t="shared" ref="I6:I15" si="2">IF(OR(H6="",B6=""),"",SUMIFS(E:E,A:A,H6))</f>
        <v/>
      </c>
      <c r="J6" s="57" t="str">
        <f t="shared" ref="J6:J15" si="3">IF(OR(H6="",B6=""),"",SUMIF(A:A,H6,G:G))</f>
        <v/>
      </c>
      <c r="K6" s="51"/>
      <c r="L6" s="51"/>
      <c r="M6" s="51"/>
      <c r="N6" s="52"/>
      <c r="O6" s="52"/>
      <c r="P6" s="52"/>
    </row>
    <row r="7" spans="1:16" x14ac:dyDescent="0.25">
      <c r="A7" t="e">
        <f>IF(OR(D7="Inicio",#REF!="Fin"),H7,#REF!)</f>
        <v>#REF!</v>
      </c>
      <c r="B7" s="50"/>
      <c r="C7" s="49"/>
      <c r="D7" s="49"/>
      <c r="E7" s="55" t="str">
        <f>IF(B7="","",IFERROR(VLOOKUP(B7,Datos!A:B,2,0)*C7,"NO CARGADO"))</f>
        <v/>
      </c>
      <c r="F7" s="56" t="str">
        <f>IF(B7="","",VLOOKUP(B7,Datos!A:C,3,0))</f>
        <v/>
      </c>
      <c r="G7" s="34" t="str">
        <f t="shared" si="1"/>
        <v/>
      </c>
      <c r="H7" s="58" t="str">
        <f>IF(AND(D7&lt;&gt;"Inicio"),"","COMBO"&amp;COUNTA($H$2:H6)+1-COUNTIF($H$2:H6,""))</f>
        <v/>
      </c>
      <c r="I7" s="55" t="str">
        <f t="shared" si="2"/>
        <v/>
      </c>
      <c r="J7" s="57" t="str">
        <f t="shared" si="3"/>
        <v/>
      </c>
      <c r="K7" s="51"/>
      <c r="L7" s="51"/>
      <c r="M7" s="51"/>
      <c r="N7" s="52"/>
      <c r="O7" s="52"/>
      <c r="P7" s="52"/>
    </row>
    <row r="8" spans="1:16" x14ac:dyDescent="0.25">
      <c r="A8" t="e">
        <f>IF(OR(D8="Inicio",#REF!="Fin"),H8,#REF!)</f>
        <v>#REF!</v>
      </c>
      <c r="B8" s="50"/>
      <c r="C8" s="49"/>
      <c r="D8" s="49"/>
      <c r="E8" s="55" t="str">
        <f>IF(B8="","",IFERROR(VLOOKUP(B8,Datos!A:B,2,0)*C8,"NO CARGADO"))</f>
        <v/>
      </c>
      <c r="F8" s="56" t="str">
        <f>IF(B8="","",VLOOKUP(B8,Datos!A:C,3,0))</f>
        <v/>
      </c>
      <c r="G8" s="34" t="str">
        <f t="shared" si="1"/>
        <v/>
      </c>
      <c r="H8" s="58" t="str">
        <f>IF(AND(D8&lt;&gt;"Inicio"),"","COMBO"&amp;COUNTA($H$2:H7)+1-COUNTIF($H$2:H7,""))</f>
        <v/>
      </c>
      <c r="I8" s="55" t="str">
        <f t="shared" si="2"/>
        <v/>
      </c>
      <c r="J8" s="57" t="str">
        <f t="shared" si="3"/>
        <v/>
      </c>
      <c r="K8" s="51"/>
      <c r="L8" s="51"/>
      <c r="M8" s="51"/>
      <c r="N8" s="52"/>
      <c r="O8" s="52"/>
      <c r="P8" s="52"/>
    </row>
    <row r="9" spans="1:16" x14ac:dyDescent="0.25">
      <c r="A9" t="e">
        <f>IF(OR(D9="Inicio",#REF!="Fin"),H9,#REF!)</f>
        <v>#REF!</v>
      </c>
      <c r="B9" s="50"/>
      <c r="C9" s="49"/>
      <c r="D9" s="49"/>
      <c r="E9" s="55" t="str">
        <f>IF(B9="","",IFERROR(VLOOKUP(B9,Datos!A:B,2,0)*C9,"NO CARGADO"))</f>
        <v/>
      </c>
      <c r="F9" s="56" t="str">
        <f>IF(B9="","",VLOOKUP(B9,Datos!A:C,3,0))</f>
        <v/>
      </c>
      <c r="G9" s="34" t="str">
        <f t="shared" si="1"/>
        <v/>
      </c>
      <c r="H9" s="58" t="str">
        <f>IF(AND(D9&lt;&gt;"Inicio"),"","COMBO"&amp;COUNTA($H$2:H8)+1-COUNTIF($H$2:H8,""))</f>
        <v/>
      </c>
      <c r="I9" s="55" t="str">
        <f t="shared" si="2"/>
        <v/>
      </c>
      <c r="J9" s="57" t="str">
        <f t="shared" si="3"/>
        <v/>
      </c>
      <c r="K9" s="51"/>
      <c r="L9" s="51"/>
      <c r="M9" s="51"/>
      <c r="N9" s="52"/>
      <c r="O9" s="52"/>
      <c r="P9" s="52"/>
    </row>
    <row r="10" spans="1:16" x14ac:dyDescent="0.25">
      <c r="A10" t="e">
        <f>IF(OR(D10="Inicio",#REF!="Fin"),H10,#REF!)</f>
        <v>#REF!</v>
      </c>
      <c r="B10" s="50"/>
      <c r="C10" s="49"/>
      <c r="D10" s="49"/>
      <c r="E10" s="55" t="str">
        <f>IF(B10="","",IFERROR(VLOOKUP(B10,Datos!A:B,2,0)*C10,"NO CARGADO"))</f>
        <v/>
      </c>
      <c r="F10" s="56" t="str">
        <f>IF(B10="","",VLOOKUP(B10,Datos!A:C,3,0))</f>
        <v/>
      </c>
      <c r="G10" s="34" t="str">
        <f t="shared" si="1"/>
        <v/>
      </c>
      <c r="H10" s="58" t="str">
        <f>IF(AND(D10&lt;&gt;"Inicio"),"","COMBO"&amp;COUNTA($H$2:H9)+1-COUNTIF($H$2:H9,""))</f>
        <v/>
      </c>
      <c r="I10" s="55" t="str">
        <f t="shared" si="2"/>
        <v/>
      </c>
      <c r="J10" s="57" t="str">
        <f t="shared" si="3"/>
        <v/>
      </c>
      <c r="K10" s="51"/>
      <c r="L10" s="51"/>
      <c r="M10" s="51"/>
      <c r="N10" s="52"/>
      <c r="O10" s="52"/>
      <c r="P10" s="52"/>
    </row>
    <row r="11" spans="1:16" x14ac:dyDescent="0.25">
      <c r="A11" t="e">
        <f>IF(OR(D11="Inicio",#REF!="Fin"),H11,#REF!)</f>
        <v>#REF!</v>
      </c>
      <c r="B11" s="50"/>
      <c r="C11" s="49"/>
      <c r="D11" s="49"/>
      <c r="E11" s="55" t="str">
        <f>IF(B11="","",IFERROR(VLOOKUP(B11,Datos!A:B,2,0)*C11,"NO CARGADO"))</f>
        <v/>
      </c>
      <c r="F11" s="56" t="str">
        <f>IF(B11="","",VLOOKUP(B11,Datos!A:C,3,0))</f>
        <v/>
      </c>
      <c r="G11" s="34" t="str">
        <f t="shared" si="1"/>
        <v/>
      </c>
      <c r="H11" s="58" t="str">
        <f>IF(AND(D11&lt;&gt;"Inicio"),"","COMBO"&amp;COUNTA($H$2:H10)+1-COUNTIF($H$2:H10,""))</f>
        <v/>
      </c>
      <c r="I11" s="55" t="str">
        <f t="shared" si="2"/>
        <v/>
      </c>
      <c r="J11" s="57" t="str">
        <f t="shared" si="3"/>
        <v/>
      </c>
      <c r="K11" s="51"/>
      <c r="L11" s="51"/>
      <c r="M11" s="51"/>
      <c r="N11" s="52"/>
      <c r="O11" s="52"/>
      <c r="P11" s="52"/>
    </row>
    <row r="12" spans="1:16" x14ac:dyDescent="0.25">
      <c r="A12" t="e">
        <f>IF(OR(D12="Inicio",#REF!="Fin"),H12,#REF!)</f>
        <v>#REF!</v>
      </c>
      <c r="B12" s="50"/>
      <c r="C12" s="49"/>
      <c r="D12" s="49"/>
      <c r="E12" s="55" t="str">
        <f>IF(B12="","",IFERROR(VLOOKUP(B12,Datos!A:B,2,0)*C12,"NO CARGADO"))</f>
        <v/>
      </c>
      <c r="F12" s="56" t="str">
        <f>IF(B12="","",VLOOKUP(B12,Datos!A:C,3,0))</f>
        <v/>
      </c>
      <c r="G12" s="34" t="str">
        <f t="shared" si="1"/>
        <v/>
      </c>
      <c r="H12" s="58" t="str">
        <f>IF(AND(D12&lt;&gt;"Inicio"),"","COMBO"&amp;COUNTA($H$2:H11)+1-COUNTIF($H$2:H11,""))</f>
        <v/>
      </c>
      <c r="I12" s="55" t="str">
        <f t="shared" si="2"/>
        <v/>
      </c>
      <c r="J12" s="57" t="str">
        <f t="shared" si="3"/>
        <v/>
      </c>
      <c r="K12" s="51"/>
      <c r="L12" s="51"/>
      <c r="M12" s="51"/>
      <c r="N12" s="52"/>
      <c r="O12" s="52"/>
      <c r="P12" s="52"/>
    </row>
    <row r="13" spans="1:16" x14ac:dyDescent="0.25">
      <c r="A13" t="e">
        <f>IF(OR(D13="Inicio",#REF!="Fin"),H13,#REF!)</f>
        <v>#REF!</v>
      </c>
      <c r="B13" s="50"/>
      <c r="C13" s="49"/>
      <c r="D13" s="49"/>
      <c r="E13" s="55" t="str">
        <f>IF(B13="","",IFERROR(VLOOKUP(B13,Datos!A:B,2,0)*C13,"NO CARGADO"))</f>
        <v/>
      </c>
      <c r="F13" s="56" t="str">
        <f>IF(B13="","",VLOOKUP(B13,Datos!A:C,3,0))</f>
        <v/>
      </c>
      <c r="G13" s="34" t="str">
        <f t="shared" si="1"/>
        <v/>
      </c>
      <c r="H13" s="58" t="str">
        <f>IF(AND(D13&lt;&gt;"Inicio"),"","COMBO"&amp;COUNTA($H$2:H12)+1-COUNTIF($H$2:H12,""))</f>
        <v/>
      </c>
      <c r="I13" s="55" t="str">
        <f t="shared" si="2"/>
        <v/>
      </c>
      <c r="J13" s="57" t="str">
        <f t="shared" si="3"/>
        <v/>
      </c>
      <c r="K13" s="51"/>
      <c r="L13" s="51"/>
      <c r="M13" s="51"/>
      <c r="N13" s="52"/>
      <c r="O13" s="52"/>
      <c r="P13" s="52"/>
    </row>
    <row r="14" spans="1:16" x14ac:dyDescent="0.25">
      <c r="A14" t="e">
        <f>IF(OR(D14="Inicio",#REF!="Fin"),H14,#REF!)</f>
        <v>#REF!</v>
      </c>
      <c r="B14" s="50"/>
      <c r="C14" s="49"/>
      <c r="D14" s="49"/>
      <c r="E14" s="55" t="str">
        <f>IF(B14="","",IFERROR(VLOOKUP(B14,Datos!A:B,2,0)*C14,"NO CARGADO"))</f>
        <v/>
      </c>
      <c r="F14" s="56" t="str">
        <f>IF(B14="","",VLOOKUP(B14,Datos!A:C,3,0))</f>
        <v/>
      </c>
      <c r="G14" s="34" t="str">
        <f t="shared" si="1"/>
        <v/>
      </c>
      <c r="H14" s="58" t="str">
        <f>IF(AND(D14&lt;&gt;"Inicio"),"","COMBO"&amp;COUNTA($H$2:H13)+1-COUNTIF($H$2:H13,""))</f>
        <v/>
      </c>
      <c r="I14" s="55" t="str">
        <f t="shared" si="2"/>
        <v/>
      </c>
      <c r="J14" s="57" t="str">
        <f t="shared" si="3"/>
        <v/>
      </c>
      <c r="K14" s="51"/>
      <c r="L14" s="51"/>
      <c r="M14" s="51"/>
      <c r="N14" s="52"/>
      <c r="O14" s="52"/>
      <c r="P14" s="52"/>
    </row>
    <row r="15" spans="1:16" hidden="1" x14ac:dyDescent="0.25">
      <c r="A15" t="e">
        <f>IF(OR(D15="Inicio",#REF!="Fin"),H15,#REF!)</f>
        <v>#REF!</v>
      </c>
      <c r="B15" s="50"/>
      <c r="C15" s="49"/>
      <c r="D15" s="49"/>
      <c r="E15" s="55" t="str">
        <f>IF(B15="","",IFERROR(VLOOKUP(B15,Datos!A:B,2,0)*C15,"NO CARGADO"))</f>
        <v/>
      </c>
      <c r="F15" s="56" t="str">
        <f>IF(B15="","",VLOOKUP(B15,Datos!A:C,3,0))</f>
        <v/>
      </c>
      <c r="G15" s="34" t="str">
        <f t="shared" si="1"/>
        <v/>
      </c>
      <c r="H15" s="58" t="str">
        <f>IF(AND(D15&lt;&gt;"Inicio"),"","COMBO"&amp;COUNTA($H$2:H14)+1-COUNTIF($H$2:H14,""))</f>
        <v/>
      </c>
      <c r="I15" s="55" t="str">
        <f t="shared" si="2"/>
        <v/>
      </c>
      <c r="J15" s="57" t="str">
        <f t="shared" si="3"/>
        <v/>
      </c>
      <c r="K15" s="51"/>
      <c r="L15" s="51"/>
      <c r="M15" s="51"/>
      <c r="N15" s="52"/>
      <c r="O15" s="52"/>
      <c r="P15" s="52"/>
    </row>
    <row r="1048479" hidden="1" x14ac:dyDescent="0.25"/>
    <row r="1048480" hidden="1" x14ac:dyDescent="0.25"/>
  </sheetData>
  <sheetProtection algorithmName="SHA-512" hashValue="TB6+MD6MyvpEDWvOqv8kOAsSO5CNxpyLsQ/I3xGKktg6Ee/dJ6SYJbcBfuU7pS6hRTzXFY7EDngiOO4JOKbdCA==" saltValue="eD8V+F4YDN+JPrqHZVhDfg==" spinCount="100000" sheet="1" objects="1" scenarios="1" autoFilter="0"/>
  <autoFilter ref="B1:P5" xr:uid="{70C5A39E-EB0A-448F-9CC4-30F3DFC513A9}"/>
  <dataValidations count="1">
    <dataValidation type="list" allowBlank="1" showInputMessage="1" showErrorMessage="1" sqref="D2:D15" xr:uid="{5E155ABA-15B9-4E7A-8583-C877B743B31E}">
      <formula1>"Inicio"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A578-2B55-49EB-95A3-91E9BD875DDF}">
  <sheetPr codeName="Sheet5"/>
  <dimension ref="A1:G1"/>
  <sheetViews>
    <sheetView showGridLines="0" workbookViewId="0"/>
  </sheetViews>
  <sheetFormatPr defaultRowHeight="15" x14ac:dyDescent="0.25"/>
  <cols>
    <col min="1" max="1" width="20" style="53" customWidth="1"/>
    <col min="2" max="2" width="20" style="54" customWidth="1"/>
    <col min="3" max="5" width="20" style="53" customWidth="1"/>
    <col min="6" max="6" width="20" customWidth="1"/>
  </cols>
  <sheetData>
    <row r="1" spans="1:7" x14ac:dyDescent="0.25">
      <c r="A1" s="32" t="s">
        <v>55</v>
      </c>
      <c r="B1" s="32" t="s">
        <v>56</v>
      </c>
      <c r="C1" s="32" t="s">
        <v>57</v>
      </c>
      <c r="D1" s="32" t="s">
        <v>58</v>
      </c>
      <c r="E1" s="32" t="s">
        <v>59</v>
      </c>
      <c r="F1" s="30"/>
      <c r="G1" s="30"/>
    </row>
  </sheetData>
  <sheetProtection algorithmName="SHA-512" hashValue="F5EOwb1pYoZeLdwvQpidxa6SEphqyYEYL5OtnvTh8QmUaW6QdlH9aYDSdQfFlbYZ/Iz1Xvd70lgOfgYWuIyo5w==" saltValue="z7RLW1ZbQ65lY0E62xjuew==" spinCount="100000" sheet="1" objects="1" scenarios="1" autoFilter="0"/>
  <autoFilter ref="A1:E2187" xr:uid="{340FA578-2B55-49EB-95A3-91E9BD875DDF}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793DB0-87CC-4FBC-984F-E69065C271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Datos</vt:lpstr>
      <vt:lpstr>Publicaciones</vt:lpstr>
      <vt:lpstr>Ingresos Brutos</vt:lpstr>
      <vt:lpstr>Combos</vt:lpstr>
      <vt:lpstr>Premium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Negri</dc:creator>
  <cp:lastModifiedBy>Pedro Negri</cp:lastModifiedBy>
  <dcterms:created xsi:type="dcterms:W3CDTF">2023-06-04T13:57:20Z</dcterms:created>
  <dcterms:modified xsi:type="dcterms:W3CDTF">2023-07-18T19:18:36Z</dcterms:modified>
</cp:coreProperties>
</file>